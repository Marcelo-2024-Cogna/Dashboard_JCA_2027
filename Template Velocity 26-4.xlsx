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xampp\htdocs\dashboard\"/>
    </mc:Choice>
  </mc:AlternateContent>
  <xr:revisionPtr revIDLastSave="0" documentId="13_ncr:1_{FFAFA9AA-26EB-4C18-988D-91B1606BCA05}" xr6:coauthVersionLast="47" xr6:coauthVersionMax="47" xr10:uidLastSave="{00000000-0000-0000-0000-000000000000}"/>
  <bookViews>
    <workbookView xWindow="-108" yWindow="-108" windowWidth="23256" windowHeight="12456" tabRatio="784" activeTab="7" xr2:uid="{00000000-000D-0000-FFFF-FFFF00000000}"/>
  </bookViews>
  <sheets>
    <sheet name="Times" sheetId="15" r:id="rId1"/>
    <sheet name="Apoio" sheetId="4" r:id="rId2"/>
    <sheet name="2023" sheetId="2" r:id="rId3"/>
    <sheet name="2024" sheetId="12" r:id="rId4"/>
    <sheet name="2025" sheetId="9" r:id="rId5"/>
    <sheet name="Dinamica 2025" sheetId="13" r:id="rId6"/>
    <sheet name="Dinamica 2026" sheetId="16" r:id="rId7"/>
    <sheet name="2026_Produtividade" sheetId="14" r:id="rId8"/>
  </sheets>
  <definedNames>
    <definedName name="_xlnm._FilterDatabase" localSheetId="2" hidden="1">'2023'!$A$1:$E$914</definedName>
    <definedName name="_xlnm._FilterDatabase" localSheetId="3" hidden="1">'2024'!$A$1:$M$948</definedName>
    <definedName name="_xlnm._FilterDatabase" localSheetId="4" hidden="1">'2025'!$A$1:$O$987</definedName>
    <definedName name="_xlnm._FilterDatabase" localSheetId="7" hidden="1">'2026_Produtividade'!$A$1:$N$1041</definedName>
    <definedName name="_xlnm._FilterDatabase" localSheetId="1" hidden="1">Apoio!$O$1:$R$24</definedName>
    <definedName name="_xlnm._FilterDatabase" localSheetId="0" hidden="1">Times!$B$3:$C$51</definedName>
  </definedNames>
  <calcPr calcId="191028"/>
  <pivotCaches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1" i="14" l="1"/>
  <c r="I1041" i="14" s="1"/>
  <c r="K1041" i="14" s="1"/>
  <c r="H1040" i="14"/>
  <c r="I1040" i="14" s="1"/>
  <c r="K1040" i="14" s="1"/>
  <c r="H1039" i="14"/>
  <c r="I1039" i="14" s="1"/>
  <c r="K1039" i="14" s="1"/>
  <c r="H1038" i="14"/>
  <c r="I1038" i="14" s="1"/>
  <c r="K1038" i="14" s="1"/>
  <c r="H1037" i="14"/>
  <c r="I1037" i="14" s="1"/>
  <c r="K1037" i="14" s="1"/>
  <c r="H1036" i="14"/>
  <c r="I1036" i="14" l="1"/>
  <c r="K1036" i="14" s="1"/>
  <c r="H1035" i="14"/>
  <c r="I1035" i="14" s="1"/>
  <c r="H1034" i="14"/>
  <c r="I1034" i="14" s="1"/>
  <c r="H1033" i="14"/>
  <c r="I1033" i="14" s="1"/>
  <c r="H1032" i="14"/>
  <c r="I1032" i="14" s="1"/>
  <c r="K1032" i="14" s="1"/>
  <c r="H1031" i="14"/>
  <c r="I1031" i="14" s="1"/>
  <c r="H1030" i="14"/>
  <c r="I1030" i="14" s="1"/>
  <c r="H1029" i="14"/>
  <c r="I1029" i="14" s="1"/>
  <c r="H1028" i="14"/>
  <c r="I1028" i="14" s="1"/>
  <c r="H1027" i="14"/>
  <c r="I1027" i="14" s="1"/>
  <c r="H1026" i="14"/>
  <c r="I1026" i="14" s="1"/>
  <c r="H1025" i="14"/>
  <c r="I1025" i="14" s="1"/>
  <c r="H1024" i="14"/>
  <c r="I1024" i="14" s="1"/>
  <c r="K1024" i="14" s="1"/>
  <c r="H152" i="14"/>
  <c r="I152" i="14" s="1"/>
  <c r="H682" i="14"/>
  <c r="I682" i="14" s="1"/>
  <c r="K682" i="14" s="1"/>
  <c r="H706" i="14"/>
  <c r="I706" i="14" s="1"/>
  <c r="K706" i="14" s="1"/>
  <c r="H730" i="14"/>
  <c r="I730" i="14" s="1"/>
  <c r="K730" i="14" s="1"/>
  <c r="H754" i="14"/>
  <c r="I754" i="14" s="1"/>
  <c r="K754" i="14" s="1"/>
  <c r="H761" i="14"/>
  <c r="I761" i="14" s="1"/>
  <c r="H762" i="14"/>
  <c r="I762" i="14" s="1"/>
  <c r="H763" i="14"/>
  <c r="I763" i="14" s="1"/>
  <c r="H764" i="14"/>
  <c r="I764" i="14" s="1"/>
  <c r="H765" i="14"/>
  <c r="I765" i="14" s="1"/>
  <c r="H766" i="14"/>
  <c r="I766" i="14" s="1"/>
  <c r="H767" i="14"/>
  <c r="I767" i="14" s="1"/>
  <c r="H768" i="14"/>
  <c r="I768" i="14" s="1"/>
  <c r="H769" i="14"/>
  <c r="I769" i="14" s="1"/>
  <c r="H770" i="14"/>
  <c r="I770" i="14" s="1"/>
  <c r="H771" i="14"/>
  <c r="I771" i="14" s="1"/>
  <c r="H772" i="14"/>
  <c r="I772" i="14" s="1"/>
  <c r="H773" i="14"/>
  <c r="I773" i="14" s="1"/>
  <c r="K773" i="14" s="1"/>
  <c r="H774" i="14"/>
  <c r="I774" i="14" s="1"/>
  <c r="K774" i="14" s="1"/>
  <c r="H775" i="14"/>
  <c r="I775" i="14" s="1"/>
  <c r="K775" i="14" s="1"/>
  <c r="H776" i="14"/>
  <c r="I776" i="14" s="1"/>
  <c r="K776" i="14" s="1"/>
  <c r="H777" i="14"/>
  <c r="I777" i="14" s="1"/>
  <c r="K777" i="14" s="1"/>
  <c r="H778" i="14"/>
  <c r="I778" i="14" s="1"/>
  <c r="K778" i="14" s="1"/>
  <c r="H923" i="14"/>
  <c r="I923" i="14" s="1"/>
  <c r="K923" i="14" s="1"/>
  <c r="H948" i="14"/>
  <c r="I948" i="14" s="1"/>
  <c r="K948" i="14" s="1"/>
  <c r="H973" i="14"/>
  <c r="I973" i="14" s="1"/>
  <c r="K973" i="14" s="1"/>
  <c r="H1005" i="14"/>
  <c r="I1005" i="14" s="1"/>
  <c r="H1006" i="14"/>
  <c r="I1006" i="14" s="1"/>
  <c r="H1007" i="14"/>
  <c r="I1007" i="14" s="1"/>
  <c r="H1008" i="14"/>
  <c r="I1008" i="14" s="1"/>
  <c r="H1009" i="14"/>
  <c r="I1009" i="14" s="1"/>
  <c r="H1010" i="14"/>
  <c r="I1010" i="14" s="1"/>
  <c r="H1011" i="14"/>
  <c r="I1011" i="14" s="1"/>
  <c r="H1012" i="14"/>
  <c r="I1012" i="14" s="1"/>
  <c r="H1013" i="14"/>
  <c r="I1013" i="14" s="1"/>
  <c r="H1014" i="14"/>
  <c r="I1014" i="14" s="1"/>
  <c r="H1015" i="14"/>
  <c r="I1015" i="14" s="1"/>
  <c r="H1016" i="14"/>
  <c r="I1016" i="14" s="1"/>
  <c r="H1017" i="14"/>
  <c r="I1017" i="14" s="1"/>
  <c r="K1017" i="14" s="1"/>
  <c r="H1018" i="14"/>
  <c r="I1018" i="14" s="1"/>
  <c r="K1018" i="14" s="1"/>
  <c r="H1019" i="14"/>
  <c r="I1019" i="14" s="1"/>
  <c r="K1019" i="14" s="1"/>
  <c r="H1020" i="14"/>
  <c r="I1020" i="14" s="1"/>
  <c r="K1020" i="14" s="1"/>
  <c r="H1021" i="14"/>
  <c r="I1021" i="14" s="1"/>
  <c r="K1021" i="14" s="1"/>
  <c r="H1022" i="14"/>
  <c r="I1022" i="14" s="1"/>
  <c r="K1022" i="14" s="1"/>
  <c r="H1023" i="14"/>
  <c r="I1023" i="14" s="1"/>
  <c r="K1023" i="14" s="1"/>
  <c r="H998" i="14"/>
  <c r="I998" i="14" s="1"/>
  <c r="K998" i="14" s="1"/>
  <c r="H980" i="14"/>
  <c r="I980" i="14" s="1"/>
  <c r="H981" i="14"/>
  <c r="I981" i="14" s="1"/>
  <c r="H982" i="14"/>
  <c r="I982" i="14" s="1"/>
  <c r="H983" i="14"/>
  <c r="I983" i="14" s="1"/>
  <c r="H984" i="14"/>
  <c r="I984" i="14" s="1"/>
  <c r="H985" i="14"/>
  <c r="I985" i="14" s="1"/>
  <c r="H986" i="14"/>
  <c r="I986" i="14" s="1"/>
  <c r="H987" i="14"/>
  <c r="I987" i="14" s="1"/>
  <c r="H988" i="14"/>
  <c r="I988" i="14" s="1"/>
  <c r="H989" i="14"/>
  <c r="I989" i="14" s="1"/>
  <c r="H990" i="14"/>
  <c r="I990" i="14" s="1"/>
  <c r="H991" i="14"/>
  <c r="I991" i="14" s="1"/>
  <c r="H992" i="14"/>
  <c r="I992" i="14" s="1"/>
  <c r="K992" i="14" s="1"/>
  <c r="H993" i="14"/>
  <c r="I993" i="14" s="1"/>
  <c r="K993" i="14" s="1"/>
  <c r="H994" i="14"/>
  <c r="I994" i="14" s="1"/>
  <c r="K994" i="14" s="1"/>
  <c r="H995" i="14"/>
  <c r="I995" i="14" s="1"/>
  <c r="K995" i="14" s="1"/>
  <c r="H996" i="14"/>
  <c r="I996" i="14" s="1"/>
  <c r="K996" i="14" s="1"/>
  <c r="H997" i="14"/>
  <c r="I997" i="14" s="1"/>
  <c r="K997" i="14" s="1"/>
  <c r="H972" i="14"/>
  <c r="I972" i="14" s="1"/>
  <c r="K972" i="14" s="1"/>
  <c r="H947" i="14"/>
  <c r="I947" i="14" s="1"/>
  <c r="K947" i="14" s="1"/>
  <c r="H922" i="14"/>
  <c r="I922" i="14" s="1"/>
  <c r="K922" i="14" s="1"/>
  <c r="H898" i="14"/>
  <c r="I898" i="14" s="1"/>
  <c r="K898" i="14" s="1"/>
  <c r="H873" i="14"/>
  <c r="I873" i="14" s="1"/>
  <c r="K873" i="14" s="1"/>
  <c r="H314" i="14"/>
  <c r="I314" i="14" s="1"/>
  <c r="J314" i="14" s="1"/>
  <c r="H290" i="14"/>
  <c r="I290" i="14" s="1"/>
  <c r="J290" i="14" s="1"/>
  <c r="H288" i="14"/>
  <c r="I288" i="14" s="1"/>
  <c r="H265" i="14"/>
  <c r="I265" i="14" s="1"/>
  <c r="H241" i="14"/>
  <c r="I241" i="14" s="1"/>
  <c r="H217" i="14"/>
  <c r="I217" i="14" s="1"/>
  <c r="H216" i="14"/>
  <c r="I216" i="14" s="1"/>
  <c r="H791" i="14"/>
  <c r="I791" i="14" s="1"/>
  <c r="J791" i="14" s="1"/>
  <c r="H808" i="14"/>
  <c r="I808" i="14" s="1"/>
  <c r="J808" i="14" s="1"/>
  <c r="H830" i="14"/>
  <c r="I830" i="14" s="1"/>
  <c r="H643" i="14"/>
  <c r="I643" i="14" s="1"/>
  <c r="J643" i="14" s="1"/>
  <c r="H626" i="14"/>
  <c r="I626" i="14" s="1"/>
  <c r="J626" i="14" s="1"/>
  <c r="H599" i="14"/>
  <c r="I599" i="14" s="1"/>
  <c r="J599" i="14" s="1"/>
  <c r="H585" i="14"/>
  <c r="I585" i="14" s="1"/>
  <c r="J288" i="14" l="1"/>
  <c r="K288" i="14"/>
  <c r="J265" i="14"/>
  <c r="K265" i="14"/>
  <c r="J241" i="14"/>
  <c r="K241" i="14"/>
  <c r="J217" i="14"/>
  <c r="K217" i="14"/>
  <c r="J216" i="14"/>
  <c r="K216" i="14"/>
  <c r="J585" i="14"/>
  <c r="K585" i="14" s="1"/>
  <c r="K1035" i="14"/>
  <c r="K1034" i="14"/>
  <c r="K1033" i="14"/>
  <c r="K1031" i="14"/>
  <c r="K1030" i="14"/>
  <c r="L1024" i="14"/>
  <c r="L1027" i="14"/>
  <c r="K1027" i="14"/>
  <c r="L1026" i="14"/>
  <c r="K1026" i="14"/>
  <c r="K1028" i="14"/>
  <c r="L1028" i="14"/>
  <c r="L1025" i="14"/>
  <c r="K1025" i="14"/>
  <c r="L1029" i="14"/>
  <c r="K1029" i="14"/>
  <c r="H562" i="14"/>
  <c r="I562" i="14" s="1"/>
  <c r="K562" i="14" s="1"/>
  <c r="H538" i="14"/>
  <c r="I538" i="14" s="1"/>
  <c r="K538" i="14" s="1"/>
  <c r="H514" i="14"/>
  <c r="I514" i="14" s="1"/>
  <c r="K514" i="14" s="1"/>
  <c r="H490" i="14"/>
  <c r="I490" i="14" s="1"/>
  <c r="K490" i="14" s="1"/>
  <c r="H466" i="14"/>
  <c r="I466" i="14" s="1"/>
  <c r="K466" i="14" s="1"/>
  <c r="H3" i="14"/>
  <c r="I3" i="14" s="1"/>
  <c r="H4" i="14"/>
  <c r="I4" i="14" s="1"/>
  <c r="H5" i="14"/>
  <c r="I5" i="14" s="1"/>
  <c r="H6" i="14"/>
  <c r="I6" i="14" s="1"/>
  <c r="H7" i="14"/>
  <c r="I7" i="14" s="1"/>
  <c r="H8" i="14"/>
  <c r="I8" i="14" s="1"/>
  <c r="H9" i="14"/>
  <c r="I9" i="14" s="1"/>
  <c r="H10" i="14"/>
  <c r="I10" i="14" s="1"/>
  <c r="H11" i="14"/>
  <c r="I11" i="14" s="1"/>
  <c r="H12" i="14"/>
  <c r="I12" i="14" s="1"/>
  <c r="H13" i="14"/>
  <c r="I13" i="14" s="1"/>
  <c r="H14" i="14"/>
  <c r="I14" i="14" s="1"/>
  <c r="H15" i="14"/>
  <c r="I15" i="14" s="1"/>
  <c r="H16" i="14"/>
  <c r="I16" i="14" s="1"/>
  <c r="H17" i="14"/>
  <c r="I17" i="14" s="1"/>
  <c r="H18" i="14"/>
  <c r="I18" i="14" s="1"/>
  <c r="H19" i="14"/>
  <c r="I19" i="14" s="1"/>
  <c r="H20" i="14"/>
  <c r="I20" i="14" s="1"/>
  <c r="K20" i="14" s="1"/>
  <c r="H21" i="14"/>
  <c r="I21" i="14" s="1"/>
  <c r="K21" i="14" s="1"/>
  <c r="H22" i="14"/>
  <c r="I22" i="14" s="1"/>
  <c r="K22" i="14" s="1"/>
  <c r="H23" i="14"/>
  <c r="I23" i="14" s="1"/>
  <c r="K23" i="14" s="1"/>
  <c r="H24" i="14"/>
  <c r="I24" i="14" s="1"/>
  <c r="K24" i="14" s="1"/>
  <c r="H25" i="14"/>
  <c r="I25" i="14" s="1"/>
  <c r="K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40" i="14"/>
  <c r="I40" i="14" s="1"/>
  <c r="H41" i="14"/>
  <c r="I41" i="14" s="1"/>
  <c r="H42" i="14"/>
  <c r="I42" i="14" s="1"/>
  <c r="H43" i="14"/>
  <c r="I43" i="14" s="1"/>
  <c r="H44" i="14"/>
  <c r="I44" i="14" s="1"/>
  <c r="K44" i="14" s="1"/>
  <c r="H45" i="14"/>
  <c r="I45" i="14" s="1"/>
  <c r="K45" i="14" s="1"/>
  <c r="H46" i="14"/>
  <c r="I46" i="14" s="1"/>
  <c r="K46" i="14" s="1"/>
  <c r="H47" i="14"/>
  <c r="I47" i="14" s="1"/>
  <c r="K47" i="14" s="1"/>
  <c r="H48" i="14"/>
  <c r="I48" i="14" s="1"/>
  <c r="K48" i="14" s="1"/>
  <c r="H49" i="14"/>
  <c r="I49" i="14" s="1"/>
  <c r="K49" i="14" s="1"/>
  <c r="H50" i="14"/>
  <c r="I50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62" i="14"/>
  <c r="I62" i="14" s="1"/>
  <c r="H63" i="14"/>
  <c r="I63" i="14" s="1"/>
  <c r="H64" i="14"/>
  <c r="I64" i="14" s="1"/>
  <c r="H65" i="14"/>
  <c r="I65" i="14" s="1"/>
  <c r="H66" i="14"/>
  <c r="I66" i="14" s="1"/>
  <c r="H67" i="14"/>
  <c r="I67" i="14" s="1"/>
  <c r="H68" i="14"/>
  <c r="I68" i="14" s="1"/>
  <c r="K68" i="14" s="1"/>
  <c r="H69" i="14"/>
  <c r="I69" i="14" s="1"/>
  <c r="K69" i="14" s="1"/>
  <c r="H70" i="14"/>
  <c r="I70" i="14" s="1"/>
  <c r="K70" i="14" s="1"/>
  <c r="H71" i="14"/>
  <c r="I71" i="14" s="1"/>
  <c r="K71" i="14" s="1"/>
  <c r="H72" i="14"/>
  <c r="I72" i="14" s="1"/>
  <c r="K72" i="14" s="1"/>
  <c r="H73" i="14"/>
  <c r="I73" i="14" s="1"/>
  <c r="K73" i="14" s="1"/>
  <c r="H74" i="14"/>
  <c r="I74" i="14" s="1"/>
  <c r="H75" i="14"/>
  <c r="I75" i="14" s="1"/>
  <c r="H76" i="14"/>
  <c r="I76" i="14" s="1"/>
  <c r="H77" i="14"/>
  <c r="I77" i="14" s="1"/>
  <c r="H78" i="14"/>
  <c r="I78" i="14" s="1"/>
  <c r="H79" i="14"/>
  <c r="I79" i="14" s="1"/>
  <c r="H80" i="14"/>
  <c r="I80" i="14" s="1"/>
  <c r="H81" i="14"/>
  <c r="I81" i="14" s="1"/>
  <c r="H82" i="14"/>
  <c r="I82" i="14" s="1"/>
  <c r="H83" i="14"/>
  <c r="I83" i="14" s="1"/>
  <c r="H84" i="14"/>
  <c r="I84" i="14" s="1"/>
  <c r="H85" i="14"/>
  <c r="I85" i="14" s="1"/>
  <c r="H86" i="14"/>
  <c r="I86" i="14" s="1"/>
  <c r="H87" i="14"/>
  <c r="I87" i="14" s="1"/>
  <c r="H88" i="14"/>
  <c r="I88" i="14" s="1"/>
  <c r="H89" i="14"/>
  <c r="I89" i="14" s="1"/>
  <c r="H90" i="14"/>
  <c r="I90" i="14" s="1"/>
  <c r="H91" i="14"/>
  <c r="I91" i="14" s="1"/>
  <c r="H92" i="14"/>
  <c r="I92" i="14" s="1"/>
  <c r="K92" i="14" s="1"/>
  <c r="H93" i="14"/>
  <c r="I93" i="14" s="1"/>
  <c r="K93" i="14" s="1"/>
  <c r="H94" i="14"/>
  <c r="I94" i="14" s="1"/>
  <c r="K94" i="14" s="1"/>
  <c r="H95" i="14"/>
  <c r="I95" i="14" s="1"/>
  <c r="K95" i="14" s="1"/>
  <c r="H96" i="14"/>
  <c r="I96" i="14" s="1"/>
  <c r="K96" i="14" s="1"/>
  <c r="H97" i="14"/>
  <c r="I97" i="14" s="1"/>
  <c r="K97" i="14" s="1"/>
  <c r="I98" i="14"/>
  <c r="H99" i="14"/>
  <c r="I99" i="14" s="1"/>
  <c r="H100" i="14"/>
  <c r="I100" i="14" s="1"/>
  <c r="H101" i="14"/>
  <c r="I101" i="14" s="1"/>
  <c r="H102" i="14"/>
  <c r="I102" i="14" s="1"/>
  <c r="H103" i="14"/>
  <c r="I103" i="14" s="1"/>
  <c r="H104" i="14"/>
  <c r="I104" i="14" s="1"/>
  <c r="K104" i="14" s="1"/>
  <c r="H105" i="14"/>
  <c r="I105" i="14" s="1"/>
  <c r="K105" i="14" s="1"/>
  <c r="H106" i="14"/>
  <c r="I106" i="14" s="1"/>
  <c r="K106" i="14" s="1"/>
  <c r="H107" i="14"/>
  <c r="I107" i="14" s="1"/>
  <c r="K107" i="14" s="1"/>
  <c r="H108" i="14"/>
  <c r="I108" i="14" s="1"/>
  <c r="K108" i="14" s="1"/>
  <c r="H109" i="14"/>
  <c r="I109" i="14" s="1"/>
  <c r="H110" i="14"/>
  <c r="H111" i="14"/>
  <c r="I111" i="14" s="1"/>
  <c r="K111" i="14" s="1"/>
  <c r="H112" i="14"/>
  <c r="I112" i="14" s="1"/>
  <c r="K112" i="14" s="1"/>
  <c r="H113" i="14"/>
  <c r="I113" i="14" s="1"/>
  <c r="K113" i="14" s="1"/>
  <c r="H114" i="14"/>
  <c r="H115" i="14"/>
  <c r="I115" i="14" s="1"/>
  <c r="K115" i="14" s="1"/>
  <c r="H116" i="14"/>
  <c r="I116" i="14" s="1"/>
  <c r="K116" i="14" s="1"/>
  <c r="H117" i="14"/>
  <c r="I117" i="14" s="1"/>
  <c r="K117" i="14" s="1"/>
  <c r="H118" i="14"/>
  <c r="I118" i="14" s="1"/>
  <c r="K118" i="14" s="1"/>
  <c r="H119" i="14"/>
  <c r="I119" i="14" s="1"/>
  <c r="K119" i="14" s="1"/>
  <c r="H120" i="14"/>
  <c r="I120" i="14" s="1"/>
  <c r="K120" i="14" s="1"/>
  <c r="H121" i="14"/>
  <c r="I121" i="14" s="1"/>
  <c r="K121" i="14" s="1"/>
  <c r="H122" i="14"/>
  <c r="I122" i="14" s="1"/>
  <c r="H123" i="14"/>
  <c r="I123" i="14" s="1"/>
  <c r="H124" i="14"/>
  <c r="I124" i="14" s="1"/>
  <c r="H125" i="14"/>
  <c r="I125" i="14" s="1"/>
  <c r="H126" i="14"/>
  <c r="I126" i="14" s="1"/>
  <c r="H127" i="14"/>
  <c r="I127" i="14" s="1"/>
  <c r="H128" i="14"/>
  <c r="I128" i="14" s="1"/>
  <c r="K128" i="14" s="1"/>
  <c r="H129" i="14"/>
  <c r="I129" i="14" s="1"/>
  <c r="K129" i="14" s="1"/>
  <c r="H130" i="14"/>
  <c r="I130" i="14" s="1"/>
  <c r="K130" i="14" s="1"/>
  <c r="H131" i="14"/>
  <c r="I131" i="14" s="1"/>
  <c r="K131" i="14" s="1"/>
  <c r="H132" i="14"/>
  <c r="I132" i="14" s="1"/>
  <c r="K132" i="14" s="1"/>
  <c r="H133" i="14"/>
  <c r="I133" i="14" s="1"/>
  <c r="H134" i="14"/>
  <c r="I134" i="14" s="1"/>
  <c r="K134" i="14" s="1"/>
  <c r="H135" i="14"/>
  <c r="I135" i="14" s="1"/>
  <c r="K135" i="14" s="1"/>
  <c r="H136" i="14"/>
  <c r="I136" i="14" s="1"/>
  <c r="K136" i="14" s="1"/>
  <c r="H137" i="14"/>
  <c r="I137" i="14" s="1"/>
  <c r="K137" i="14" s="1"/>
  <c r="H138" i="14"/>
  <c r="I138" i="14" s="1"/>
  <c r="K138" i="14" s="1"/>
  <c r="H139" i="14"/>
  <c r="I139" i="14" s="1"/>
  <c r="K139" i="14" s="1"/>
  <c r="H140" i="14"/>
  <c r="I140" i="14" s="1"/>
  <c r="K140" i="14" s="1"/>
  <c r="H141" i="14"/>
  <c r="I141" i="14" s="1"/>
  <c r="K141" i="14" s="1"/>
  <c r="H142" i="14"/>
  <c r="I142" i="14" s="1"/>
  <c r="K142" i="14" s="1"/>
  <c r="H143" i="14"/>
  <c r="I143" i="14" s="1"/>
  <c r="K143" i="14" s="1"/>
  <c r="H144" i="14"/>
  <c r="I144" i="14" s="1"/>
  <c r="K144" i="14" s="1"/>
  <c r="H145" i="14"/>
  <c r="I145" i="14" s="1"/>
  <c r="K145" i="14" s="1"/>
  <c r="H146" i="14"/>
  <c r="H147" i="14"/>
  <c r="I147" i="14" s="1"/>
  <c r="H148" i="14"/>
  <c r="I148" i="14" s="1"/>
  <c r="H149" i="14"/>
  <c r="I149" i="14" s="1"/>
  <c r="H150" i="14"/>
  <c r="I150" i="14" s="1"/>
  <c r="H151" i="14"/>
  <c r="I151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K158" i="14" s="1"/>
  <c r="H159" i="14"/>
  <c r="I159" i="14" s="1"/>
  <c r="K159" i="14" s="1"/>
  <c r="H160" i="14"/>
  <c r="I160" i="14" s="1"/>
  <c r="K160" i="14" s="1"/>
  <c r="H161" i="14"/>
  <c r="I161" i="14" s="1"/>
  <c r="K161" i="14" s="1"/>
  <c r="H162" i="14"/>
  <c r="I162" i="14" s="1"/>
  <c r="K162" i="14" s="1"/>
  <c r="H163" i="14"/>
  <c r="I163" i="14" s="1"/>
  <c r="K163" i="14" s="1"/>
  <c r="H164" i="14"/>
  <c r="I164" i="14" s="1"/>
  <c r="K164" i="14" s="1"/>
  <c r="H165" i="14"/>
  <c r="I165" i="14" s="1"/>
  <c r="K165" i="14" s="1"/>
  <c r="H166" i="14"/>
  <c r="I166" i="14" s="1"/>
  <c r="K166" i="14" s="1"/>
  <c r="H167" i="14"/>
  <c r="I167" i="14" s="1"/>
  <c r="K167" i="14" s="1"/>
  <c r="H168" i="14"/>
  <c r="I168" i="14" s="1"/>
  <c r="K168" i="14" s="1"/>
  <c r="H169" i="14"/>
  <c r="I169" i="14" s="1"/>
  <c r="K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I175" i="14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I187" i="14"/>
  <c r="H188" i="14"/>
  <c r="I188" i="14" s="1"/>
  <c r="H189" i="14"/>
  <c r="I189" i="14" s="1"/>
  <c r="H190" i="14"/>
  <c r="I190" i="14" s="1"/>
  <c r="H191" i="14"/>
  <c r="I191" i="14" s="1"/>
  <c r="H192" i="14"/>
  <c r="I192" i="14" s="1"/>
  <c r="H193" i="14"/>
  <c r="I193" i="14" s="1"/>
  <c r="H194" i="14"/>
  <c r="I194" i="14" s="1"/>
  <c r="J194" i="14" s="1"/>
  <c r="H195" i="14"/>
  <c r="I195" i="14" s="1"/>
  <c r="J195" i="14" s="1"/>
  <c r="H196" i="14"/>
  <c r="I196" i="14" s="1"/>
  <c r="J196" i="14" s="1"/>
  <c r="H197" i="14"/>
  <c r="I197" i="14" s="1"/>
  <c r="J197" i="14" s="1"/>
  <c r="H198" i="14"/>
  <c r="I198" i="14" s="1"/>
  <c r="J198" i="14" s="1"/>
  <c r="H199" i="14"/>
  <c r="I199" i="14" s="1"/>
  <c r="J199" i="14" s="1"/>
  <c r="H200" i="14"/>
  <c r="I200" i="14" s="1"/>
  <c r="J200" i="14" s="1"/>
  <c r="H201" i="14"/>
  <c r="I201" i="14" s="1"/>
  <c r="J201" i="14" s="1"/>
  <c r="H202" i="14"/>
  <c r="I202" i="14" s="1"/>
  <c r="J202" i="14" s="1"/>
  <c r="H203" i="14"/>
  <c r="I203" i="14" s="1"/>
  <c r="J203" i="14" s="1"/>
  <c r="H204" i="14"/>
  <c r="I204" i="14" s="1"/>
  <c r="J204" i="14" s="1"/>
  <c r="H205" i="14"/>
  <c r="I205" i="14" s="1"/>
  <c r="J205" i="14" s="1"/>
  <c r="H206" i="14"/>
  <c r="I206" i="14" s="1"/>
  <c r="H207" i="14"/>
  <c r="I207" i="14" s="1"/>
  <c r="H208" i="14"/>
  <c r="I208" i="14" s="1"/>
  <c r="H209" i="14"/>
  <c r="I209" i="14" s="1"/>
  <c r="H210" i="14"/>
  <c r="I210" i="14" s="1"/>
  <c r="H211" i="14"/>
  <c r="I211" i="14" s="1"/>
  <c r="J211" i="14" s="1"/>
  <c r="H212" i="14"/>
  <c r="I212" i="14" s="1"/>
  <c r="H213" i="14"/>
  <c r="I213" i="14" s="1"/>
  <c r="H214" i="14"/>
  <c r="I214" i="14" s="1"/>
  <c r="H215" i="14"/>
  <c r="I215" i="14" s="1"/>
  <c r="H218" i="14"/>
  <c r="I218" i="14" s="1"/>
  <c r="J218" i="14" s="1"/>
  <c r="H219" i="14"/>
  <c r="I219" i="14" s="1"/>
  <c r="J219" i="14" s="1"/>
  <c r="H220" i="14"/>
  <c r="I220" i="14" s="1"/>
  <c r="J220" i="14" s="1"/>
  <c r="H221" i="14"/>
  <c r="I221" i="14" s="1"/>
  <c r="J221" i="14" s="1"/>
  <c r="H222" i="14"/>
  <c r="I222" i="14" s="1"/>
  <c r="J222" i="14" s="1"/>
  <c r="H223" i="14"/>
  <c r="I223" i="14" s="1"/>
  <c r="J223" i="14" s="1"/>
  <c r="H224" i="14"/>
  <c r="I224" i="14" s="1"/>
  <c r="J224" i="14" s="1"/>
  <c r="H225" i="14"/>
  <c r="I225" i="14" s="1"/>
  <c r="J225" i="14" s="1"/>
  <c r="H226" i="14"/>
  <c r="I226" i="14" s="1"/>
  <c r="J226" i="14" s="1"/>
  <c r="H227" i="14"/>
  <c r="I227" i="14" s="1"/>
  <c r="J227" i="14" s="1"/>
  <c r="H228" i="14"/>
  <c r="I228" i="14" s="1"/>
  <c r="J228" i="14" s="1"/>
  <c r="H229" i="14"/>
  <c r="I229" i="14" s="1"/>
  <c r="J229" i="14" s="1"/>
  <c r="H230" i="14"/>
  <c r="I230" i="14" s="1"/>
  <c r="H231" i="14"/>
  <c r="I231" i="14" s="1"/>
  <c r="H232" i="14"/>
  <c r="I232" i="14" s="1"/>
  <c r="H233" i="14"/>
  <c r="I233" i="14" s="1"/>
  <c r="H234" i="14"/>
  <c r="I234" i="14" s="1"/>
  <c r="H235" i="14"/>
  <c r="I235" i="14" s="1"/>
  <c r="J235" i="14" s="1"/>
  <c r="H236" i="14"/>
  <c r="I236" i="14" s="1"/>
  <c r="H237" i="14"/>
  <c r="I237" i="14" s="1"/>
  <c r="H238" i="14"/>
  <c r="I238" i="14" s="1"/>
  <c r="H239" i="14"/>
  <c r="I239" i="14" s="1"/>
  <c r="H240" i="14"/>
  <c r="I240" i="14" s="1"/>
  <c r="H242" i="14"/>
  <c r="I242" i="14" s="1"/>
  <c r="J242" i="14" s="1"/>
  <c r="H243" i="14"/>
  <c r="I243" i="14" s="1"/>
  <c r="J243" i="14" s="1"/>
  <c r="H244" i="14"/>
  <c r="I244" i="14" s="1"/>
  <c r="J244" i="14" s="1"/>
  <c r="H245" i="14"/>
  <c r="I245" i="14" s="1"/>
  <c r="J245" i="14" s="1"/>
  <c r="H246" i="14"/>
  <c r="I246" i="14" s="1"/>
  <c r="J246" i="14" s="1"/>
  <c r="H247" i="14"/>
  <c r="I247" i="14" s="1"/>
  <c r="J247" i="14" s="1"/>
  <c r="H248" i="14"/>
  <c r="I248" i="14" s="1"/>
  <c r="J248" i="14" s="1"/>
  <c r="H249" i="14"/>
  <c r="I249" i="14" s="1"/>
  <c r="J249" i="14" s="1"/>
  <c r="H250" i="14"/>
  <c r="I250" i="14" s="1"/>
  <c r="J250" i="14" s="1"/>
  <c r="H251" i="14"/>
  <c r="I251" i="14" s="1"/>
  <c r="J251" i="14" s="1"/>
  <c r="H252" i="14"/>
  <c r="I252" i="14" s="1"/>
  <c r="J252" i="14" s="1"/>
  <c r="H253" i="14"/>
  <c r="I253" i="14" s="1"/>
  <c r="J253" i="14" s="1"/>
  <c r="H254" i="14"/>
  <c r="I254" i="14" s="1"/>
  <c r="H255" i="14"/>
  <c r="I255" i="14" s="1"/>
  <c r="H256" i="14"/>
  <c r="I256" i="14" s="1"/>
  <c r="H257" i="14"/>
  <c r="I257" i="14" s="1"/>
  <c r="H258" i="14"/>
  <c r="I258" i="14" s="1"/>
  <c r="H259" i="14"/>
  <c r="I259" i="14" s="1"/>
  <c r="J259" i="14" s="1"/>
  <c r="H260" i="14"/>
  <c r="I260" i="14" s="1"/>
  <c r="H261" i="14"/>
  <c r="I261" i="14" s="1"/>
  <c r="H262" i="14"/>
  <c r="I262" i="14" s="1"/>
  <c r="H263" i="14"/>
  <c r="I263" i="14" s="1"/>
  <c r="H264" i="14"/>
  <c r="I264" i="14" s="1"/>
  <c r="H635" i="14"/>
  <c r="I635" i="14" s="1"/>
  <c r="J635" i="14" s="1"/>
  <c r="H636" i="14"/>
  <c r="I636" i="14" s="1"/>
  <c r="J636" i="14" s="1"/>
  <c r="H637" i="14"/>
  <c r="I637" i="14" s="1"/>
  <c r="J637" i="14" s="1"/>
  <c r="H638" i="14"/>
  <c r="I638" i="14" s="1"/>
  <c r="J638" i="14" s="1"/>
  <c r="H639" i="14"/>
  <c r="I639" i="14" s="1"/>
  <c r="J639" i="14" s="1"/>
  <c r="H640" i="14"/>
  <c r="I640" i="14" s="1"/>
  <c r="J640" i="14" s="1"/>
  <c r="H641" i="14"/>
  <c r="I641" i="14" s="1"/>
  <c r="J641" i="14" s="1"/>
  <c r="H642" i="14"/>
  <c r="I642" i="14" s="1"/>
  <c r="J642" i="14" s="1"/>
  <c r="H644" i="14"/>
  <c r="I644" i="14" s="1"/>
  <c r="J644" i="14" s="1"/>
  <c r="H645" i="14"/>
  <c r="I645" i="14" s="1"/>
  <c r="J645" i="14" s="1"/>
  <c r="H646" i="14"/>
  <c r="I646" i="14" s="1"/>
  <c r="J646" i="14" s="1"/>
  <c r="H647" i="14"/>
  <c r="I647" i="14" s="1"/>
  <c r="J647" i="14" s="1"/>
  <c r="H648" i="14"/>
  <c r="I648" i="14" s="1"/>
  <c r="J648" i="14" s="1"/>
  <c r="H649" i="14"/>
  <c r="I649" i="14" s="1"/>
  <c r="J649" i="14" s="1"/>
  <c r="H650" i="14"/>
  <c r="I650" i="14" s="1"/>
  <c r="J650" i="14" s="1"/>
  <c r="H651" i="14"/>
  <c r="I651" i="14" s="1"/>
  <c r="J651" i="14" s="1"/>
  <c r="H652" i="14"/>
  <c r="I652" i="14" s="1"/>
  <c r="J652" i="14" s="1"/>
  <c r="H653" i="14"/>
  <c r="I653" i="14" s="1"/>
  <c r="H654" i="14"/>
  <c r="I654" i="14" s="1"/>
  <c r="H655" i="14"/>
  <c r="I655" i="14" s="1"/>
  <c r="H656" i="14"/>
  <c r="I656" i="14" s="1"/>
  <c r="H657" i="14"/>
  <c r="I657" i="14" s="1"/>
  <c r="H658" i="14"/>
  <c r="I658" i="14" s="1"/>
  <c r="H266" i="14"/>
  <c r="I266" i="14" s="1"/>
  <c r="J266" i="14" s="1"/>
  <c r="H267" i="14"/>
  <c r="I267" i="14" s="1"/>
  <c r="J267" i="14" s="1"/>
  <c r="H268" i="14"/>
  <c r="I268" i="14" s="1"/>
  <c r="J268" i="14" s="1"/>
  <c r="H269" i="14"/>
  <c r="I269" i="14" s="1"/>
  <c r="J269" i="14" s="1"/>
  <c r="H270" i="14"/>
  <c r="I270" i="14" s="1"/>
  <c r="J270" i="14" s="1"/>
  <c r="H271" i="14"/>
  <c r="I271" i="14" s="1"/>
  <c r="J271" i="14" s="1"/>
  <c r="H272" i="14"/>
  <c r="I272" i="14" s="1"/>
  <c r="J272" i="14" s="1"/>
  <c r="H273" i="14"/>
  <c r="I273" i="14" s="1"/>
  <c r="J273" i="14" s="1"/>
  <c r="H274" i="14"/>
  <c r="I274" i="14" s="1"/>
  <c r="J274" i="14" s="1"/>
  <c r="H275" i="14"/>
  <c r="I275" i="14" s="1"/>
  <c r="J275" i="14" s="1"/>
  <c r="H276" i="14"/>
  <c r="I276" i="14" s="1"/>
  <c r="J276" i="14" s="1"/>
  <c r="H277" i="14"/>
  <c r="I277" i="14" s="1"/>
  <c r="J277" i="14" s="1"/>
  <c r="H278" i="14"/>
  <c r="I278" i="14" s="1"/>
  <c r="H279" i="14"/>
  <c r="I279" i="14" s="1"/>
  <c r="H280" i="14"/>
  <c r="I280" i="14" s="1"/>
  <c r="H281" i="14"/>
  <c r="I281" i="14" s="1"/>
  <c r="H282" i="14"/>
  <c r="I282" i="14" s="1"/>
  <c r="H283" i="14"/>
  <c r="I283" i="14" s="1"/>
  <c r="J283" i="14" s="1"/>
  <c r="H284" i="14"/>
  <c r="I284" i="14" s="1"/>
  <c r="H285" i="14"/>
  <c r="I285" i="14" s="1"/>
  <c r="H286" i="14"/>
  <c r="I286" i="14" s="1"/>
  <c r="H287" i="14"/>
  <c r="I287" i="14" s="1"/>
  <c r="H289" i="14"/>
  <c r="I289" i="14" s="1"/>
  <c r="H291" i="14"/>
  <c r="I291" i="14" s="1"/>
  <c r="J291" i="14" s="1"/>
  <c r="H292" i="14"/>
  <c r="I292" i="14" s="1"/>
  <c r="J292" i="14" s="1"/>
  <c r="H293" i="14"/>
  <c r="I293" i="14" s="1"/>
  <c r="J293" i="14" s="1"/>
  <c r="H294" i="14"/>
  <c r="I294" i="14" s="1"/>
  <c r="J294" i="14" s="1"/>
  <c r="H295" i="14"/>
  <c r="I295" i="14" s="1"/>
  <c r="J295" i="14" s="1"/>
  <c r="H296" i="14"/>
  <c r="I296" i="14" s="1"/>
  <c r="J296" i="14" s="1"/>
  <c r="H297" i="14"/>
  <c r="I297" i="14" s="1"/>
  <c r="J297" i="14" s="1"/>
  <c r="H298" i="14"/>
  <c r="I298" i="14" s="1"/>
  <c r="J298" i="14" s="1"/>
  <c r="H299" i="14"/>
  <c r="I299" i="14" s="1"/>
  <c r="J299" i="14" s="1"/>
  <c r="H300" i="14"/>
  <c r="I300" i="14" s="1"/>
  <c r="J300" i="14" s="1"/>
  <c r="H301" i="14"/>
  <c r="I301" i="14" s="1"/>
  <c r="J301" i="14" s="1"/>
  <c r="H302" i="14"/>
  <c r="I302" i="14" s="1"/>
  <c r="J302" i="14" s="1"/>
  <c r="H303" i="14"/>
  <c r="I303" i="14" s="1"/>
  <c r="J303" i="14" s="1"/>
  <c r="H304" i="14"/>
  <c r="I304" i="14" s="1"/>
  <c r="H305" i="14"/>
  <c r="I305" i="14" s="1"/>
  <c r="H306" i="14"/>
  <c r="I306" i="14" s="1"/>
  <c r="H307" i="14"/>
  <c r="I307" i="14" s="1"/>
  <c r="H308" i="14"/>
  <c r="I308" i="14" s="1"/>
  <c r="H309" i="14"/>
  <c r="I309" i="14" s="1"/>
  <c r="H310" i="14"/>
  <c r="I310" i="14" s="1"/>
  <c r="H311" i="14"/>
  <c r="I311" i="14" s="1"/>
  <c r="H312" i="14"/>
  <c r="I312" i="14" s="1"/>
  <c r="H313" i="14"/>
  <c r="I313" i="14" s="1"/>
  <c r="H315" i="14"/>
  <c r="I315" i="14" s="1"/>
  <c r="J315" i="14" s="1"/>
  <c r="H316" i="14"/>
  <c r="I316" i="14" s="1"/>
  <c r="J316" i="14" s="1"/>
  <c r="H317" i="14"/>
  <c r="I317" i="14" s="1"/>
  <c r="J317" i="14" s="1"/>
  <c r="H318" i="14"/>
  <c r="I318" i="14" s="1"/>
  <c r="J318" i="14" s="1"/>
  <c r="H319" i="14"/>
  <c r="I319" i="14" s="1"/>
  <c r="J319" i="14" s="1"/>
  <c r="H320" i="14"/>
  <c r="I320" i="14" s="1"/>
  <c r="J320" i="14" s="1"/>
  <c r="H321" i="14"/>
  <c r="I321" i="14" s="1"/>
  <c r="J321" i="14" s="1"/>
  <c r="H322" i="14"/>
  <c r="I322" i="14" s="1"/>
  <c r="J322" i="14" s="1"/>
  <c r="H323" i="14"/>
  <c r="I323" i="14" s="1"/>
  <c r="J323" i="14" s="1"/>
  <c r="H324" i="14"/>
  <c r="I324" i="14" s="1"/>
  <c r="J324" i="14" s="1"/>
  <c r="H325" i="14"/>
  <c r="I325" i="14" s="1"/>
  <c r="J325" i="14" s="1"/>
  <c r="H326" i="14"/>
  <c r="I326" i="14" s="1"/>
  <c r="J326" i="14" s="1"/>
  <c r="H327" i="14"/>
  <c r="I327" i="14" s="1"/>
  <c r="J327" i="14" s="1"/>
  <c r="H328" i="14"/>
  <c r="I328" i="14" s="1"/>
  <c r="J328" i="14" s="1"/>
  <c r="H329" i="14"/>
  <c r="I329" i="14" s="1"/>
  <c r="J329" i="14" s="1"/>
  <c r="H330" i="14"/>
  <c r="I330" i="14" s="1"/>
  <c r="J330" i="14" s="1"/>
  <c r="H331" i="14"/>
  <c r="I331" i="14" s="1"/>
  <c r="J331" i="14" s="1"/>
  <c r="H332" i="14"/>
  <c r="I332" i="14" s="1"/>
  <c r="H333" i="14"/>
  <c r="I333" i="14" s="1"/>
  <c r="H334" i="14"/>
  <c r="I334" i="14" s="1"/>
  <c r="H335" i="14"/>
  <c r="I335" i="14" s="1"/>
  <c r="H336" i="14"/>
  <c r="I336" i="14" s="1"/>
  <c r="H337" i="14"/>
  <c r="I337" i="14" s="1"/>
  <c r="K337" i="14" s="1"/>
  <c r="H338" i="14"/>
  <c r="I338" i="14" s="1"/>
  <c r="H339" i="14"/>
  <c r="I339" i="14" s="1"/>
  <c r="J339" i="14" s="1"/>
  <c r="H340" i="14"/>
  <c r="I340" i="14" s="1"/>
  <c r="J340" i="14" s="1"/>
  <c r="H341" i="14"/>
  <c r="I341" i="14" s="1"/>
  <c r="J341" i="14" s="1"/>
  <c r="H342" i="14"/>
  <c r="I342" i="14" s="1"/>
  <c r="J342" i="14" s="1"/>
  <c r="H343" i="14"/>
  <c r="I343" i="14" s="1"/>
  <c r="J343" i="14" s="1"/>
  <c r="H344" i="14"/>
  <c r="I344" i="14" s="1"/>
  <c r="J344" i="14" s="1"/>
  <c r="H345" i="14"/>
  <c r="I345" i="14" s="1"/>
  <c r="J345" i="14" s="1"/>
  <c r="H346" i="14"/>
  <c r="I346" i="14" s="1"/>
  <c r="J346" i="14" s="1"/>
  <c r="H347" i="14"/>
  <c r="I347" i="14" s="1"/>
  <c r="J347" i="14" s="1"/>
  <c r="H348" i="14"/>
  <c r="I348" i="14" s="1"/>
  <c r="J348" i="14" s="1"/>
  <c r="H349" i="14"/>
  <c r="I349" i="14" s="1"/>
  <c r="J349" i="14" s="1"/>
  <c r="H350" i="14"/>
  <c r="I350" i="14" s="1"/>
  <c r="H351" i="14"/>
  <c r="I351" i="14" s="1"/>
  <c r="H352" i="14"/>
  <c r="I352" i="14" s="1"/>
  <c r="H353" i="14"/>
  <c r="I353" i="14" s="1"/>
  <c r="H354" i="14"/>
  <c r="I354" i="14" s="1"/>
  <c r="H355" i="14"/>
  <c r="I355" i="14" s="1"/>
  <c r="J355" i="14" s="1"/>
  <c r="H356" i="14"/>
  <c r="I356" i="14" s="1"/>
  <c r="J356" i="14" s="1"/>
  <c r="H357" i="14"/>
  <c r="I357" i="14" s="1"/>
  <c r="J357" i="14" s="1"/>
  <c r="H358" i="14"/>
  <c r="I358" i="14" s="1"/>
  <c r="J358" i="14" s="1"/>
  <c r="H359" i="14"/>
  <c r="I359" i="14" s="1"/>
  <c r="J359" i="14" s="1"/>
  <c r="H360" i="14"/>
  <c r="I360" i="14" s="1"/>
  <c r="J360" i="14" s="1"/>
  <c r="H361" i="14"/>
  <c r="I361" i="14" s="1"/>
  <c r="J361" i="14" s="1"/>
  <c r="H362" i="14"/>
  <c r="I362" i="14" s="1"/>
  <c r="J362" i="14" s="1"/>
  <c r="H363" i="14"/>
  <c r="I363" i="14" s="1"/>
  <c r="J363" i="14" s="1"/>
  <c r="H364" i="14"/>
  <c r="I364" i="14" s="1"/>
  <c r="J364" i="14" s="1"/>
  <c r="H365" i="14"/>
  <c r="I365" i="14" s="1"/>
  <c r="J365" i="14" s="1"/>
  <c r="H366" i="14"/>
  <c r="I366" i="14" s="1"/>
  <c r="J366" i="14" s="1"/>
  <c r="H367" i="14"/>
  <c r="I367" i="14" s="1"/>
  <c r="J367" i="14" s="1"/>
  <c r="H368" i="14"/>
  <c r="I368" i="14" s="1"/>
  <c r="J368" i="14" s="1"/>
  <c r="H369" i="14"/>
  <c r="I369" i="14" s="1"/>
  <c r="J369" i="14" s="1"/>
  <c r="H370" i="14"/>
  <c r="I370" i="14" s="1"/>
  <c r="J370" i="14" s="1"/>
  <c r="H371" i="14"/>
  <c r="I371" i="14" s="1"/>
  <c r="J371" i="14" s="1"/>
  <c r="H372" i="14"/>
  <c r="I372" i="14" s="1"/>
  <c r="J372" i="14" s="1"/>
  <c r="H373" i="14"/>
  <c r="I373" i="14" s="1"/>
  <c r="H374" i="14"/>
  <c r="I374" i="14" s="1"/>
  <c r="H375" i="14"/>
  <c r="I375" i="14" s="1"/>
  <c r="H376" i="14"/>
  <c r="I376" i="14" s="1"/>
  <c r="H377" i="14"/>
  <c r="I377" i="14" s="1"/>
  <c r="H378" i="14"/>
  <c r="I378" i="14" s="1"/>
  <c r="J378" i="14" s="1"/>
  <c r="H379" i="14"/>
  <c r="I379" i="14" s="1"/>
  <c r="J379" i="14" s="1"/>
  <c r="H380" i="14"/>
  <c r="I380" i="14" s="1"/>
  <c r="J380" i="14" s="1"/>
  <c r="H381" i="14"/>
  <c r="I381" i="14" s="1"/>
  <c r="J381" i="14" s="1"/>
  <c r="H382" i="14"/>
  <c r="I382" i="14" s="1"/>
  <c r="J382" i="14" s="1"/>
  <c r="H383" i="14"/>
  <c r="I383" i="14" s="1"/>
  <c r="J383" i="14" s="1"/>
  <c r="H384" i="14"/>
  <c r="I384" i="14" s="1"/>
  <c r="J384" i="14" s="1"/>
  <c r="H385" i="14"/>
  <c r="I385" i="14" s="1"/>
  <c r="J385" i="14" s="1"/>
  <c r="H386" i="14"/>
  <c r="I386" i="14" s="1"/>
  <c r="J386" i="14" s="1"/>
  <c r="H387" i="14"/>
  <c r="I387" i="14" s="1"/>
  <c r="J387" i="14" s="1"/>
  <c r="H388" i="14"/>
  <c r="I388" i="14" s="1"/>
  <c r="J388" i="14" s="1"/>
  <c r="H389" i="14"/>
  <c r="I389" i="14" s="1"/>
  <c r="J389" i="14" s="1"/>
  <c r="H390" i="14"/>
  <c r="I390" i="14" s="1"/>
  <c r="J390" i="14" s="1"/>
  <c r="H391" i="14"/>
  <c r="I391" i="14" s="1"/>
  <c r="J391" i="14" s="1"/>
  <c r="H392" i="14"/>
  <c r="I392" i="14" s="1"/>
  <c r="J392" i="14" s="1"/>
  <c r="H393" i="14"/>
  <c r="I393" i="14" s="1"/>
  <c r="J393" i="14" s="1"/>
  <c r="H394" i="14"/>
  <c r="I394" i="14" s="1"/>
  <c r="J394" i="14" s="1"/>
  <c r="H395" i="14"/>
  <c r="I395" i="14" s="1"/>
  <c r="J395" i="14" s="1"/>
  <c r="H396" i="14"/>
  <c r="I396" i="14" s="1"/>
  <c r="H397" i="14"/>
  <c r="I397" i="14" s="1"/>
  <c r="H398" i="14"/>
  <c r="I398" i="14" s="1"/>
  <c r="H399" i="14"/>
  <c r="I399" i="14" s="1"/>
  <c r="H400" i="14"/>
  <c r="I400" i="14" s="1"/>
  <c r="H401" i="14"/>
  <c r="I401" i="14" s="1"/>
  <c r="J401" i="14" s="1"/>
  <c r="H402" i="14"/>
  <c r="I402" i="14" s="1"/>
  <c r="J402" i="14" s="1"/>
  <c r="H403" i="14"/>
  <c r="I403" i="14" s="1"/>
  <c r="J403" i="14" s="1"/>
  <c r="H404" i="14"/>
  <c r="I404" i="14" s="1"/>
  <c r="J404" i="14" s="1"/>
  <c r="H405" i="14"/>
  <c r="I405" i="14" s="1"/>
  <c r="J405" i="14" s="1"/>
  <c r="H406" i="14"/>
  <c r="I406" i="14" s="1"/>
  <c r="J406" i="14" s="1"/>
  <c r="H407" i="14"/>
  <c r="I407" i="14" s="1"/>
  <c r="J407" i="14" s="1"/>
  <c r="H408" i="14"/>
  <c r="I408" i="14" s="1"/>
  <c r="J408" i="14" s="1"/>
  <c r="H409" i="14"/>
  <c r="I409" i="14" s="1"/>
  <c r="J409" i="14" s="1"/>
  <c r="H410" i="14"/>
  <c r="I410" i="14" s="1"/>
  <c r="J410" i="14" s="1"/>
  <c r="H411" i="14"/>
  <c r="I411" i="14" s="1"/>
  <c r="J411" i="14" s="1"/>
  <c r="H412" i="14"/>
  <c r="I412" i="14" s="1"/>
  <c r="J412" i="14" s="1"/>
  <c r="H413" i="14"/>
  <c r="I413" i="14" s="1"/>
  <c r="J413" i="14" s="1"/>
  <c r="H414" i="14"/>
  <c r="I414" i="14" s="1"/>
  <c r="J414" i="14" s="1"/>
  <c r="H415" i="14"/>
  <c r="I415" i="14" s="1"/>
  <c r="J415" i="14" s="1"/>
  <c r="H416" i="14"/>
  <c r="I416" i="14" s="1"/>
  <c r="J416" i="14" s="1"/>
  <c r="H417" i="14"/>
  <c r="I417" i="14" s="1"/>
  <c r="J417" i="14" s="1"/>
  <c r="H418" i="14"/>
  <c r="I418" i="14" s="1"/>
  <c r="J418" i="14" s="1"/>
  <c r="H419" i="14"/>
  <c r="I419" i="14" s="1"/>
  <c r="H420" i="14"/>
  <c r="I420" i="14" s="1"/>
  <c r="H421" i="14"/>
  <c r="I421" i="14" s="1"/>
  <c r="H422" i="14"/>
  <c r="I422" i="14" s="1"/>
  <c r="H423" i="14"/>
  <c r="I423" i="14" s="1"/>
  <c r="H424" i="14"/>
  <c r="I424" i="14" s="1"/>
  <c r="H425" i="14"/>
  <c r="I425" i="14" s="1"/>
  <c r="H426" i="14"/>
  <c r="I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K437" i="14" s="1"/>
  <c r="H438" i="14"/>
  <c r="I438" i="14" s="1"/>
  <c r="K438" i="14" s="1"/>
  <c r="H439" i="14"/>
  <c r="I439" i="14" s="1"/>
  <c r="K439" i="14" s="1"/>
  <c r="H440" i="14"/>
  <c r="I440" i="14" s="1"/>
  <c r="K440" i="14" s="1"/>
  <c r="H441" i="14"/>
  <c r="I441" i="14" s="1"/>
  <c r="K441" i="14" s="1"/>
  <c r="H442" i="14"/>
  <c r="I442" i="14" s="1"/>
  <c r="K442" i="14" s="1"/>
  <c r="H443" i="14"/>
  <c r="I443" i="14" s="1"/>
  <c r="H444" i="14"/>
  <c r="I444" i="14" s="1"/>
  <c r="H445" i="14"/>
  <c r="I445" i="14" s="1"/>
  <c r="H446" i="14"/>
  <c r="I446" i="14" s="1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457" i="14"/>
  <c r="I457" i="14" s="1"/>
  <c r="H458" i="14"/>
  <c r="I458" i="14" s="1"/>
  <c r="H459" i="14"/>
  <c r="I459" i="14" s="1"/>
  <c r="H460" i="14"/>
  <c r="I460" i="14" s="1"/>
  <c r="H461" i="14"/>
  <c r="I461" i="14" s="1"/>
  <c r="K461" i="14" s="1"/>
  <c r="H462" i="14"/>
  <c r="I462" i="14" s="1"/>
  <c r="K462" i="14" s="1"/>
  <c r="H463" i="14"/>
  <c r="I463" i="14" s="1"/>
  <c r="K463" i="14" s="1"/>
  <c r="H464" i="14"/>
  <c r="I464" i="14" s="1"/>
  <c r="K464" i="14" s="1"/>
  <c r="H465" i="14"/>
  <c r="I465" i="14" s="1"/>
  <c r="K465" i="14" s="1"/>
  <c r="H467" i="14"/>
  <c r="I467" i="14" s="1"/>
  <c r="H468" i="14"/>
  <c r="I468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5" i="14"/>
  <c r="I475" i="14" s="1"/>
  <c r="H476" i="14"/>
  <c r="I476" i="14" s="1"/>
  <c r="H477" i="14"/>
  <c r="I477" i="14" s="1"/>
  <c r="H478" i="14"/>
  <c r="I478" i="14" s="1"/>
  <c r="H479" i="14"/>
  <c r="I479" i="14" s="1"/>
  <c r="H480" i="14"/>
  <c r="I480" i="14" s="1"/>
  <c r="H481" i="14"/>
  <c r="I481" i="14" s="1"/>
  <c r="H482" i="14"/>
  <c r="I482" i="14" s="1"/>
  <c r="H483" i="14"/>
  <c r="I483" i="14" s="1"/>
  <c r="H484" i="14"/>
  <c r="I484" i="14" s="1"/>
  <c r="H485" i="14"/>
  <c r="I485" i="14" s="1"/>
  <c r="K485" i="14" s="1"/>
  <c r="H486" i="14"/>
  <c r="I486" i="14" s="1"/>
  <c r="K486" i="14" s="1"/>
  <c r="H487" i="14"/>
  <c r="I487" i="14" s="1"/>
  <c r="K487" i="14" s="1"/>
  <c r="H488" i="14"/>
  <c r="I488" i="14" s="1"/>
  <c r="K488" i="14" s="1"/>
  <c r="H489" i="14"/>
  <c r="I489" i="14" s="1"/>
  <c r="K489" i="14" s="1"/>
  <c r="H491" i="14"/>
  <c r="I491" i="14" s="1"/>
  <c r="H492" i="14"/>
  <c r="I492" i="14" s="1"/>
  <c r="H493" i="14"/>
  <c r="I493" i="14" s="1"/>
  <c r="H494" i="14"/>
  <c r="I494" i="14" s="1"/>
  <c r="H495" i="14"/>
  <c r="I495" i="14" s="1"/>
  <c r="H496" i="14"/>
  <c r="I496" i="14" s="1"/>
  <c r="H497" i="14"/>
  <c r="I497" i="14" s="1"/>
  <c r="H498" i="14"/>
  <c r="I498" i="14" s="1"/>
  <c r="H499" i="14"/>
  <c r="I499" i="14" s="1"/>
  <c r="H500" i="14"/>
  <c r="I500" i="14" s="1"/>
  <c r="H501" i="14"/>
  <c r="I501" i="14" s="1"/>
  <c r="H502" i="14"/>
  <c r="I502" i="14" s="1"/>
  <c r="H503" i="14"/>
  <c r="I503" i="14" s="1"/>
  <c r="H504" i="14"/>
  <c r="I504" i="14" s="1"/>
  <c r="H505" i="14"/>
  <c r="I505" i="14" s="1"/>
  <c r="H506" i="14"/>
  <c r="I506" i="14" s="1"/>
  <c r="H507" i="14"/>
  <c r="I507" i="14" s="1"/>
  <c r="H508" i="14"/>
  <c r="I508" i="14" s="1"/>
  <c r="H509" i="14"/>
  <c r="I509" i="14" s="1"/>
  <c r="K509" i="14" s="1"/>
  <c r="H510" i="14"/>
  <c r="I510" i="14" s="1"/>
  <c r="K510" i="14" s="1"/>
  <c r="H511" i="14"/>
  <c r="I511" i="14" s="1"/>
  <c r="K511" i="14" s="1"/>
  <c r="H512" i="14"/>
  <c r="I512" i="14" s="1"/>
  <c r="K512" i="14" s="1"/>
  <c r="H513" i="14"/>
  <c r="I513" i="14" s="1"/>
  <c r="K513" i="14" s="1"/>
  <c r="H515" i="14"/>
  <c r="I515" i="14" s="1"/>
  <c r="H516" i="14"/>
  <c r="I516" i="14" s="1"/>
  <c r="H517" i="14"/>
  <c r="I517" i="14" s="1"/>
  <c r="H518" i="14"/>
  <c r="I518" i="14" s="1"/>
  <c r="H519" i="14"/>
  <c r="I519" i="14" s="1"/>
  <c r="H520" i="14"/>
  <c r="I520" i="14" s="1"/>
  <c r="H521" i="14"/>
  <c r="I521" i="14" s="1"/>
  <c r="H522" i="14"/>
  <c r="I522" i="14" s="1"/>
  <c r="H523" i="14"/>
  <c r="I523" i="14" s="1"/>
  <c r="H524" i="14"/>
  <c r="I524" i="14" s="1"/>
  <c r="H525" i="14"/>
  <c r="I525" i="14" s="1"/>
  <c r="H526" i="14"/>
  <c r="I526" i="14" s="1"/>
  <c r="H527" i="14"/>
  <c r="I527" i="14" s="1"/>
  <c r="H528" i="14"/>
  <c r="I528" i="14" s="1"/>
  <c r="H529" i="14"/>
  <c r="I529" i="14" s="1"/>
  <c r="H530" i="14"/>
  <c r="I530" i="14" s="1"/>
  <c r="H531" i="14"/>
  <c r="I531" i="14" s="1"/>
  <c r="H532" i="14"/>
  <c r="I532" i="14" s="1"/>
  <c r="H533" i="14"/>
  <c r="I533" i="14" s="1"/>
  <c r="K533" i="14" s="1"/>
  <c r="H534" i="14"/>
  <c r="I534" i="14" s="1"/>
  <c r="K534" i="14" s="1"/>
  <c r="H535" i="14"/>
  <c r="I535" i="14" s="1"/>
  <c r="K535" i="14" s="1"/>
  <c r="H536" i="14"/>
  <c r="I536" i="14" s="1"/>
  <c r="K536" i="14" s="1"/>
  <c r="H537" i="14"/>
  <c r="I537" i="14" s="1"/>
  <c r="K537" i="14" s="1"/>
  <c r="H539" i="14"/>
  <c r="I539" i="14" s="1"/>
  <c r="H540" i="14"/>
  <c r="I540" i="14" s="1"/>
  <c r="H541" i="14"/>
  <c r="I541" i="14" s="1"/>
  <c r="H542" i="14"/>
  <c r="I542" i="14" s="1"/>
  <c r="H543" i="14"/>
  <c r="I543" i="14" s="1"/>
  <c r="H544" i="14"/>
  <c r="I544" i="14" s="1"/>
  <c r="H545" i="14"/>
  <c r="I545" i="14" s="1"/>
  <c r="H546" i="14"/>
  <c r="I546" i="14" s="1"/>
  <c r="H547" i="14"/>
  <c r="I547" i="14" s="1"/>
  <c r="H548" i="14"/>
  <c r="I548" i="14" s="1"/>
  <c r="H549" i="14"/>
  <c r="I549" i="14" s="1"/>
  <c r="H550" i="14"/>
  <c r="I550" i="14" s="1"/>
  <c r="H551" i="14"/>
  <c r="I551" i="14" s="1"/>
  <c r="H552" i="14"/>
  <c r="I552" i="14" s="1"/>
  <c r="H553" i="14"/>
  <c r="I553" i="14" s="1"/>
  <c r="H554" i="14"/>
  <c r="I554" i="14" s="1"/>
  <c r="H555" i="14"/>
  <c r="I555" i="14" s="1"/>
  <c r="H556" i="14"/>
  <c r="I556" i="14" s="1"/>
  <c r="H557" i="14"/>
  <c r="I557" i="14" s="1"/>
  <c r="K557" i="14" s="1"/>
  <c r="H558" i="14"/>
  <c r="I558" i="14" s="1"/>
  <c r="K558" i="14" s="1"/>
  <c r="H559" i="14"/>
  <c r="I559" i="14" s="1"/>
  <c r="K559" i="14" s="1"/>
  <c r="H560" i="14"/>
  <c r="I560" i="14" s="1"/>
  <c r="K560" i="14" s="1"/>
  <c r="H561" i="14"/>
  <c r="I561" i="14" s="1"/>
  <c r="K561" i="14" s="1"/>
  <c r="H563" i="14"/>
  <c r="I563" i="14" s="1"/>
  <c r="J563" i="14" s="1"/>
  <c r="H564" i="14"/>
  <c r="I564" i="14" s="1"/>
  <c r="J564" i="14" s="1"/>
  <c r="H565" i="14"/>
  <c r="I565" i="14" s="1"/>
  <c r="J565" i="14" s="1"/>
  <c r="H566" i="14"/>
  <c r="I566" i="14" s="1"/>
  <c r="J566" i="14" s="1"/>
  <c r="H567" i="14"/>
  <c r="I567" i="14" s="1"/>
  <c r="J567" i="14" s="1"/>
  <c r="H568" i="14"/>
  <c r="I568" i="14" s="1"/>
  <c r="J568" i="14" s="1"/>
  <c r="H569" i="14"/>
  <c r="I569" i="14" s="1"/>
  <c r="J569" i="14" s="1"/>
  <c r="H570" i="14"/>
  <c r="I570" i="14" s="1"/>
  <c r="J570" i="14" s="1"/>
  <c r="H571" i="14"/>
  <c r="I571" i="14" s="1"/>
  <c r="J571" i="14" s="1"/>
  <c r="H572" i="14"/>
  <c r="I572" i="14" s="1"/>
  <c r="J572" i="14" s="1"/>
  <c r="H573" i="14"/>
  <c r="I573" i="14" s="1"/>
  <c r="J573" i="14" s="1"/>
  <c r="H574" i="14"/>
  <c r="I574" i="14" s="1"/>
  <c r="J574" i="14" s="1"/>
  <c r="H575" i="14"/>
  <c r="I575" i="14" s="1"/>
  <c r="J575" i="14" s="1"/>
  <c r="H576" i="14"/>
  <c r="I576" i="14" s="1"/>
  <c r="J576" i="14" s="1"/>
  <c r="H577" i="14"/>
  <c r="I577" i="14" s="1"/>
  <c r="J577" i="14" s="1"/>
  <c r="H578" i="14"/>
  <c r="I578" i="14" s="1"/>
  <c r="J578" i="14" s="1"/>
  <c r="H579" i="14"/>
  <c r="I579" i="14" s="1"/>
  <c r="J579" i="14" s="1"/>
  <c r="H580" i="14"/>
  <c r="I580" i="14" s="1"/>
  <c r="J580" i="14" s="1"/>
  <c r="H581" i="14"/>
  <c r="I581" i="14" s="1"/>
  <c r="H582" i="14"/>
  <c r="I582" i="14" s="1"/>
  <c r="H583" i="14"/>
  <c r="I583" i="14" s="1"/>
  <c r="H584" i="14"/>
  <c r="I584" i="14" s="1"/>
  <c r="H586" i="14"/>
  <c r="I586" i="14" s="1"/>
  <c r="K586" i="14" s="1"/>
  <c r="H587" i="14"/>
  <c r="I587" i="14" s="1"/>
  <c r="J587" i="14" s="1"/>
  <c r="H588" i="14"/>
  <c r="I588" i="14" s="1"/>
  <c r="J588" i="14" s="1"/>
  <c r="H589" i="14"/>
  <c r="I589" i="14" s="1"/>
  <c r="J589" i="14" s="1"/>
  <c r="H590" i="14"/>
  <c r="I590" i="14" s="1"/>
  <c r="J590" i="14" s="1"/>
  <c r="H591" i="14"/>
  <c r="I591" i="14" s="1"/>
  <c r="J591" i="14" s="1"/>
  <c r="H592" i="14"/>
  <c r="I592" i="14" s="1"/>
  <c r="J592" i="14" s="1"/>
  <c r="H593" i="14"/>
  <c r="I593" i="14" s="1"/>
  <c r="J593" i="14" s="1"/>
  <c r="H594" i="14"/>
  <c r="I594" i="14" s="1"/>
  <c r="J594" i="14" s="1"/>
  <c r="H595" i="14"/>
  <c r="I595" i="14" s="1"/>
  <c r="J595" i="14" s="1"/>
  <c r="H596" i="14"/>
  <c r="I596" i="14" s="1"/>
  <c r="J596" i="14" s="1"/>
  <c r="H597" i="14"/>
  <c r="I597" i="14" s="1"/>
  <c r="J597" i="14" s="1"/>
  <c r="H598" i="14"/>
  <c r="I598" i="14" s="1"/>
  <c r="J598" i="14" s="1"/>
  <c r="H600" i="14"/>
  <c r="I600" i="14" s="1"/>
  <c r="J600" i="14" s="1"/>
  <c r="H601" i="14"/>
  <c r="I601" i="14" s="1"/>
  <c r="J601" i="14" s="1"/>
  <c r="H602" i="14"/>
  <c r="I602" i="14" s="1"/>
  <c r="J602" i="14" s="1"/>
  <c r="H603" i="14"/>
  <c r="I603" i="14" s="1"/>
  <c r="J603" i="14" s="1"/>
  <c r="H604" i="14"/>
  <c r="I604" i="14" s="1"/>
  <c r="J604" i="14" s="1"/>
  <c r="H605" i="14"/>
  <c r="I605" i="14" s="1"/>
  <c r="H606" i="14"/>
  <c r="I606" i="14" s="1"/>
  <c r="H607" i="14"/>
  <c r="I607" i="14" s="1"/>
  <c r="H608" i="14"/>
  <c r="I608" i="14" s="1"/>
  <c r="H609" i="14"/>
  <c r="I609" i="14" s="1"/>
  <c r="K609" i="14" s="1"/>
  <c r="H610" i="14"/>
  <c r="I610" i="14" s="1"/>
  <c r="K610" i="14" s="1"/>
  <c r="H611" i="14"/>
  <c r="I611" i="14" s="1"/>
  <c r="J611" i="14" s="1"/>
  <c r="H612" i="14"/>
  <c r="I612" i="14" s="1"/>
  <c r="J612" i="14" s="1"/>
  <c r="H613" i="14"/>
  <c r="I613" i="14" s="1"/>
  <c r="J613" i="14" s="1"/>
  <c r="H614" i="14"/>
  <c r="I614" i="14" s="1"/>
  <c r="J614" i="14" s="1"/>
  <c r="H615" i="14"/>
  <c r="I615" i="14" s="1"/>
  <c r="J615" i="14" s="1"/>
  <c r="H616" i="14"/>
  <c r="I616" i="14" s="1"/>
  <c r="J616" i="14" s="1"/>
  <c r="H617" i="14"/>
  <c r="I617" i="14" s="1"/>
  <c r="J617" i="14" s="1"/>
  <c r="H618" i="14"/>
  <c r="I618" i="14" s="1"/>
  <c r="J618" i="14" s="1"/>
  <c r="H619" i="14"/>
  <c r="I619" i="14" s="1"/>
  <c r="J619" i="14" s="1"/>
  <c r="H620" i="14"/>
  <c r="I620" i="14" s="1"/>
  <c r="J620" i="14" s="1"/>
  <c r="H621" i="14"/>
  <c r="I621" i="14" s="1"/>
  <c r="J621" i="14" s="1"/>
  <c r="H622" i="14"/>
  <c r="I622" i="14" s="1"/>
  <c r="J622" i="14" s="1"/>
  <c r="H623" i="14"/>
  <c r="I623" i="14" s="1"/>
  <c r="J623" i="14" s="1"/>
  <c r="H624" i="14"/>
  <c r="I624" i="14" s="1"/>
  <c r="J624" i="14" s="1"/>
  <c r="H625" i="14"/>
  <c r="I625" i="14" s="1"/>
  <c r="J625" i="14" s="1"/>
  <c r="H627" i="14"/>
  <c r="I627" i="14" s="1"/>
  <c r="J627" i="14" s="1"/>
  <c r="H628" i="14"/>
  <c r="I628" i="14" s="1"/>
  <c r="J628" i="14" s="1"/>
  <c r="H629" i="14"/>
  <c r="I629" i="14" s="1"/>
  <c r="H630" i="14"/>
  <c r="I630" i="14" s="1"/>
  <c r="H631" i="14"/>
  <c r="I631" i="14" s="1"/>
  <c r="H632" i="14"/>
  <c r="I632" i="14" s="1"/>
  <c r="H633" i="14"/>
  <c r="I633" i="14" s="1"/>
  <c r="H634" i="14"/>
  <c r="I634" i="14" s="1"/>
  <c r="K634" i="14" s="1"/>
  <c r="H659" i="14"/>
  <c r="I659" i="14" s="1"/>
  <c r="H660" i="14"/>
  <c r="I660" i="14" s="1"/>
  <c r="H661" i="14"/>
  <c r="I661" i="14" s="1"/>
  <c r="H662" i="14"/>
  <c r="I662" i="14" s="1"/>
  <c r="H663" i="14"/>
  <c r="I663" i="14" s="1"/>
  <c r="H664" i="14"/>
  <c r="I664" i="14" s="1"/>
  <c r="H665" i="14"/>
  <c r="I665" i="14" s="1"/>
  <c r="H666" i="14"/>
  <c r="I666" i="14" s="1"/>
  <c r="H667" i="14"/>
  <c r="I667" i="14" s="1"/>
  <c r="H668" i="14"/>
  <c r="I668" i="14" s="1"/>
  <c r="H669" i="14"/>
  <c r="I669" i="14" s="1"/>
  <c r="H670" i="14"/>
  <c r="I670" i="14" s="1"/>
  <c r="H671" i="14"/>
  <c r="I671" i="14" s="1"/>
  <c r="H672" i="14"/>
  <c r="I672" i="14" s="1"/>
  <c r="H673" i="14"/>
  <c r="I673" i="14" s="1"/>
  <c r="H674" i="14"/>
  <c r="I674" i="14" s="1"/>
  <c r="H675" i="14"/>
  <c r="I675" i="14" s="1"/>
  <c r="H676" i="14"/>
  <c r="I676" i="14" s="1"/>
  <c r="H677" i="14"/>
  <c r="I677" i="14" s="1"/>
  <c r="K677" i="14" s="1"/>
  <c r="H678" i="14"/>
  <c r="I678" i="14" s="1"/>
  <c r="K678" i="14" s="1"/>
  <c r="H679" i="14"/>
  <c r="I679" i="14" s="1"/>
  <c r="K679" i="14" s="1"/>
  <c r="H680" i="14"/>
  <c r="I680" i="14" s="1"/>
  <c r="K680" i="14" s="1"/>
  <c r="H681" i="14"/>
  <c r="I681" i="14" s="1"/>
  <c r="K681" i="14" s="1"/>
  <c r="H683" i="14"/>
  <c r="I683" i="14" s="1"/>
  <c r="H684" i="14"/>
  <c r="I684" i="14" s="1"/>
  <c r="H685" i="14"/>
  <c r="I685" i="14" s="1"/>
  <c r="H686" i="14"/>
  <c r="I686" i="14" s="1"/>
  <c r="H687" i="14"/>
  <c r="I687" i="14" s="1"/>
  <c r="H688" i="14"/>
  <c r="I688" i="14" s="1"/>
  <c r="H689" i="14"/>
  <c r="I689" i="14" s="1"/>
  <c r="H690" i="14"/>
  <c r="I690" i="14" s="1"/>
  <c r="H691" i="14"/>
  <c r="I691" i="14" s="1"/>
  <c r="H692" i="14"/>
  <c r="I692" i="14" s="1"/>
  <c r="H693" i="14"/>
  <c r="I693" i="14" s="1"/>
  <c r="H694" i="14"/>
  <c r="I694" i="14" s="1"/>
  <c r="H695" i="14"/>
  <c r="I695" i="14" s="1"/>
  <c r="H696" i="14"/>
  <c r="I696" i="14" s="1"/>
  <c r="H697" i="14"/>
  <c r="I697" i="14" s="1"/>
  <c r="H698" i="14"/>
  <c r="I698" i="14" s="1"/>
  <c r="H699" i="14"/>
  <c r="I699" i="14" s="1"/>
  <c r="H700" i="14"/>
  <c r="I700" i="14" s="1"/>
  <c r="H701" i="14"/>
  <c r="I701" i="14" s="1"/>
  <c r="K701" i="14" s="1"/>
  <c r="H702" i="14"/>
  <c r="I702" i="14" s="1"/>
  <c r="K702" i="14" s="1"/>
  <c r="H703" i="14"/>
  <c r="I703" i="14" s="1"/>
  <c r="K703" i="14" s="1"/>
  <c r="H704" i="14"/>
  <c r="I704" i="14" s="1"/>
  <c r="K704" i="14" s="1"/>
  <c r="H705" i="14"/>
  <c r="I705" i="14" s="1"/>
  <c r="K705" i="14" s="1"/>
  <c r="H707" i="14"/>
  <c r="I707" i="14" s="1"/>
  <c r="H708" i="14"/>
  <c r="I708" i="14" s="1"/>
  <c r="H709" i="14"/>
  <c r="I709" i="14" s="1"/>
  <c r="H710" i="14"/>
  <c r="I710" i="14" s="1"/>
  <c r="H711" i="14"/>
  <c r="I711" i="14" s="1"/>
  <c r="H712" i="14"/>
  <c r="I712" i="14" s="1"/>
  <c r="H713" i="14"/>
  <c r="I713" i="14" s="1"/>
  <c r="H714" i="14"/>
  <c r="I714" i="14" s="1"/>
  <c r="H715" i="14"/>
  <c r="I715" i="14" s="1"/>
  <c r="H716" i="14"/>
  <c r="I716" i="14" s="1"/>
  <c r="H717" i="14"/>
  <c r="I717" i="14" s="1"/>
  <c r="H718" i="14"/>
  <c r="I718" i="14" s="1"/>
  <c r="H719" i="14"/>
  <c r="I719" i="14" s="1"/>
  <c r="H720" i="14"/>
  <c r="I720" i="14" s="1"/>
  <c r="H721" i="14"/>
  <c r="I721" i="14" s="1"/>
  <c r="H722" i="14"/>
  <c r="I722" i="14" s="1"/>
  <c r="H723" i="14"/>
  <c r="I723" i="14" s="1"/>
  <c r="H724" i="14"/>
  <c r="I724" i="14" s="1"/>
  <c r="H725" i="14"/>
  <c r="I725" i="14" s="1"/>
  <c r="K725" i="14" s="1"/>
  <c r="H726" i="14"/>
  <c r="I726" i="14" s="1"/>
  <c r="K726" i="14" s="1"/>
  <c r="H727" i="14"/>
  <c r="I727" i="14" s="1"/>
  <c r="K727" i="14" s="1"/>
  <c r="H728" i="14"/>
  <c r="I728" i="14" s="1"/>
  <c r="K728" i="14" s="1"/>
  <c r="H729" i="14"/>
  <c r="I729" i="14" s="1"/>
  <c r="K729" i="14" s="1"/>
  <c r="H731" i="14"/>
  <c r="I731" i="14" s="1"/>
  <c r="H732" i="14"/>
  <c r="I732" i="14" s="1"/>
  <c r="H733" i="14"/>
  <c r="I733" i="14" s="1"/>
  <c r="H734" i="14"/>
  <c r="I734" i="14" s="1"/>
  <c r="H735" i="14"/>
  <c r="I735" i="14" s="1"/>
  <c r="H736" i="14"/>
  <c r="I736" i="14" s="1"/>
  <c r="H737" i="14"/>
  <c r="I737" i="14" s="1"/>
  <c r="H738" i="14"/>
  <c r="I738" i="14" s="1"/>
  <c r="H739" i="14"/>
  <c r="I739" i="14" s="1"/>
  <c r="H740" i="14"/>
  <c r="I740" i="14" s="1"/>
  <c r="H741" i="14"/>
  <c r="I741" i="14" s="1"/>
  <c r="H742" i="14"/>
  <c r="I742" i="14" s="1"/>
  <c r="H743" i="14"/>
  <c r="I743" i="14" s="1"/>
  <c r="H744" i="14"/>
  <c r="I744" i="14" s="1"/>
  <c r="H745" i="14"/>
  <c r="I745" i="14" s="1"/>
  <c r="H746" i="14"/>
  <c r="I746" i="14" s="1"/>
  <c r="H747" i="14"/>
  <c r="I747" i="14" s="1"/>
  <c r="H748" i="14"/>
  <c r="I748" i="14" s="1"/>
  <c r="H749" i="14"/>
  <c r="I749" i="14" s="1"/>
  <c r="K749" i="14" s="1"/>
  <c r="H750" i="14"/>
  <c r="I750" i="14" s="1"/>
  <c r="K750" i="14" s="1"/>
  <c r="H751" i="14"/>
  <c r="I751" i="14" s="1"/>
  <c r="K751" i="14" s="1"/>
  <c r="H752" i="14"/>
  <c r="I752" i="14" s="1"/>
  <c r="K752" i="14" s="1"/>
  <c r="H753" i="14"/>
  <c r="I753" i="14" s="1"/>
  <c r="K753" i="14" s="1"/>
  <c r="H755" i="14"/>
  <c r="I755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79" i="14"/>
  <c r="I779" i="14" s="1"/>
  <c r="J779" i="14" s="1"/>
  <c r="H780" i="14"/>
  <c r="I780" i="14" s="1"/>
  <c r="J780" i="14" s="1"/>
  <c r="H781" i="14"/>
  <c r="I781" i="14" s="1"/>
  <c r="J781" i="14" s="1"/>
  <c r="H782" i="14"/>
  <c r="I782" i="14" s="1"/>
  <c r="J782" i="14" s="1"/>
  <c r="H783" i="14"/>
  <c r="I783" i="14" s="1"/>
  <c r="J783" i="14" s="1"/>
  <c r="H784" i="14"/>
  <c r="I784" i="14" s="1"/>
  <c r="J784" i="14" s="1"/>
  <c r="H785" i="14"/>
  <c r="I785" i="14" s="1"/>
  <c r="J785" i="14" s="1"/>
  <c r="H786" i="14"/>
  <c r="I786" i="14" s="1"/>
  <c r="J786" i="14" s="1"/>
  <c r="H787" i="14"/>
  <c r="I787" i="14" s="1"/>
  <c r="J787" i="14" s="1"/>
  <c r="H788" i="14"/>
  <c r="I788" i="14" s="1"/>
  <c r="J788" i="14" s="1"/>
  <c r="H789" i="14"/>
  <c r="I789" i="14" s="1"/>
  <c r="J789" i="14" s="1"/>
  <c r="H790" i="14"/>
  <c r="I790" i="14" s="1"/>
  <c r="J790" i="14" s="1"/>
  <c r="H792" i="14"/>
  <c r="I792" i="14" s="1"/>
  <c r="J792" i="14" s="1"/>
  <c r="H793" i="14"/>
  <c r="I793" i="14" s="1"/>
  <c r="J793" i="14" s="1"/>
  <c r="H794" i="14"/>
  <c r="I794" i="14" s="1"/>
  <c r="J794" i="14" s="1"/>
  <c r="H795" i="14"/>
  <c r="I795" i="14" s="1"/>
  <c r="J795" i="14" s="1"/>
  <c r="H796" i="14"/>
  <c r="I796" i="14" s="1"/>
  <c r="J796" i="14" s="1"/>
  <c r="H797" i="14"/>
  <c r="I797" i="14" s="1"/>
  <c r="H798" i="14"/>
  <c r="I798" i="14" s="1"/>
  <c r="H799" i="14"/>
  <c r="I799" i="14" s="1"/>
  <c r="H800" i="14"/>
  <c r="I800" i="14" s="1"/>
  <c r="H801" i="14"/>
  <c r="I801" i="14" s="1"/>
  <c r="H802" i="14"/>
  <c r="I802" i="14" s="1"/>
  <c r="H803" i="14"/>
  <c r="I803" i="14" s="1"/>
  <c r="J803" i="14" s="1"/>
  <c r="H804" i="14"/>
  <c r="I804" i="14" s="1"/>
  <c r="J804" i="14" s="1"/>
  <c r="H805" i="14"/>
  <c r="I805" i="14" s="1"/>
  <c r="H806" i="14"/>
  <c r="I806" i="14" s="1"/>
  <c r="H807" i="14"/>
  <c r="I807" i="14" s="1"/>
  <c r="H809" i="14"/>
  <c r="I809" i="14" s="1"/>
  <c r="H810" i="14"/>
  <c r="I810" i="14" s="1"/>
  <c r="J810" i="14" s="1"/>
  <c r="H811" i="14"/>
  <c r="I811" i="14" s="1"/>
  <c r="J811" i="14" s="1"/>
  <c r="H812" i="14"/>
  <c r="I812" i="14" s="1"/>
  <c r="J812" i="14" s="1"/>
  <c r="H813" i="14"/>
  <c r="I813" i="14" s="1"/>
  <c r="J813" i="14" s="1"/>
  <c r="H814" i="14"/>
  <c r="I814" i="14" s="1"/>
  <c r="J814" i="14" s="1"/>
  <c r="H815" i="14"/>
  <c r="I815" i="14" s="1"/>
  <c r="J815" i="14" s="1"/>
  <c r="H816" i="14"/>
  <c r="I816" i="14" s="1"/>
  <c r="J816" i="14" s="1"/>
  <c r="H817" i="14"/>
  <c r="I817" i="14" s="1"/>
  <c r="J817" i="14" s="1"/>
  <c r="H818" i="14"/>
  <c r="I818" i="14" s="1"/>
  <c r="J818" i="14" s="1"/>
  <c r="H819" i="14"/>
  <c r="I819" i="14" s="1"/>
  <c r="J819" i="14" s="1"/>
  <c r="H820" i="14"/>
  <c r="I820" i="14" s="1"/>
  <c r="J820" i="14" s="1"/>
  <c r="H821" i="14"/>
  <c r="I821" i="14" s="1"/>
  <c r="K821" i="14" s="1"/>
  <c r="H822" i="14"/>
  <c r="I822" i="14" s="1"/>
  <c r="K822" i="14" s="1"/>
  <c r="H823" i="14"/>
  <c r="I823" i="14" s="1"/>
  <c r="K823" i="14" s="1"/>
  <c r="H824" i="14"/>
  <c r="I824" i="14" s="1"/>
  <c r="K824" i="14" s="1"/>
  <c r="H825" i="14"/>
  <c r="I825" i="14" s="1"/>
  <c r="K825" i="14" s="1"/>
  <c r="H826" i="14"/>
  <c r="I826" i="14" s="1"/>
  <c r="K826" i="14" s="1"/>
  <c r="H827" i="14"/>
  <c r="I827" i="14" s="1"/>
  <c r="H828" i="14"/>
  <c r="I828" i="14" s="1"/>
  <c r="H829" i="14"/>
  <c r="I829" i="14" s="1"/>
  <c r="H831" i="14"/>
  <c r="I831" i="14" s="1"/>
  <c r="H832" i="14"/>
  <c r="I832" i="14" s="1"/>
  <c r="H833" i="14"/>
  <c r="I833" i="14" s="1"/>
  <c r="H834" i="14"/>
  <c r="I834" i="14" s="1"/>
  <c r="J834" i="14" s="1"/>
  <c r="H835" i="14"/>
  <c r="I835" i="14" s="1"/>
  <c r="J835" i="14" s="1"/>
  <c r="H836" i="14"/>
  <c r="I836" i="14" s="1"/>
  <c r="J836" i="14" s="1"/>
  <c r="H837" i="14"/>
  <c r="I837" i="14" s="1"/>
  <c r="J837" i="14" s="1"/>
  <c r="H838" i="14"/>
  <c r="I838" i="14" s="1"/>
  <c r="J838" i="14" s="1"/>
  <c r="H839" i="14"/>
  <c r="I839" i="14" s="1"/>
  <c r="J839" i="14" s="1"/>
  <c r="H840" i="14"/>
  <c r="I840" i="14" s="1"/>
  <c r="J840" i="14" s="1"/>
  <c r="H841" i="14"/>
  <c r="I841" i="14" s="1"/>
  <c r="J841" i="14" s="1"/>
  <c r="H842" i="14"/>
  <c r="I842" i="14" s="1"/>
  <c r="J842" i="14" s="1"/>
  <c r="H843" i="14"/>
  <c r="I843" i="14" s="1"/>
  <c r="J843" i="14" s="1"/>
  <c r="H844" i="14"/>
  <c r="I844" i="14" s="1"/>
  <c r="J844" i="14" s="1"/>
  <c r="H845" i="14"/>
  <c r="I845" i="14" s="1"/>
  <c r="K845" i="14" s="1"/>
  <c r="H846" i="14"/>
  <c r="I846" i="14" s="1"/>
  <c r="K846" i="14" s="1"/>
  <c r="H847" i="14"/>
  <c r="I847" i="14" s="1"/>
  <c r="K847" i="14" s="1"/>
  <c r="H848" i="14"/>
  <c r="I848" i="14" s="1"/>
  <c r="K848" i="14" s="1"/>
  <c r="H849" i="14"/>
  <c r="I849" i="14" s="1"/>
  <c r="K849" i="14" s="1"/>
  <c r="H850" i="14"/>
  <c r="I850" i="14" s="1"/>
  <c r="K850" i="14" s="1"/>
  <c r="H851" i="14"/>
  <c r="I851" i="14" s="1"/>
  <c r="H852" i="14"/>
  <c r="I852" i="14" s="1"/>
  <c r="H853" i="14"/>
  <c r="I853" i="14" s="1"/>
  <c r="H854" i="14"/>
  <c r="I854" i="14" s="1"/>
  <c r="H855" i="14"/>
  <c r="I855" i="14" s="1"/>
  <c r="H856" i="14"/>
  <c r="I856" i="14" s="1"/>
  <c r="H857" i="14"/>
  <c r="I857" i="14" s="1"/>
  <c r="H858" i="14"/>
  <c r="I858" i="14" s="1"/>
  <c r="H859" i="14"/>
  <c r="I859" i="14" s="1"/>
  <c r="H860" i="14"/>
  <c r="I860" i="14" s="1"/>
  <c r="H861" i="14"/>
  <c r="I861" i="14" s="1"/>
  <c r="H862" i="14"/>
  <c r="I862" i="14" s="1"/>
  <c r="H863" i="14"/>
  <c r="I863" i="14" s="1"/>
  <c r="H864" i="14"/>
  <c r="I864" i="14" s="1"/>
  <c r="H865" i="14"/>
  <c r="I865" i="14" s="1"/>
  <c r="H866" i="14"/>
  <c r="I866" i="14" s="1"/>
  <c r="H867" i="14"/>
  <c r="I867" i="14" s="1"/>
  <c r="H868" i="14"/>
  <c r="I868" i="14" s="1"/>
  <c r="H869" i="14"/>
  <c r="I869" i="14" s="1"/>
  <c r="K869" i="14" s="1"/>
  <c r="H870" i="14"/>
  <c r="I870" i="14" s="1"/>
  <c r="K870" i="14" s="1"/>
  <c r="H871" i="14"/>
  <c r="I871" i="14" s="1"/>
  <c r="K871" i="14" s="1"/>
  <c r="H872" i="14"/>
  <c r="I872" i="14" s="1"/>
  <c r="K872" i="14" s="1"/>
  <c r="H874" i="14"/>
  <c r="I874" i="14" s="1"/>
  <c r="K874" i="14" s="1"/>
  <c r="H875" i="14"/>
  <c r="I875" i="14" s="1"/>
  <c r="H876" i="14"/>
  <c r="I876" i="14" s="1"/>
  <c r="H877" i="14"/>
  <c r="I877" i="14" s="1"/>
  <c r="H878" i="14"/>
  <c r="I878" i="14" s="1"/>
  <c r="H879" i="14"/>
  <c r="I879" i="14" s="1"/>
  <c r="H880" i="14"/>
  <c r="I880" i="14" s="1"/>
  <c r="H881" i="14"/>
  <c r="I881" i="14" s="1"/>
  <c r="H882" i="14"/>
  <c r="I882" i="14" s="1"/>
  <c r="H883" i="14"/>
  <c r="I883" i="14" s="1"/>
  <c r="H884" i="14"/>
  <c r="I884" i="14" s="1"/>
  <c r="H885" i="14"/>
  <c r="I885" i="14" s="1"/>
  <c r="H886" i="14"/>
  <c r="I886" i="14" s="1"/>
  <c r="H887" i="14"/>
  <c r="I887" i="14" s="1"/>
  <c r="H888" i="14"/>
  <c r="I888" i="14" s="1"/>
  <c r="H889" i="14"/>
  <c r="I889" i="14" s="1"/>
  <c r="H890" i="14"/>
  <c r="I890" i="14" s="1"/>
  <c r="H891" i="14"/>
  <c r="I891" i="14" s="1"/>
  <c r="H892" i="14"/>
  <c r="I892" i="14" s="1"/>
  <c r="H893" i="14"/>
  <c r="I893" i="14" s="1"/>
  <c r="K893" i="14" s="1"/>
  <c r="H894" i="14"/>
  <c r="I894" i="14" s="1"/>
  <c r="K894" i="14" s="1"/>
  <c r="H895" i="14"/>
  <c r="I895" i="14" s="1"/>
  <c r="K895" i="14" s="1"/>
  <c r="H896" i="14"/>
  <c r="I896" i="14" s="1"/>
  <c r="K896" i="14" s="1"/>
  <c r="H897" i="14"/>
  <c r="I897" i="14" s="1"/>
  <c r="K897" i="14" s="1"/>
  <c r="H899" i="14"/>
  <c r="I899" i="14" s="1"/>
  <c r="H900" i="14"/>
  <c r="I900" i="14" s="1"/>
  <c r="H901" i="14"/>
  <c r="I901" i="14" s="1"/>
  <c r="H902" i="14"/>
  <c r="I902" i="14" s="1"/>
  <c r="H903" i="14"/>
  <c r="I903" i="14" s="1"/>
  <c r="H904" i="14"/>
  <c r="I904" i="14" s="1"/>
  <c r="H905" i="14"/>
  <c r="I905" i="14" s="1"/>
  <c r="H906" i="14"/>
  <c r="I906" i="14" s="1"/>
  <c r="H907" i="14"/>
  <c r="I907" i="14" s="1"/>
  <c r="H908" i="14"/>
  <c r="I908" i="14" s="1"/>
  <c r="H909" i="14"/>
  <c r="I909" i="14" s="1"/>
  <c r="H910" i="14"/>
  <c r="I910" i="14" s="1"/>
  <c r="H911" i="14"/>
  <c r="I911" i="14" s="1"/>
  <c r="H912" i="14"/>
  <c r="I912" i="14" s="1"/>
  <c r="H913" i="14"/>
  <c r="I913" i="14" s="1"/>
  <c r="H914" i="14"/>
  <c r="I914" i="14" s="1"/>
  <c r="H915" i="14"/>
  <c r="I915" i="14" s="1"/>
  <c r="H916" i="14"/>
  <c r="I916" i="14" s="1"/>
  <c r="H917" i="14"/>
  <c r="I917" i="14" s="1"/>
  <c r="K917" i="14" s="1"/>
  <c r="H918" i="14"/>
  <c r="I918" i="14" s="1"/>
  <c r="K918" i="14" s="1"/>
  <c r="H919" i="14"/>
  <c r="I919" i="14" s="1"/>
  <c r="K919" i="14" s="1"/>
  <c r="H920" i="14"/>
  <c r="I920" i="14" s="1"/>
  <c r="K920" i="14" s="1"/>
  <c r="H921" i="14"/>
  <c r="I921" i="14" s="1"/>
  <c r="K921" i="14" s="1"/>
  <c r="H924" i="14"/>
  <c r="I924" i="14" s="1"/>
  <c r="H925" i="14"/>
  <c r="I925" i="14" s="1"/>
  <c r="H926" i="14"/>
  <c r="I926" i="14" s="1"/>
  <c r="H927" i="14"/>
  <c r="I927" i="14" s="1"/>
  <c r="H928" i="14"/>
  <c r="I928" i="14" s="1"/>
  <c r="H929" i="14"/>
  <c r="I929" i="14" s="1"/>
  <c r="H930" i="14"/>
  <c r="I930" i="14" s="1"/>
  <c r="H931" i="14"/>
  <c r="I931" i="14" s="1"/>
  <c r="H932" i="14"/>
  <c r="I932" i="14" s="1"/>
  <c r="H933" i="14"/>
  <c r="I933" i="14" s="1"/>
  <c r="H934" i="14"/>
  <c r="I934" i="14" s="1"/>
  <c r="H935" i="14"/>
  <c r="I935" i="14" s="1"/>
  <c r="H936" i="14"/>
  <c r="I936" i="14" s="1"/>
  <c r="H937" i="14"/>
  <c r="I937" i="14" s="1"/>
  <c r="H938" i="14"/>
  <c r="I938" i="14" s="1"/>
  <c r="H939" i="14"/>
  <c r="I939" i="14" s="1"/>
  <c r="H940" i="14"/>
  <c r="I940" i="14" s="1"/>
  <c r="H941" i="14"/>
  <c r="I941" i="14" s="1"/>
  <c r="H942" i="14"/>
  <c r="I942" i="14" s="1"/>
  <c r="K942" i="14" s="1"/>
  <c r="H943" i="14"/>
  <c r="I943" i="14" s="1"/>
  <c r="K943" i="14" s="1"/>
  <c r="H944" i="14"/>
  <c r="I944" i="14" s="1"/>
  <c r="K944" i="14" s="1"/>
  <c r="H945" i="14"/>
  <c r="I945" i="14" s="1"/>
  <c r="K945" i="14" s="1"/>
  <c r="H946" i="14"/>
  <c r="I946" i="14" s="1"/>
  <c r="K946" i="14" s="1"/>
  <c r="H949" i="14"/>
  <c r="I949" i="14" s="1"/>
  <c r="H950" i="14"/>
  <c r="I950" i="14" s="1"/>
  <c r="H951" i="14"/>
  <c r="I951" i="14" s="1"/>
  <c r="H952" i="14"/>
  <c r="I952" i="14" s="1"/>
  <c r="H953" i="14"/>
  <c r="I953" i="14" s="1"/>
  <c r="H954" i="14"/>
  <c r="I954" i="14" s="1"/>
  <c r="H955" i="14"/>
  <c r="I955" i="14" s="1"/>
  <c r="H956" i="14"/>
  <c r="I956" i="14" s="1"/>
  <c r="H957" i="14"/>
  <c r="I957" i="14" s="1"/>
  <c r="H958" i="14"/>
  <c r="I958" i="14" s="1"/>
  <c r="H959" i="14"/>
  <c r="I959" i="14" s="1"/>
  <c r="H960" i="14"/>
  <c r="I960" i="14" s="1"/>
  <c r="H961" i="14"/>
  <c r="I961" i="14" s="1"/>
  <c r="H962" i="14"/>
  <c r="I962" i="14" s="1"/>
  <c r="H963" i="14"/>
  <c r="I963" i="14" s="1"/>
  <c r="H964" i="14"/>
  <c r="I964" i="14" s="1"/>
  <c r="H965" i="14"/>
  <c r="I965" i="14" s="1"/>
  <c r="H966" i="14"/>
  <c r="I966" i="14" s="1"/>
  <c r="H967" i="14"/>
  <c r="I967" i="14" s="1"/>
  <c r="K967" i="14" s="1"/>
  <c r="H968" i="14"/>
  <c r="I968" i="14" s="1"/>
  <c r="K968" i="14" s="1"/>
  <c r="H969" i="14"/>
  <c r="I969" i="14" s="1"/>
  <c r="K969" i="14" s="1"/>
  <c r="H970" i="14"/>
  <c r="I970" i="14" s="1"/>
  <c r="K970" i="14" s="1"/>
  <c r="H971" i="14"/>
  <c r="I971" i="14" s="1"/>
  <c r="K971" i="14" s="1"/>
  <c r="H974" i="14"/>
  <c r="I974" i="14" s="1"/>
  <c r="H975" i="14"/>
  <c r="I975" i="14" s="1"/>
  <c r="H976" i="14"/>
  <c r="I976" i="14" s="1"/>
  <c r="H977" i="14"/>
  <c r="I977" i="14" s="1"/>
  <c r="H978" i="14"/>
  <c r="I978" i="14" s="1"/>
  <c r="H979" i="14"/>
  <c r="I979" i="14" s="1"/>
  <c r="H999" i="14"/>
  <c r="I999" i="14" s="1"/>
  <c r="H1000" i="14"/>
  <c r="I1000" i="14" s="1"/>
  <c r="H1001" i="14"/>
  <c r="I1001" i="14" s="1"/>
  <c r="H1002" i="14"/>
  <c r="I1002" i="14" s="1"/>
  <c r="H1003" i="14"/>
  <c r="I1003" i="14" s="1"/>
  <c r="H1004" i="14"/>
  <c r="I1004" i="14" s="1"/>
  <c r="H2" i="14"/>
  <c r="I2" i="14" s="1"/>
  <c r="D2" i="4"/>
  <c r="C3" i="4" s="1"/>
  <c r="D3" i="4" s="1"/>
  <c r="C4" i="4" s="1"/>
  <c r="D4" i="4" s="1"/>
  <c r="C5" i="4" s="1"/>
  <c r="D5" i="4" s="1"/>
  <c r="C6" i="4" s="1"/>
  <c r="D6" i="4" s="1"/>
  <c r="C7" i="4" s="1"/>
  <c r="D7" i="4" s="1"/>
  <c r="C8" i="4" s="1"/>
  <c r="D8" i="4" s="1"/>
  <c r="C9" i="4" s="1"/>
  <c r="D9" i="4" s="1"/>
  <c r="C10" i="4" s="1"/>
  <c r="D10" i="4" s="1"/>
  <c r="C11" i="4" s="1"/>
  <c r="D11" i="4" s="1"/>
  <c r="C12" i="4" s="1"/>
  <c r="D12" i="4" s="1"/>
  <c r="C13" i="4" s="1"/>
  <c r="D13" i="4" s="1"/>
  <c r="C14" i="4" s="1"/>
  <c r="D14" i="4" s="1"/>
  <c r="C15" i="4" s="1"/>
  <c r="D15" i="4" s="1"/>
  <c r="C16" i="4" s="1"/>
  <c r="D16" i="4" s="1"/>
  <c r="C17" i="4" s="1"/>
  <c r="D17" i="4" s="1"/>
  <c r="I987" i="9"/>
  <c r="I986" i="9"/>
  <c r="I985" i="9"/>
  <c r="I984" i="9"/>
  <c r="I983" i="9"/>
  <c r="I982" i="9"/>
  <c r="I981" i="9"/>
  <c r="I980" i="9"/>
  <c r="I979" i="9"/>
  <c r="I978" i="9"/>
  <c r="I977" i="9"/>
  <c r="I976" i="9"/>
  <c r="O90" i="9"/>
  <c r="I791" i="9"/>
  <c r="I790" i="9"/>
  <c r="I789" i="9"/>
  <c r="I788" i="9"/>
  <c r="I787" i="9"/>
  <c r="I786" i="9"/>
  <c r="J212" i="14" l="1"/>
  <c r="K212" i="14" s="1"/>
  <c r="J213" i="14"/>
  <c r="K213" i="14" s="1"/>
  <c r="J214" i="14"/>
  <c r="K214" i="14"/>
  <c r="J215" i="14"/>
  <c r="K215" i="14" s="1"/>
  <c r="J236" i="14"/>
  <c r="K236" i="14" s="1"/>
  <c r="J237" i="14"/>
  <c r="K237" i="14" s="1"/>
  <c r="J238" i="14"/>
  <c r="K238" i="14" s="1"/>
  <c r="J239" i="14"/>
  <c r="K239" i="14" s="1"/>
  <c r="J240" i="14"/>
  <c r="K240" i="14" s="1"/>
  <c r="J260" i="14"/>
  <c r="K260" i="14" s="1"/>
  <c r="J261" i="14"/>
  <c r="K261" i="14" s="1"/>
  <c r="J262" i="14"/>
  <c r="K262" i="14" s="1"/>
  <c r="J263" i="14"/>
  <c r="K263" i="14" s="1"/>
  <c r="J264" i="14"/>
  <c r="K264" i="14" s="1"/>
  <c r="J653" i="14"/>
  <c r="K653" i="14" s="1"/>
  <c r="J654" i="14"/>
  <c r="K654" i="14" s="1"/>
  <c r="J655" i="14"/>
  <c r="K655" i="14" s="1"/>
  <c r="J656" i="14"/>
  <c r="K656" i="14" s="1"/>
  <c r="J657" i="14"/>
  <c r="K657" i="14" s="1"/>
  <c r="J658" i="14"/>
  <c r="K658" i="14" s="1"/>
  <c r="J284" i="14"/>
  <c r="K284" i="14" s="1"/>
  <c r="J285" i="14"/>
  <c r="K285" i="14" s="1"/>
  <c r="J286" i="14"/>
  <c r="K286" i="14" s="1"/>
  <c r="J287" i="14"/>
  <c r="K287" i="14" s="1"/>
  <c r="J289" i="14"/>
  <c r="K289" i="14" s="1"/>
  <c r="J308" i="14"/>
  <c r="K308" i="14" s="1"/>
  <c r="J309" i="14"/>
  <c r="K309" i="14" s="1"/>
  <c r="J310" i="14"/>
  <c r="K310" i="14" s="1"/>
  <c r="J311" i="14"/>
  <c r="K311" i="14" s="1"/>
  <c r="J312" i="14"/>
  <c r="K312" i="14" s="1"/>
  <c r="J313" i="14"/>
  <c r="K313" i="14" s="1"/>
  <c r="J332" i="14"/>
  <c r="K332" i="14" s="1"/>
  <c r="J333" i="14"/>
  <c r="K333" i="14" s="1"/>
  <c r="J334" i="14"/>
  <c r="K334" i="14" s="1"/>
  <c r="J335" i="14"/>
  <c r="K335" i="14" s="1"/>
  <c r="J336" i="14"/>
  <c r="K336" i="14" s="1"/>
  <c r="J338" i="14"/>
  <c r="K338" i="14" s="1"/>
  <c r="J581" i="14"/>
  <c r="K581" i="14" s="1"/>
  <c r="J582" i="14"/>
  <c r="K582" i="14" s="1"/>
  <c r="J583" i="14"/>
  <c r="K583" i="14" s="1"/>
  <c r="J584" i="14"/>
  <c r="K584" i="14" s="1"/>
  <c r="J605" i="14"/>
  <c r="K605" i="14" s="1"/>
  <c r="J606" i="14"/>
  <c r="K606" i="14" s="1"/>
  <c r="J607" i="14"/>
  <c r="K607" i="14" s="1"/>
  <c r="J608" i="14"/>
  <c r="K608" i="14" s="1"/>
  <c r="J629" i="14"/>
  <c r="K629" i="14" s="1"/>
  <c r="J630" i="14"/>
  <c r="K630" i="14" s="1"/>
  <c r="J631" i="14"/>
  <c r="K631" i="14" s="1"/>
  <c r="J632" i="14"/>
  <c r="K632" i="14" s="1"/>
  <c r="J633" i="14"/>
  <c r="K633" i="14" s="1"/>
  <c r="J797" i="14"/>
  <c r="K797" i="14" s="1"/>
  <c r="J798" i="14"/>
  <c r="K798" i="14" s="1"/>
  <c r="J799" i="14"/>
  <c r="K799" i="14" s="1"/>
  <c r="J800" i="14"/>
  <c r="K800" i="14" s="1"/>
  <c r="J801" i="14"/>
  <c r="K801" i="14" s="1"/>
  <c r="J802" i="14"/>
  <c r="K802" i="14" s="1"/>
  <c r="I114" i="14"/>
  <c r="K114" i="14" s="1"/>
  <c r="I110" i="14"/>
  <c r="K110" i="14" s="1"/>
  <c r="K109" i="14"/>
  <c r="L109" i="14"/>
  <c r="K153" i="14"/>
  <c r="L153" i="14"/>
  <c r="L129" i="14"/>
  <c r="L106" i="14"/>
  <c r="L132" i="14"/>
  <c r="L108" i="14"/>
  <c r="K154" i="14"/>
  <c r="L154" i="14"/>
  <c r="K152" i="14"/>
  <c r="L152" i="14"/>
  <c r="L128" i="14"/>
  <c r="L105" i="14"/>
  <c r="K155" i="14"/>
  <c r="L155" i="14"/>
  <c r="L130" i="14"/>
  <c r="L104" i="14"/>
  <c r="L131" i="14"/>
  <c r="K156" i="14"/>
  <c r="L156" i="14"/>
  <c r="L107" i="14"/>
  <c r="K157" i="14"/>
  <c r="L157" i="14"/>
  <c r="K133" i="14"/>
  <c r="L133" i="14"/>
  <c r="K124" i="14"/>
  <c r="L124" i="14"/>
  <c r="K183" i="14"/>
  <c r="L183" i="14"/>
  <c r="K123" i="14"/>
  <c r="L123" i="14"/>
  <c r="K182" i="14"/>
  <c r="L182" i="14"/>
  <c r="K99" i="14"/>
  <c r="L99" i="14"/>
  <c r="K98" i="14"/>
  <c r="L98" i="14"/>
  <c r="K101" i="14"/>
  <c r="L101" i="14"/>
  <c r="K171" i="14"/>
  <c r="L171" i="14"/>
  <c r="K100" i="14"/>
  <c r="L100" i="14"/>
  <c r="K170" i="14"/>
  <c r="L170" i="14"/>
  <c r="K122" i="14"/>
  <c r="L122" i="14"/>
  <c r="K148" i="14"/>
  <c r="L148" i="14"/>
  <c r="K147" i="14"/>
  <c r="L147" i="14"/>
  <c r="K187" i="14"/>
  <c r="L187" i="14"/>
  <c r="K175" i="14"/>
  <c r="L175" i="14"/>
  <c r="K151" i="14"/>
  <c r="L151" i="14"/>
  <c r="K127" i="14"/>
  <c r="L127" i="14"/>
  <c r="K184" i="14"/>
  <c r="L184" i="14"/>
  <c r="K186" i="14"/>
  <c r="L186" i="14"/>
  <c r="K174" i="14"/>
  <c r="L174" i="14"/>
  <c r="K150" i="14"/>
  <c r="L150" i="14"/>
  <c r="K126" i="14"/>
  <c r="L126" i="14"/>
  <c r="K103" i="14"/>
  <c r="L103" i="14"/>
  <c r="K172" i="14"/>
  <c r="L172" i="14"/>
  <c r="K185" i="14"/>
  <c r="L185" i="14"/>
  <c r="K173" i="14"/>
  <c r="L173" i="14"/>
  <c r="K149" i="14"/>
  <c r="L149" i="14"/>
  <c r="K125" i="14"/>
  <c r="L125" i="14"/>
  <c r="K102" i="14"/>
  <c r="L102" i="14"/>
  <c r="I146" i="14"/>
  <c r="C18" i="4"/>
  <c r="D18" i="4" s="1"/>
  <c r="C19" i="4" s="1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H785" i="9"/>
  <c r="I785" i="9" s="1"/>
  <c r="H784" i="9"/>
  <c r="I784" i="9" s="1"/>
  <c r="H783" i="9"/>
  <c r="I783" i="9" s="1"/>
  <c r="H782" i="9"/>
  <c r="I782" i="9" s="1"/>
  <c r="H781" i="9"/>
  <c r="I781" i="9" s="1"/>
  <c r="H780" i="9"/>
  <c r="I780" i="9" s="1"/>
  <c r="H779" i="9"/>
  <c r="I779" i="9" s="1"/>
  <c r="H778" i="9"/>
  <c r="I778" i="9" s="1"/>
  <c r="H777" i="9"/>
  <c r="I777" i="9" s="1"/>
  <c r="H776" i="9"/>
  <c r="I776" i="9" s="1"/>
  <c r="H775" i="9"/>
  <c r="I775" i="9" s="1"/>
  <c r="H774" i="9"/>
  <c r="I774" i="9" s="1"/>
  <c r="H773" i="9"/>
  <c r="I773" i="9" s="1"/>
  <c r="H772" i="9"/>
  <c r="I772" i="9" s="1"/>
  <c r="H771" i="9"/>
  <c r="I771" i="9" s="1"/>
  <c r="H770" i="9"/>
  <c r="I770" i="9" s="1"/>
  <c r="H769" i="9"/>
  <c r="I769" i="9" s="1"/>
  <c r="H768" i="9"/>
  <c r="I768" i="9" s="1"/>
  <c r="H767" i="9"/>
  <c r="I767" i="9" s="1"/>
  <c r="H766" i="9"/>
  <c r="I766" i="9" s="1"/>
  <c r="H765" i="9"/>
  <c r="I765" i="9" s="1"/>
  <c r="H764" i="9"/>
  <c r="I764" i="9" s="1"/>
  <c r="I763" i="9"/>
  <c r="H377" i="9"/>
  <c r="I792" i="9"/>
  <c r="J792" i="9" s="1"/>
  <c r="H124" i="9"/>
  <c r="I124" i="9" s="1"/>
  <c r="H125" i="9"/>
  <c r="I125" i="9" s="1"/>
  <c r="H126" i="9"/>
  <c r="I126" i="9" s="1"/>
  <c r="H127" i="9"/>
  <c r="I127" i="9" s="1"/>
  <c r="H128" i="9"/>
  <c r="I128" i="9" s="1"/>
  <c r="H129" i="9"/>
  <c r="I129" i="9" s="1"/>
  <c r="H130" i="9"/>
  <c r="I130" i="9" s="1"/>
  <c r="H131" i="9"/>
  <c r="I131" i="9" s="1"/>
  <c r="H132" i="9"/>
  <c r="I132" i="9" s="1"/>
  <c r="H133" i="9"/>
  <c r="I133" i="9" s="1"/>
  <c r="H134" i="9"/>
  <c r="I134" i="9" s="1"/>
  <c r="H135" i="9"/>
  <c r="I135" i="9" s="1"/>
  <c r="H136" i="9"/>
  <c r="I136" i="9" s="1"/>
  <c r="H137" i="9"/>
  <c r="I137" i="9" s="1"/>
  <c r="H138" i="9"/>
  <c r="I138" i="9" s="1"/>
  <c r="H139" i="9"/>
  <c r="I139" i="9" s="1"/>
  <c r="H140" i="9"/>
  <c r="I140" i="9" s="1"/>
  <c r="H141" i="9"/>
  <c r="I141" i="9" s="1"/>
  <c r="H142" i="9"/>
  <c r="I142" i="9" s="1"/>
  <c r="H143" i="9"/>
  <c r="I143" i="9" s="1"/>
  <c r="H144" i="9"/>
  <c r="I144" i="9" s="1"/>
  <c r="H145" i="9"/>
  <c r="I145" i="9" s="1"/>
  <c r="H146" i="9"/>
  <c r="I146" i="9" s="1"/>
  <c r="H101" i="9"/>
  <c r="I101" i="9" s="1"/>
  <c r="H147" i="9"/>
  <c r="I147" i="9" s="1"/>
  <c r="H148" i="9"/>
  <c r="I148" i="9" s="1"/>
  <c r="H149" i="9"/>
  <c r="I149" i="9" s="1"/>
  <c r="H150" i="9"/>
  <c r="I150" i="9" s="1"/>
  <c r="H151" i="9"/>
  <c r="I151" i="9" s="1"/>
  <c r="H152" i="9"/>
  <c r="I152" i="9" s="1"/>
  <c r="H153" i="9"/>
  <c r="I153" i="9" s="1"/>
  <c r="H154" i="9"/>
  <c r="I154" i="9" s="1"/>
  <c r="H155" i="9"/>
  <c r="I155" i="9" s="1"/>
  <c r="H156" i="9"/>
  <c r="I156" i="9" s="1"/>
  <c r="H157" i="9"/>
  <c r="I157" i="9" s="1"/>
  <c r="H158" i="9"/>
  <c r="I158" i="9" s="1"/>
  <c r="H159" i="9"/>
  <c r="I159" i="9" s="1"/>
  <c r="H160" i="9"/>
  <c r="I160" i="9" s="1"/>
  <c r="H161" i="9"/>
  <c r="I161" i="9" s="1"/>
  <c r="H162" i="9"/>
  <c r="I162" i="9" s="1"/>
  <c r="H163" i="9"/>
  <c r="I163" i="9" s="1"/>
  <c r="H164" i="9"/>
  <c r="I164" i="9" s="1"/>
  <c r="H165" i="9"/>
  <c r="I165" i="9" s="1"/>
  <c r="H166" i="9"/>
  <c r="I166" i="9" s="1"/>
  <c r="H167" i="9"/>
  <c r="I167" i="9" s="1"/>
  <c r="H168" i="9"/>
  <c r="I168" i="9" s="1"/>
  <c r="H169" i="9"/>
  <c r="I169" i="9" s="1"/>
  <c r="H77" i="9"/>
  <c r="I77" i="9" s="1"/>
  <c r="H78" i="9"/>
  <c r="I78" i="9" s="1"/>
  <c r="H79" i="9"/>
  <c r="I79" i="9" s="1"/>
  <c r="H80" i="9"/>
  <c r="I80" i="9" s="1"/>
  <c r="H81" i="9"/>
  <c r="I81" i="9" s="1"/>
  <c r="H82" i="9"/>
  <c r="I82" i="9" s="1"/>
  <c r="H83" i="9"/>
  <c r="I83" i="9" s="1"/>
  <c r="H84" i="9"/>
  <c r="I84" i="9" s="1"/>
  <c r="H85" i="9"/>
  <c r="I85" i="9" s="1"/>
  <c r="H86" i="9"/>
  <c r="I86" i="9" s="1"/>
  <c r="H87" i="9"/>
  <c r="I87" i="9" s="1"/>
  <c r="H88" i="9"/>
  <c r="I88" i="9" s="1"/>
  <c r="H89" i="9"/>
  <c r="I89" i="9" s="1"/>
  <c r="H90" i="9"/>
  <c r="I90" i="9" s="1"/>
  <c r="H91" i="9"/>
  <c r="I91" i="9" s="1"/>
  <c r="H92" i="9"/>
  <c r="I92" i="9" s="1"/>
  <c r="H93" i="9"/>
  <c r="I93" i="9" s="1"/>
  <c r="H94" i="9"/>
  <c r="I94" i="9" s="1"/>
  <c r="H95" i="9"/>
  <c r="I95" i="9" s="1"/>
  <c r="H96" i="9"/>
  <c r="I96" i="9" s="1"/>
  <c r="H97" i="9"/>
  <c r="I97" i="9" s="1"/>
  <c r="H98" i="9"/>
  <c r="I98" i="9" s="1"/>
  <c r="H99" i="9"/>
  <c r="I99" i="9" s="1"/>
  <c r="H100" i="9"/>
  <c r="I100" i="9" s="1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6" i="9"/>
  <c r="I716" i="9" s="1"/>
  <c r="H715" i="9"/>
  <c r="I715" i="9" s="1"/>
  <c r="H714" i="9"/>
  <c r="I714" i="9" s="1"/>
  <c r="H713" i="9"/>
  <c r="I713" i="9" s="1"/>
  <c r="H712" i="9"/>
  <c r="I712" i="9" s="1"/>
  <c r="H711" i="9"/>
  <c r="I711" i="9" s="1"/>
  <c r="H710" i="9"/>
  <c r="I710" i="9" s="1"/>
  <c r="H709" i="9"/>
  <c r="I709" i="9" s="1"/>
  <c r="H708" i="9"/>
  <c r="I708" i="9" s="1"/>
  <c r="H707" i="9"/>
  <c r="I707" i="9" s="1"/>
  <c r="H706" i="9"/>
  <c r="I706" i="9" s="1"/>
  <c r="H705" i="9"/>
  <c r="H704" i="9"/>
  <c r="H703" i="9"/>
  <c r="H702" i="9"/>
  <c r="H701" i="9"/>
  <c r="H700" i="9"/>
  <c r="H699" i="9"/>
  <c r="H698" i="9"/>
  <c r="H697" i="9"/>
  <c r="H696" i="9"/>
  <c r="H695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I601" i="9" s="1"/>
  <c r="H600" i="9"/>
  <c r="I600" i="9" s="1"/>
  <c r="H599" i="9"/>
  <c r="I599" i="9" s="1"/>
  <c r="H598" i="9"/>
  <c r="I598" i="9" s="1"/>
  <c r="H597" i="9"/>
  <c r="I597" i="9" s="1"/>
  <c r="H596" i="9"/>
  <c r="I596" i="9" s="1"/>
  <c r="H595" i="9"/>
  <c r="I595" i="9" s="1"/>
  <c r="H594" i="9"/>
  <c r="I594" i="9" s="1"/>
  <c r="H593" i="9"/>
  <c r="I593" i="9" s="1"/>
  <c r="H592" i="9"/>
  <c r="I592" i="9" s="1"/>
  <c r="H591" i="9"/>
  <c r="I591" i="9" s="1"/>
  <c r="H590" i="9"/>
  <c r="I590" i="9" s="1"/>
  <c r="H589" i="9"/>
  <c r="I589" i="9" s="1"/>
  <c r="H588" i="9"/>
  <c r="I588" i="9" s="1"/>
  <c r="H587" i="9"/>
  <c r="I587" i="9" s="1"/>
  <c r="H586" i="9"/>
  <c r="I586" i="9" s="1"/>
  <c r="H585" i="9"/>
  <c r="I585" i="9" s="1"/>
  <c r="H584" i="9"/>
  <c r="H583" i="9"/>
  <c r="H582" i="9"/>
  <c r="H581" i="9"/>
  <c r="H580" i="9"/>
  <c r="H579" i="9"/>
  <c r="H578" i="9"/>
  <c r="I578" i="9" s="1"/>
  <c r="H577" i="9"/>
  <c r="I577" i="9" s="1"/>
  <c r="H576" i="9"/>
  <c r="I576" i="9" s="1"/>
  <c r="H575" i="9"/>
  <c r="I575" i="9" s="1"/>
  <c r="H574" i="9"/>
  <c r="I574" i="9" s="1"/>
  <c r="H573" i="9"/>
  <c r="I573" i="9" s="1"/>
  <c r="H572" i="9"/>
  <c r="I572" i="9" s="1"/>
  <c r="H571" i="9"/>
  <c r="I571" i="9" s="1"/>
  <c r="H570" i="9"/>
  <c r="I570" i="9" s="1"/>
  <c r="H569" i="9"/>
  <c r="I569" i="9" s="1"/>
  <c r="H568" i="9"/>
  <c r="I568" i="9" s="1"/>
  <c r="H567" i="9"/>
  <c r="I567" i="9" s="1"/>
  <c r="H566" i="9"/>
  <c r="I566" i="9" s="1"/>
  <c r="H565" i="9"/>
  <c r="I565" i="9" s="1"/>
  <c r="H564" i="9"/>
  <c r="I564" i="9" s="1"/>
  <c r="H563" i="9"/>
  <c r="I563" i="9" s="1"/>
  <c r="H562" i="9"/>
  <c r="I562" i="9" s="1"/>
  <c r="H561" i="9"/>
  <c r="I561" i="9" s="1"/>
  <c r="H560" i="9"/>
  <c r="I560" i="9" s="1"/>
  <c r="H559" i="9"/>
  <c r="I559" i="9" s="1"/>
  <c r="H558" i="9"/>
  <c r="I558" i="9" s="1"/>
  <c r="H557" i="9"/>
  <c r="I557" i="9" s="1"/>
  <c r="H556" i="9"/>
  <c r="I556" i="9" s="1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6" i="9"/>
  <c r="H495" i="9"/>
  <c r="H494" i="9"/>
  <c r="H493" i="9"/>
  <c r="H492" i="9"/>
  <c r="H491" i="9"/>
  <c r="H490" i="9"/>
  <c r="H489" i="9"/>
  <c r="H488" i="9"/>
  <c r="H487" i="9"/>
  <c r="H486" i="9"/>
  <c r="I486" i="9" s="1"/>
  <c r="H485" i="9"/>
  <c r="I485" i="9" s="1"/>
  <c r="H484" i="9"/>
  <c r="I484" i="9" s="1"/>
  <c r="H483" i="9"/>
  <c r="I483" i="9" s="1"/>
  <c r="H482" i="9"/>
  <c r="I482" i="9" s="1"/>
  <c r="H481" i="9"/>
  <c r="I481" i="9" s="1"/>
  <c r="H480" i="9"/>
  <c r="I480" i="9" s="1"/>
  <c r="H479" i="9"/>
  <c r="I479" i="9" s="1"/>
  <c r="H478" i="9"/>
  <c r="I478" i="9" s="1"/>
  <c r="H477" i="9"/>
  <c r="I477" i="9" s="1"/>
  <c r="H476" i="9"/>
  <c r="I476" i="9" s="1"/>
  <c r="H475" i="9"/>
  <c r="I475" i="9" s="1"/>
  <c r="H474" i="9"/>
  <c r="I474" i="9" s="1"/>
  <c r="H473" i="9"/>
  <c r="I473" i="9" s="1"/>
  <c r="H472" i="9"/>
  <c r="I472" i="9" s="1"/>
  <c r="H471" i="9"/>
  <c r="I471" i="9" s="1"/>
  <c r="H470" i="9"/>
  <c r="I470" i="9" s="1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6" i="9"/>
  <c r="I376" i="9" s="1"/>
  <c r="H375" i="9"/>
  <c r="I375" i="9" s="1"/>
  <c r="J375" i="9" s="1"/>
  <c r="H374" i="9"/>
  <c r="I374" i="9" s="1"/>
  <c r="J374" i="9" s="1"/>
  <c r="H373" i="9"/>
  <c r="I373" i="9" s="1"/>
  <c r="J373" i="9" s="1"/>
  <c r="H372" i="9"/>
  <c r="I372" i="9" s="1"/>
  <c r="J372" i="9" s="1"/>
  <c r="H371" i="9"/>
  <c r="I371" i="9" s="1"/>
  <c r="J371" i="9" s="1"/>
  <c r="H370" i="9"/>
  <c r="I370" i="9" s="1"/>
  <c r="J370" i="9" s="1"/>
  <c r="H369" i="9"/>
  <c r="H368" i="9"/>
  <c r="I368" i="9" s="1"/>
  <c r="J368" i="9" s="1"/>
  <c r="H367" i="9"/>
  <c r="I367" i="9" s="1"/>
  <c r="J367" i="9" s="1"/>
  <c r="H366" i="9"/>
  <c r="I366" i="9" s="1"/>
  <c r="J366" i="9" s="1"/>
  <c r="H365" i="9"/>
  <c r="I365" i="9" s="1"/>
  <c r="J365" i="9" s="1"/>
  <c r="H364" i="9"/>
  <c r="I364" i="9" s="1"/>
  <c r="J364" i="9" s="1"/>
  <c r="H363" i="9"/>
  <c r="I363" i="9" s="1"/>
  <c r="J363" i="9" s="1"/>
  <c r="H362" i="9"/>
  <c r="I362" i="9" s="1"/>
  <c r="J362" i="9" s="1"/>
  <c r="H361" i="9"/>
  <c r="I361" i="9" s="1"/>
  <c r="J361" i="9" s="1"/>
  <c r="H360" i="9"/>
  <c r="I360" i="9" s="1"/>
  <c r="J360" i="9" s="1"/>
  <c r="H359" i="9"/>
  <c r="I359" i="9" s="1"/>
  <c r="J359" i="9" s="1"/>
  <c r="H358" i="9"/>
  <c r="I358" i="9" s="1"/>
  <c r="J358" i="9" s="1"/>
  <c r="H357" i="9"/>
  <c r="I357" i="9" s="1"/>
  <c r="J357" i="9" s="1"/>
  <c r="H356" i="9"/>
  <c r="I356" i="9" s="1"/>
  <c r="J356" i="9" s="1"/>
  <c r="H355" i="9"/>
  <c r="I355" i="9" s="1"/>
  <c r="J355" i="9" s="1"/>
  <c r="H354" i="9"/>
  <c r="I354" i="9" s="1"/>
  <c r="J354" i="9" s="1"/>
  <c r="H353" i="9"/>
  <c r="I353" i="9" s="1"/>
  <c r="J353" i="9" s="1"/>
  <c r="H352" i="9"/>
  <c r="I352" i="9" s="1"/>
  <c r="J352" i="9" s="1"/>
  <c r="H351" i="9"/>
  <c r="I351" i="9" s="1"/>
  <c r="J351" i="9" s="1"/>
  <c r="H350" i="9"/>
  <c r="I350" i="9" s="1"/>
  <c r="J350" i="9" s="1"/>
  <c r="H349" i="9"/>
  <c r="I349" i="9" s="1"/>
  <c r="J349" i="9" s="1"/>
  <c r="H348" i="9"/>
  <c r="I348" i="9" s="1"/>
  <c r="J348" i="9" s="1"/>
  <c r="H347" i="9"/>
  <c r="I347" i="9" s="1"/>
  <c r="H346" i="9"/>
  <c r="I346" i="9" s="1"/>
  <c r="H345" i="9"/>
  <c r="I345" i="9" s="1"/>
  <c r="H344" i="9"/>
  <c r="I344" i="9" s="1"/>
  <c r="H343" i="9"/>
  <c r="I343" i="9" s="1"/>
  <c r="J343" i="9" s="1"/>
  <c r="H342" i="9"/>
  <c r="I342" i="9" s="1"/>
  <c r="J342" i="9" s="1"/>
  <c r="H341" i="9"/>
  <c r="I341" i="9" s="1"/>
  <c r="J341" i="9" s="1"/>
  <c r="H340" i="9"/>
  <c r="I340" i="9" s="1"/>
  <c r="J340" i="9" s="1"/>
  <c r="H339" i="9"/>
  <c r="I339" i="9" s="1"/>
  <c r="J339" i="9" s="1"/>
  <c r="H338" i="9"/>
  <c r="I338" i="9" s="1"/>
  <c r="J338" i="9" s="1"/>
  <c r="H337" i="9"/>
  <c r="I337" i="9" s="1"/>
  <c r="J337" i="9" s="1"/>
  <c r="H336" i="9"/>
  <c r="I336" i="9" s="1"/>
  <c r="J336" i="9" s="1"/>
  <c r="H335" i="9"/>
  <c r="I335" i="9" s="1"/>
  <c r="J335" i="9" s="1"/>
  <c r="H334" i="9"/>
  <c r="I334" i="9" s="1"/>
  <c r="J334" i="9" s="1"/>
  <c r="H333" i="9"/>
  <c r="I333" i="9" s="1"/>
  <c r="J333" i="9" s="1"/>
  <c r="H332" i="9"/>
  <c r="I332" i="9" s="1"/>
  <c r="J332" i="9" s="1"/>
  <c r="H331" i="9"/>
  <c r="I331" i="9" s="1"/>
  <c r="J331" i="9" s="1"/>
  <c r="H330" i="9"/>
  <c r="I330" i="9" s="1"/>
  <c r="J330" i="9" s="1"/>
  <c r="H329" i="9"/>
  <c r="I329" i="9" s="1"/>
  <c r="J329" i="9" s="1"/>
  <c r="H328" i="9"/>
  <c r="I328" i="9" s="1"/>
  <c r="J328" i="9" s="1"/>
  <c r="H327" i="9"/>
  <c r="I327" i="9" s="1"/>
  <c r="J327" i="9" s="1"/>
  <c r="H326" i="9"/>
  <c r="I326" i="9" s="1"/>
  <c r="J326" i="9" s="1"/>
  <c r="H325" i="9"/>
  <c r="I325" i="9" s="1"/>
  <c r="J325" i="9" s="1"/>
  <c r="H324" i="9"/>
  <c r="I324" i="9" s="1"/>
  <c r="H323" i="9"/>
  <c r="I323" i="9" s="1"/>
  <c r="H322" i="9"/>
  <c r="I322" i="9" s="1"/>
  <c r="H321" i="9"/>
  <c r="I321" i="9" s="1"/>
  <c r="H320" i="9"/>
  <c r="I320" i="9" s="1"/>
  <c r="H319" i="9"/>
  <c r="H318" i="9"/>
  <c r="H317" i="9"/>
  <c r="H316" i="9"/>
  <c r="H315" i="9"/>
  <c r="H314" i="9"/>
  <c r="H313" i="9"/>
  <c r="I313" i="9" s="1"/>
  <c r="J313" i="9" s="1"/>
  <c r="H312" i="9"/>
  <c r="I312" i="9" s="1"/>
  <c r="J312" i="9" s="1"/>
  <c r="H311" i="9"/>
  <c r="I311" i="9" s="1"/>
  <c r="J311" i="9" s="1"/>
  <c r="H310" i="9"/>
  <c r="I310" i="9" s="1"/>
  <c r="J310" i="9" s="1"/>
  <c r="H309" i="9"/>
  <c r="I309" i="9" s="1"/>
  <c r="J309" i="9" s="1"/>
  <c r="H308" i="9"/>
  <c r="I308" i="9" s="1"/>
  <c r="J308" i="9" s="1"/>
  <c r="H307" i="9"/>
  <c r="I307" i="9" s="1"/>
  <c r="J307" i="9" s="1"/>
  <c r="H306" i="9"/>
  <c r="I306" i="9" s="1"/>
  <c r="J306" i="9" s="1"/>
  <c r="H305" i="9"/>
  <c r="I305" i="9" s="1"/>
  <c r="J305" i="9" s="1"/>
  <c r="H304" i="9"/>
  <c r="I304" i="9" s="1"/>
  <c r="J304" i="9" s="1"/>
  <c r="H303" i="9"/>
  <c r="I303" i="9" s="1"/>
  <c r="J303" i="9" s="1"/>
  <c r="H302" i="9"/>
  <c r="I302" i="9" s="1"/>
  <c r="J302" i="9" s="1"/>
  <c r="H301" i="9"/>
  <c r="I301" i="9" s="1"/>
  <c r="J301" i="9" s="1"/>
  <c r="H300" i="9"/>
  <c r="I300" i="9" s="1"/>
  <c r="J300" i="9" s="1"/>
  <c r="H299" i="9"/>
  <c r="I299" i="9" s="1"/>
  <c r="J299" i="9" s="1"/>
  <c r="H298" i="9"/>
  <c r="I298" i="9" s="1"/>
  <c r="J298" i="9" s="1"/>
  <c r="H297" i="9"/>
  <c r="I297" i="9" s="1"/>
  <c r="J297" i="9" s="1"/>
  <c r="H296" i="9"/>
  <c r="I296" i="9" s="1"/>
  <c r="J296" i="9" s="1"/>
  <c r="H295" i="9"/>
  <c r="I295" i="9" s="1"/>
  <c r="J295" i="9" s="1"/>
  <c r="H294" i="9"/>
  <c r="I294" i="9" s="1"/>
  <c r="J294" i="9" s="1"/>
  <c r="H293" i="9"/>
  <c r="I293" i="9" s="1"/>
  <c r="J293" i="9" s="1"/>
  <c r="H292" i="9"/>
  <c r="I292" i="9" s="1"/>
  <c r="J292" i="9" s="1"/>
  <c r="H291" i="9"/>
  <c r="I291" i="9" s="1"/>
  <c r="J291" i="9" s="1"/>
  <c r="H290" i="9"/>
  <c r="I290" i="9" s="1"/>
  <c r="J290" i="9" s="1"/>
  <c r="H289" i="9"/>
  <c r="I289" i="9" s="1"/>
  <c r="J289" i="9" s="1"/>
  <c r="H288" i="9"/>
  <c r="I288" i="9" s="1"/>
  <c r="J288" i="9" s="1"/>
  <c r="H287" i="9"/>
  <c r="I287" i="9" s="1"/>
  <c r="J287" i="9" s="1"/>
  <c r="H286" i="9"/>
  <c r="I286" i="9" s="1"/>
  <c r="J286" i="9" s="1"/>
  <c r="H285" i="9"/>
  <c r="I285" i="9" s="1"/>
  <c r="J285" i="9" s="1"/>
  <c r="H284" i="9"/>
  <c r="I284" i="9" s="1"/>
  <c r="J284" i="9" s="1"/>
  <c r="H283" i="9"/>
  <c r="I283" i="9" s="1"/>
  <c r="J283" i="9" s="1"/>
  <c r="H282" i="9"/>
  <c r="I282" i="9" s="1"/>
  <c r="J282" i="9" s="1"/>
  <c r="H281" i="9"/>
  <c r="I281" i="9" s="1"/>
  <c r="J281" i="9" s="1"/>
  <c r="H280" i="9"/>
  <c r="I280" i="9" s="1"/>
  <c r="J280" i="9" s="1"/>
  <c r="H279" i="9"/>
  <c r="I279" i="9" s="1"/>
  <c r="J279" i="9" s="1"/>
  <c r="H278" i="9"/>
  <c r="I278" i="9" s="1"/>
  <c r="H277" i="9"/>
  <c r="I277" i="9" s="1"/>
  <c r="H276" i="9"/>
  <c r="I276" i="9" s="1"/>
  <c r="H275" i="9"/>
  <c r="I275" i="9" s="1"/>
  <c r="H274" i="9"/>
  <c r="I274" i="9" s="1"/>
  <c r="H273" i="9"/>
  <c r="I273" i="9" s="1"/>
  <c r="J273" i="9" s="1"/>
  <c r="H272" i="9"/>
  <c r="I272" i="9" s="1"/>
  <c r="J272" i="9" s="1"/>
  <c r="H271" i="9"/>
  <c r="I271" i="9" s="1"/>
  <c r="J271" i="9" s="1"/>
  <c r="H270" i="9"/>
  <c r="I270" i="9" s="1"/>
  <c r="J270" i="9" s="1"/>
  <c r="H269" i="9"/>
  <c r="I269" i="9" s="1"/>
  <c r="J269" i="9" s="1"/>
  <c r="H268" i="9"/>
  <c r="I268" i="9" s="1"/>
  <c r="J268" i="9" s="1"/>
  <c r="H267" i="9"/>
  <c r="I267" i="9" s="1"/>
  <c r="J267" i="9" s="1"/>
  <c r="H266" i="9"/>
  <c r="I266" i="9" s="1"/>
  <c r="J266" i="9" s="1"/>
  <c r="H265" i="9"/>
  <c r="I265" i="9" s="1"/>
  <c r="J265" i="9" s="1"/>
  <c r="H264" i="9"/>
  <c r="I264" i="9" s="1"/>
  <c r="J264" i="9" s="1"/>
  <c r="H263" i="9"/>
  <c r="I263" i="9" s="1"/>
  <c r="J263" i="9" s="1"/>
  <c r="H262" i="9"/>
  <c r="I262" i="9" s="1"/>
  <c r="J262" i="9" s="1"/>
  <c r="H261" i="9"/>
  <c r="I261" i="9" s="1"/>
  <c r="J261" i="9" s="1"/>
  <c r="H260" i="9"/>
  <c r="I260" i="9" s="1"/>
  <c r="J260" i="9" s="1"/>
  <c r="H259" i="9"/>
  <c r="I259" i="9" s="1"/>
  <c r="J259" i="9" s="1"/>
  <c r="H258" i="9"/>
  <c r="I258" i="9" s="1"/>
  <c r="J258" i="9" s="1"/>
  <c r="H257" i="9"/>
  <c r="I257" i="9" s="1"/>
  <c r="J257" i="9" s="1"/>
  <c r="H256" i="9"/>
  <c r="I256" i="9" s="1"/>
  <c r="J256" i="9" s="1"/>
  <c r="H255" i="9"/>
  <c r="I255" i="9" s="1"/>
  <c r="H254" i="9"/>
  <c r="I254" i="9" s="1"/>
  <c r="H253" i="9"/>
  <c r="I253" i="9" s="1"/>
  <c r="H252" i="9"/>
  <c r="I252" i="9" s="1"/>
  <c r="H251" i="9"/>
  <c r="I251" i="9" s="1"/>
  <c r="H250" i="9"/>
  <c r="I250" i="9" s="1"/>
  <c r="J250" i="9" s="1"/>
  <c r="H249" i="9"/>
  <c r="I249" i="9" s="1"/>
  <c r="J249" i="9" s="1"/>
  <c r="H248" i="9"/>
  <c r="I248" i="9" s="1"/>
  <c r="J248" i="9" s="1"/>
  <c r="H247" i="9"/>
  <c r="I247" i="9" s="1"/>
  <c r="J247" i="9" s="1"/>
  <c r="H246" i="9"/>
  <c r="I246" i="9" s="1"/>
  <c r="J246" i="9" s="1"/>
  <c r="H245" i="9"/>
  <c r="I245" i="9" s="1"/>
  <c r="J245" i="9" s="1"/>
  <c r="H244" i="9"/>
  <c r="I244" i="9" s="1"/>
  <c r="J244" i="9" s="1"/>
  <c r="H243" i="9"/>
  <c r="I243" i="9" s="1"/>
  <c r="J243" i="9" s="1"/>
  <c r="H242" i="9"/>
  <c r="I242" i="9" s="1"/>
  <c r="J242" i="9" s="1"/>
  <c r="H241" i="9"/>
  <c r="I241" i="9" s="1"/>
  <c r="J241" i="9" s="1"/>
  <c r="H240" i="9"/>
  <c r="I240" i="9" s="1"/>
  <c r="J240" i="9" s="1"/>
  <c r="H239" i="9"/>
  <c r="I239" i="9" s="1"/>
  <c r="J239" i="9" s="1"/>
  <c r="H238" i="9"/>
  <c r="H237" i="9"/>
  <c r="I237" i="9" s="1"/>
  <c r="J237" i="9" s="1"/>
  <c r="H236" i="9"/>
  <c r="I236" i="9" s="1"/>
  <c r="J236" i="9" s="1"/>
  <c r="H235" i="9"/>
  <c r="I235" i="9" s="1"/>
  <c r="J235" i="9" s="1"/>
  <c r="H234" i="9"/>
  <c r="I234" i="9" s="1"/>
  <c r="J234" i="9" s="1"/>
  <c r="H233" i="9"/>
  <c r="I233" i="9" s="1"/>
  <c r="J233" i="9" s="1"/>
  <c r="H232" i="9"/>
  <c r="I232" i="9" s="1"/>
  <c r="H231" i="9"/>
  <c r="I231" i="9" s="1"/>
  <c r="H230" i="9"/>
  <c r="I230" i="9" s="1"/>
  <c r="H229" i="9"/>
  <c r="I229" i="9" s="1"/>
  <c r="H228" i="9"/>
  <c r="I228" i="9" s="1"/>
  <c r="H227" i="9"/>
  <c r="I227" i="9" s="1"/>
  <c r="J227" i="9" s="1"/>
  <c r="H226" i="9"/>
  <c r="I226" i="9" s="1"/>
  <c r="J226" i="9" s="1"/>
  <c r="H225" i="9"/>
  <c r="I225" i="9" s="1"/>
  <c r="J225" i="9" s="1"/>
  <c r="H224" i="9"/>
  <c r="I224" i="9" s="1"/>
  <c r="J224" i="9" s="1"/>
  <c r="H223" i="9"/>
  <c r="I223" i="9" s="1"/>
  <c r="J223" i="9" s="1"/>
  <c r="H222" i="9"/>
  <c r="I222" i="9" s="1"/>
  <c r="J222" i="9" s="1"/>
  <c r="H221" i="9"/>
  <c r="I221" i="9" s="1"/>
  <c r="J221" i="9" s="1"/>
  <c r="H220" i="9"/>
  <c r="I220" i="9" s="1"/>
  <c r="J220" i="9" s="1"/>
  <c r="H219" i="9"/>
  <c r="I219" i="9" s="1"/>
  <c r="J219" i="9" s="1"/>
  <c r="H218" i="9"/>
  <c r="I218" i="9" s="1"/>
  <c r="J218" i="9" s="1"/>
  <c r="H217" i="9"/>
  <c r="I217" i="9" s="1"/>
  <c r="J217" i="9" s="1"/>
  <c r="H216" i="9"/>
  <c r="I216" i="9" s="1"/>
  <c r="J216" i="9" s="1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23" i="9"/>
  <c r="I123" i="9" s="1"/>
  <c r="H122" i="9"/>
  <c r="I122" i="9" s="1"/>
  <c r="H121" i="9"/>
  <c r="I121" i="9" s="1"/>
  <c r="H120" i="9"/>
  <c r="I120" i="9" s="1"/>
  <c r="H119" i="9"/>
  <c r="I119" i="9" s="1"/>
  <c r="H118" i="9"/>
  <c r="I118" i="9" s="1"/>
  <c r="H117" i="9"/>
  <c r="I117" i="9" s="1"/>
  <c r="H116" i="9"/>
  <c r="I116" i="9" s="1"/>
  <c r="H115" i="9"/>
  <c r="I115" i="9" s="1"/>
  <c r="H114" i="9"/>
  <c r="I114" i="9" s="1"/>
  <c r="H113" i="9"/>
  <c r="I113" i="9" s="1"/>
  <c r="H112" i="9"/>
  <c r="H111" i="9"/>
  <c r="H110" i="9"/>
  <c r="H109" i="9"/>
  <c r="H108" i="9"/>
  <c r="H107" i="9"/>
  <c r="H106" i="9"/>
  <c r="H105" i="9"/>
  <c r="H104" i="9"/>
  <c r="H103" i="9"/>
  <c r="H102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K2" i="4"/>
  <c r="J3" i="4" s="1"/>
  <c r="K3" i="4" s="1"/>
  <c r="J4" i="4" s="1"/>
  <c r="K4" i="4" s="1"/>
  <c r="J5" i="4" s="1"/>
  <c r="K5" i="4" s="1"/>
  <c r="J6" i="4" s="1"/>
  <c r="K6" i="4" s="1"/>
  <c r="J7" i="4" s="1"/>
  <c r="K7" i="4" s="1"/>
  <c r="J8" i="4" s="1"/>
  <c r="K8" i="4" s="1"/>
  <c r="J9" i="4" s="1"/>
  <c r="K9" i="4" s="1"/>
  <c r="J10" i="4" s="1"/>
  <c r="K10" i="4" s="1"/>
  <c r="J11" i="4" s="1"/>
  <c r="K11" i="4" s="1"/>
  <c r="J12" i="4" s="1"/>
  <c r="K12" i="4" s="1"/>
  <c r="J13" i="4" s="1"/>
  <c r="K13" i="4" s="1"/>
  <c r="J14" i="4" s="1"/>
  <c r="K14" i="4" s="1"/>
  <c r="J15" i="4" s="1"/>
  <c r="K15" i="4" s="1"/>
  <c r="J16" i="4" s="1"/>
  <c r="K16" i="4" s="1"/>
  <c r="J17" i="4" s="1"/>
  <c r="K17" i="4" s="1"/>
  <c r="H603" i="12"/>
  <c r="I603" i="12" s="1"/>
  <c r="H602" i="12"/>
  <c r="I602" i="12" s="1"/>
  <c r="H601" i="12"/>
  <c r="I601" i="12" s="1"/>
  <c r="H600" i="12"/>
  <c r="I600" i="12" s="1"/>
  <c r="H599" i="12"/>
  <c r="I599" i="12" s="1"/>
  <c r="H598" i="12"/>
  <c r="I598" i="12" s="1"/>
  <c r="H551" i="12"/>
  <c r="I551" i="12" s="1"/>
  <c r="H550" i="12"/>
  <c r="I550" i="12" s="1"/>
  <c r="H549" i="12"/>
  <c r="I549" i="12" s="1"/>
  <c r="H548" i="12"/>
  <c r="I548" i="12" s="1"/>
  <c r="H547" i="12"/>
  <c r="I547" i="12" s="1"/>
  <c r="H546" i="12"/>
  <c r="I546" i="12" s="1"/>
  <c r="I355" i="12"/>
  <c r="I354" i="12"/>
  <c r="I353" i="12"/>
  <c r="I352" i="12"/>
  <c r="I351" i="12"/>
  <c r="I350" i="12"/>
  <c r="I389" i="12"/>
  <c r="I388" i="12"/>
  <c r="I387" i="12"/>
  <c r="I386" i="12"/>
  <c r="I385" i="12"/>
  <c r="I384" i="12"/>
  <c r="I241" i="12"/>
  <c r="I240" i="12"/>
  <c r="I239" i="12"/>
  <c r="I238" i="12"/>
  <c r="I237" i="12"/>
  <c r="I236" i="12"/>
  <c r="I309" i="12"/>
  <c r="I308" i="12"/>
  <c r="I307" i="12"/>
  <c r="H306" i="12"/>
  <c r="I306" i="12" s="1"/>
  <c r="H305" i="12"/>
  <c r="I305" i="12" s="1"/>
  <c r="H304" i="12"/>
  <c r="I304" i="12" s="1"/>
  <c r="H321" i="12"/>
  <c r="I321" i="12" s="1"/>
  <c r="H320" i="12"/>
  <c r="I320" i="12" s="1"/>
  <c r="H319" i="12"/>
  <c r="I319" i="12" s="1"/>
  <c r="H318" i="12"/>
  <c r="I318" i="12" s="1"/>
  <c r="H317" i="12"/>
  <c r="I317" i="12" s="1"/>
  <c r="H316" i="12"/>
  <c r="I316" i="12" s="1"/>
  <c r="H275" i="12"/>
  <c r="I275" i="12" s="1"/>
  <c r="H274" i="12"/>
  <c r="I274" i="12" s="1"/>
  <c r="H273" i="12"/>
  <c r="I273" i="12" s="1"/>
  <c r="H272" i="12"/>
  <c r="I272" i="12" s="1"/>
  <c r="H271" i="12"/>
  <c r="I271" i="12" s="1"/>
  <c r="H270" i="12"/>
  <c r="I270" i="12" s="1"/>
  <c r="H207" i="12"/>
  <c r="I207" i="12" s="1"/>
  <c r="H206" i="12"/>
  <c r="I206" i="12" s="1"/>
  <c r="H205" i="12"/>
  <c r="I205" i="12" s="1"/>
  <c r="H204" i="12"/>
  <c r="I204" i="12" s="1"/>
  <c r="H203" i="12"/>
  <c r="I203" i="12" s="1"/>
  <c r="H202" i="12"/>
  <c r="I202" i="12" s="1"/>
  <c r="H173" i="12"/>
  <c r="I173" i="12" s="1"/>
  <c r="H172" i="12"/>
  <c r="I172" i="12" s="1"/>
  <c r="H171" i="12"/>
  <c r="I171" i="12" s="1"/>
  <c r="H170" i="12"/>
  <c r="I170" i="12" s="1"/>
  <c r="H169" i="12"/>
  <c r="I169" i="12" s="1"/>
  <c r="H168" i="12"/>
  <c r="I168" i="12" s="1"/>
  <c r="I383" i="12"/>
  <c r="I381" i="12"/>
  <c r="I379" i="12"/>
  <c r="I377" i="12"/>
  <c r="I375" i="12"/>
  <c r="I235" i="12"/>
  <c r="I233" i="12"/>
  <c r="I231" i="12"/>
  <c r="I229" i="12"/>
  <c r="I227" i="12"/>
  <c r="I303" i="12"/>
  <c r="I301" i="12"/>
  <c r="I299" i="12"/>
  <c r="I297" i="12"/>
  <c r="I295" i="12"/>
  <c r="I349" i="12"/>
  <c r="I347" i="12"/>
  <c r="I345" i="12"/>
  <c r="I343" i="12"/>
  <c r="I341" i="12"/>
  <c r="I269" i="12"/>
  <c r="I267" i="12"/>
  <c r="I265" i="12"/>
  <c r="I263" i="12"/>
  <c r="I261" i="12"/>
  <c r="I201" i="12"/>
  <c r="I199" i="12"/>
  <c r="I197" i="12"/>
  <c r="I195" i="12"/>
  <c r="I193" i="12"/>
  <c r="I167" i="12"/>
  <c r="I165" i="12"/>
  <c r="I163" i="12"/>
  <c r="I161" i="12"/>
  <c r="I159" i="12"/>
  <c r="I373" i="12"/>
  <c r="I371" i="12"/>
  <c r="I369" i="12"/>
  <c r="I367" i="12"/>
  <c r="I365" i="12"/>
  <c r="I363" i="12"/>
  <c r="I225" i="12"/>
  <c r="I223" i="12"/>
  <c r="I221" i="12"/>
  <c r="I219" i="12"/>
  <c r="I217" i="12"/>
  <c r="I215" i="12"/>
  <c r="I293" i="12"/>
  <c r="I291" i="12"/>
  <c r="I289" i="12"/>
  <c r="I287" i="12"/>
  <c r="I285" i="12"/>
  <c r="I283" i="12"/>
  <c r="I339" i="12"/>
  <c r="I337" i="12"/>
  <c r="I335" i="12"/>
  <c r="I333" i="12"/>
  <c r="I331" i="12"/>
  <c r="I329" i="12"/>
  <c r="I259" i="12"/>
  <c r="I257" i="12"/>
  <c r="I255" i="12"/>
  <c r="I253" i="12"/>
  <c r="I251" i="12"/>
  <c r="I249" i="12"/>
  <c r="I191" i="12"/>
  <c r="I189" i="12"/>
  <c r="I187" i="12"/>
  <c r="I185" i="12"/>
  <c r="I183" i="12"/>
  <c r="I181" i="12"/>
  <c r="I327" i="12"/>
  <c r="I326" i="12"/>
  <c r="I325" i="12"/>
  <c r="I324" i="12"/>
  <c r="I323" i="12"/>
  <c r="I322" i="12"/>
  <c r="I395" i="12"/>
  <c r="I394" i="12"/>
  <c r="I393" i="12"/>
  <c r="I392" i="12"/>
  <c r="I391" i="12"/>
  <c r="I390" i="12"/>
  <c r="I247" i="12"/>
  <c r="I246" i="12"/>
  <c r="I245" i="12"/>
  <c r="I244" i="12"/>
  <c r="I243" i="12"/>
  <c r="I242" i="12"/>
  <c r="I315" i="12"/>
  <c r="I314" i="12"/>
  <c r="I313" i="12"/>
  <c r="I312" i="12"/>
  <c r="I311" i="12"/>
  <c r="I310" i="12"/>
  <c r="I361" i="12"/>
  <c r="I360" i="12"/>
  <c r="I359" i="12"/>
  <c r="I358" i="12"/>
  <c r="I357" i="12"/>
  <c r="I356" i="12"/>
  <c r="I281" i="12"/>
  <c r="I280" i="12"/>
  <c r="I279" i="12"/>
  <c r="I278" i="12"/>
  <c r="I277" i="12"/>
  <c r="I276" i="12"/>
  <c r="I213" i="12"/>
  <c r="I212" i="12"/>
  <c r="I211" i="12"/>
  <c r="I210" i="12"/>
  <c r="I209" i="12"/>
  <c r="I208" i="12"/>
  <c r="I179" i="12"/>
  <c r="I178" i="12"/>
  <c r="I177" i="12"/>
  <c r="I176" i="12"/>
  <c r="I175" i="12"/>
  <c r="I174" i="12"/>
  <c r="I382" i="12"/>
  <c r="I380" i="12"/>
  <c r="I378" i="12"/>
  <c r="I376" i="12"/>
  <c r="I374" i="12"/>
  <c r="I234" i="12"/>
  <c r="I232" i="12"/>
  <c r="I230" i="12"/>
  <c r="I228" i="12"/>
  <c r="I226" i="12"/>
  <c r="I302" i="12"/>
  <c r="I300" i="12"/>
  <c r="I298" i="12"/>
  <c r="I296" i="12"/>
  <c r="I294" i="12"/>
  <c r="I348" i="12"/>
  <c r="I346" i="12"/>
  <c r="I344" i="12"/>
  <c r="I342" i="12"/>
  <c r="I340" i="12"/>
  <c r="I268" i="12"/>
  <c r="I266" i="12"/>
  <c r="I264" i="12"/>
  <c r="I262" i="12"/>
  <c r="I260" i="12"/>
  <c r="I200" i="12"/>
  <c r="I198" i="12"/>
  <c r="I196" i="12"/>
  <c r="I194" i="12"/>
  <c r="I192" i="12"/>
  <c r="I166" i="12"/>
  <c r="I164" i="12"/>
  <c r="I162" i="12"/>
  <c r="I160" i="12"/>
  <c r="I158" i="12"/>
  <c r="I372" i="12"/>
  <c r="I370" i="12"/>
  <c r="I368" i="12"/>
  <c r="I366" i="12"/>
  <c r="I364" i="12"/>
  <c r="I362" i="12"/>
  <c r="I224" i="12"/>
  <c r="I222" i="12"/>
  <c r="I220" i="12"/>
  <c r="I218" i="12"/>
  <c r="I216" i="12"/>
  <c r="I214" i="12"/>
  <c r="I292" i="12"/>
  <c r="I290" i="12"/>
  <c r="I288" i="12"/>
  <c r="I286" i="12"/>
  <c r="I284" i="12"/>
  <c r="I282" i="12"/>
  <c r="I338" i="12"/>
  <c r="I336" i="12"/>
  <c r="I334" i="12"/>
  <c r="I332" i="12"/>
  <c r="I330" i="12"/>
  <c r="I328" i="12"/>
  <c r="I258" i="12"/>
  <c r="I256" i="12"/>
  <c r="I254" i="12"/>
  <c r="I252" i="12"/>
  <c r="I250" i="12"/>
  <c r="I248" i="12"/>
  <c r="I190" i="12"/>
  <c r="I188" i="12"/>
  <c r="I186" i="12"/>
  <c r="I184" i="12"/>
  <c r="I182" i="12"/>
  <c r="I180" i="12"/>
  <c r="I157" i="12"/>
  <c r="I156" i="12"/>
  <c r="I155" i="12"/>
  <c r="I154" i="12"/>
  <c r="I153" i="12"/>
  <c r="I152" i="12"/>
  <c r="H902" i="12"/>
  <c r="I902" i="12" s="1"/>
  <c r="H901" i="12"/>
  <c r="I901" i="12" s="1"/>
  <c r="H900" i="12"/>
  <c r="I900" i="12" s="1"/>
  <c r="H899" i="12"/>
  <c r="I899" i="12" s="1"/>
  <c r="H898" i="12"/>
  <c r="I898" i="12" s="1"/>
  <c r="H897" i="12"/>
  <c r="I897" i="12" s="1"/>
  <c r="H896" i="12"/>
  <c r="I896" i="12" s="1"/>
  <c r="H895" i="12"/>
  <c r="I895" i="12" s="1"/>
  <c r="H894" i="12"/>
  <c r="I894" i="12" s="1"/>
  <c r="H893" i="12"/>
  <c r="I893" i="12" s="1"/>
  <c r="H892" i="12"/>
  <c r="I892" i="12" s="1"/>
  <c r="H891" i="12"/>
  <c r="I891" i="12" s="1"/>
  <c r="H890" i="12"/>
  <c r="I890" i="12" s="1"/>
  <c r="H889" i="12"/>
  <c r="I889" i="12" s="1"/>
  <c r="H888" i="12"/>
  <c r="I888" i="12" s="1"/>
  <c r="H887" i="12"/>
  <c r="I887" i="12" s="1"/>
  <c r="H886" i="12"/>
  <c r="I886" i="12" s="1"/>
  <c r="H885" i="12"/>
  <c r="I885" i="12" s="1"/>
  <c r="H884" i="12"/>
  <c r="I884" i="12" s="1"/>
  <c r="H883" i="12"/>
  <c r="I883" i="12" s="1"/>
  <c r="H882" i="12"/>
  <c r="I882" i="12" s="1"/>
  <c r="H881" i="12"/>
  <c r="I881" i="12" s="1"/>
  <c r="H880" i="12"/>
  <c r="I880" i="12" s="1"/>
  <c r="H879" i="12"/>
  <c r="I879" i="12" s="1"/>
  <c r="H878" i="12"/>
  <c r="I878" i="12" s="1"/>
  <c r="H877" i="12"/>
  <c r="I877" i="12" s="1"/>
  <c r="H876" i="12"/>
  <c r="I876" i="12" s="1"/>
  <c r="H875" i="12"/>
  <c r="I875" i="12" s="1"/>
  <c r="H874" i="12"/>
  <c r="I874" i="12" s="1"/>
  <c r="H873" i="12"/>
  <c r="I873" i="12" s="1"/>
  <c r="H872" i="12"/>
  <c r="I872" i="12" s="1"/>
  <c r="H871" i="12"/>
  <c r="I871" i="12" s="1"/>
  <c r="H870" i="12"/>
  <c r="I870" i="12" s="1"/>
  <c r="H869" i="12"/>
  <c r="I869" i="12" s="1"/>
  <c r="H868" i="12"/>
  <c r="I868" i="12" s="1"/>
  <c r="H867" i="12"/>
  <c r="I867" i="12" s="1"/>
  <c r="I866" i="12"/>
  <c r="H865" i="12"/>
  <c r="I865" i="12" s="1"/>
  <c r="H864" i="12"/>
  <c r="I864" i="12" s="1"/>
  <c r="H863" i="12"/>
  <c r="I863" i="12" s="1"/>
  <c r="H862" i="12"/>
  <c r="I862" i="12" s="1"/>
  <c r="H861" i="12"/>
  <c r="I861" i="12" s="1"/>
  <c r="H860" i="12"/>
  <c r="I860" i="12" s="1"/>
  <c r="H859" i="12"/>
  <c r="I859" i="12" s="1"/>
  <c r="H858" i="12"/>
  <c r="I858" i="12" s="1"/>
  <c r="H857" i="12"/>
  <c r="I857" i="12" s="1"/>
  <c r="H948" i="12"/>
  <c r="I948" i="12" s="1"/>
  <c r="H947" i="12"/>
  <c r="I947" i="12" s="1"/>
  <c r="H946" i="12"/>
  <c r="I946" i="12" s="1"/>
  <c r="H945" i="12"/>
  <c r="I945" i="12" s="1"/>
  <c r="H944" i="12"/>
  <c r="I944" i="12" s="1"/>
  <c r="H943" i="12"/>
  <c r="I943" i="12" s="1"/>
  <c r="H942" i="12"/>
  <c r="I942" i="12" s="1"/>
  <c r="H941" i="12"/>
  <c r="I941" i="12" s="1"/>
  <c r="H940" i="12"/>
  <c r="I940" i="12" s="1"/>
  <c r="H939" i="12"/>
  <c r="I939" i="12" s="1"/>
  <c r="H938" i="12"/>
  <c r="I938" i="12" s="1"/>
  <c r="H937" i="12"/>
  <c r="I937" i="12" s="1"/>
  <c r="H936" i="12"/>
  <c r="I936" i="12" s="1"/>
  <c r="H935" i="12"/>
  <c r="I935" i="12" s="1"/>
  <c r="H934" i="12"/>
  <c r="I934" i="12" s="1"/>
  <c r="H933" i="12"/>
  <c r="I933" i="12" s="1"/>
  <c r="H932" i="12"/>
  <c r="I932" i="12" s="1"/>
  <c r="H931" i="12"/>
  <c r="I931" i="12" s="1"/>
  <c r="H930" i="12"/>
  <c r="I930" i="12" s="1"/>
  <c r="H929" i="12"/>
  <c r="I929" i="12" s="1"/>
  <c r="H928" i="12"/>
  <c r="I928" i="12" s="1"/>
  <c r="H927" i="12"/>
  <c r="I927" i="12" s="1"/>
  <c r="H926" i="12"/>
  <c r="I926" i="12" s="1"/>
  <c r="H925" i="12"/>
  <c r="I925" i="12" s="1"/>
  <c r="H924" i="12"/>
  <c r="I924" i="12" s="1"/>
  <c r="H923" i="12"/>
  <c r="I923" i="12" s="1"/>
  <c r="H922" i="12"/>
  <c r="I922" i="12" s="1"/>
  <c r="H921" i="12"/>
  <c r="I921" i="12" s="1"/>
  <c r="H920" i="12"/>
  <c r="I920" i="12" s="1"/>
  <c r="H919" i="12"/>
  <c r="I919" i="12" s="1"/>
  <c r="H918" i="12"/>
  <c r="I918" i="12" s="1"/>
  <c r="H917" i="12"/>
  <c r="I917" i="12" s="1"/>
  <c r="H916" i="12"/>
  <c r="I916" i="12" s="1"/>
  <c r="H915" i="12"/>
  <c r="I915" i="12" s="1"/>
  <c r="H914" i="12"/>
  <c r="I914" i="12" s="1"/>
  <c r="H913" i="12"/>
  <c r="I913" i="12" s="1"/>
  <c r="H912" i="12"/>
  <c r="I912" i="12" s="1"/>
  <c r="H911" i="12"/>
  <c r="I911" i="12" s="1"/>
  <c r="H910" i="12"/>
  <c r="I910" i="12" s="1"/>
  <c r="H909" i="12"/>
  <c r="I909" i="12" s="1"/>
  <c r="H908" i="12"/>
  <c r="I908" i="12" s="1"/>
  <c r="H907" i="12"/>
  <c r="I907" i="12" s="1"/>
  <c r="H906" i="12"/>
  <c r="I906" i="12" s="1"/>
  <c r="H905" i="12"/>
  <c r="I905" i="12" s="1"/>
  <c r="H904" i="12"/>
  <c r="I904" i="12" s="1"/>
  <c r="H903" i="12"/>
  <c r="I903" i="12" s="1"/>
  <c r="H729" i="12"/>
  <c r="I729" i="12" s="1"/>
  <c r="H728" i="12"/>
  <c r="I728" i="12" s="1"/>
  <c r="H727" i="12"/>
  <c r="I727" i="12" s="1"/>
  <c r="H726" i="12"/>
  <c r="I726" i="12" s="1"/>
  <c r="H725" i="12"/>
  <c r="I725" i="12" s="1"/>
  <c r="H724" i="12"/>
  <c r="I724" i="12" s="1"/>
  <c r="H683" i="12"/>
  <c r="I683" i="12" s="1"/>
  <c r="H682" i="12"/>
  <c r="I682" i="12" s="1"/>
  <c r="H681" i="12"/>
  <c r="I681" i="12" s="1"/>
  <c r="H680" i="12"/>
  <c r="I680" i="12" s="1"/>
  <c r="H679" i="12"/>
  <c r="I679" i="12" s="1"/>
  <c r="H678" i="12"/>
  <c r="I678" i="12" s="1"/>
  <c r="H787" i="12"/>
  <c r="I787" i="12" s="1"/>
  <c r="H786" i="12"/>
  <c r="I786" i="12" s="1"/>
  <c r="H785" i="12"/>
  <c r="I785" i="12" s="1"/>
  <c r="H784" i="12"/>
  <c r="I784" i="12" s="1"/>
  <c r="H783" i="12"/>
  <c r="I783" i="12" s="1"/>
  <c r="H782" i="12"/>
  <c r="I782" i="12" s="1"/>
  <c r="H781" i="12"/>
  <c r="I781" i="12" s="1"/>
  <c r="H780" i="12"/>
  <c r="I780" i="12" s="1"/>
  <c r="H779" i="12"/>
  <c r="I779" i="12" s="1"/>
  <c r="H778" i="12"/>
  <c r="I778" i="12" s="1"/>
  <c r="H777" i="12"/>
  <c r="I777" i="12" s="1"/>
  <c r="H776" i="12"/>
  <c r="I776" i="12" s="1"/>
  <c r="H833" i="12"/>
  <c r="I833" i="12" s="1"/>
  <c r="H832" i="12"/>
  <c r="I832" i="12" s="1"/>
  <c r="H831" i="12"/>
  <c r="I831" i="12" s="1"/>
  <c r="H830" i="12"/>
  <c r="I830" i="12" s="1"/>
  <c r="H829" i="12"/>
  <c r="I829" i="12" s="1"/>
  <c r="H828" i="12"/>
  <c r="I828" i="12" s="1"/>
  <c r="H827" i="12"/>
  <c r="I827" i="12" s="1"/>
  <c r="H826" i="12"/>
  <c r="I826" i="12" s="1"/>
  <c r="H825" i="12"/>
  <c r="I825" i="12" s="1"/>
  <c r="H824" i="12"/>
  <c r="I824" i="12" s="1"/>
  <c r="H823" i="12"/>
  <c r="I823" i="12" s="1"/>
  <c r="H822" i="12"/>
  <c r="I822" i="12" s="1"/>
  <c r="H821" i="12"/>
  <c r="I821" i="12" s="1"/>
  <c r="H820" i="12"/>
  <c r="I820" i="12" s="1"/>
  <c r="H819" i="12"/>
  <c r="I819" i="12" s="1"/>
  <c r="H818" i="12"/>
  <c r="I818" i="12" s="1"/>
  <c r="H817" i="12"/>
  <c r="I817" i="12" s="1"/>
  <c r="H816" i="12"/>
  <c r="I816" i="12" s="1"/>
  <c r="H815" i="12"/>
  <c r="I815" i="12" s="1"/>
  <c r="H814" i="12"/>
  <c r="I814" i="12" s="1"/>
  <c r="H813" i="12"/>
  <c r="I813" i="12" s="1"/>
  <c r="H812" i="12"/>
  <c r="I812" i="12" s="1"/>
  <c r="H811" i="12"/>
  <c r="I811" i="12" s="1"/>
  <c r="H856" i="12"/>
  <c r="I856" i="12" s="1"/>
  <c r="H855" i="12"/>
  <c r="I855" i="12" s="1"/>
  <c r="H854" i="12"/>
  <c r="I854" i="12" s="1"/>
  <c r="H853" i="12"/>
  <c r="I853" i="12" s="1"/>
  <c r="H852" i="12"/>
  <c r="I852" i="12" s="1"/>
  <c r="H851" i="12"/>
  <c r="I851" i="12" s="1"/>
  <c r="H850" i="12"/>
  <c r="I850" i="12" s="1"/>
  <c r="H849" i="12"/>
  <c r="I849" i="12" s="1"/>
  <c r="H848" i="12"/>
  <c r="I848" i="12" s="1"/>
  <c r="H847" i="12"/>
  <c r="I847" i="12" s="1"/>
  <c r="H846" i="12"/>
  <c r="I846" i="12" s="1"/>
  <c r="H845" i="12"/>
  <c r="I845" i="12" s="1"/>
  <c r="H844" i="12"/>
  <c r="I844" i="12" s="1"/>
  <c r="H843" i="12"/>
  <c r="I843" i="12" s="1"/>
  <c r="H842" i="12"/>
  <c r="I842" i="12" s="1"/>
  <c r="H841" i="12"/>
  <c r="I841" i="12" s="1"/>
  <c r="H840" i="12"/>
  <c r="I840" i="12" s="1"/>
  <c r="H839" i="12"/>
  <c r="I839" i="12" s="1"/>
  <c r="H838" i="12"/>
  <c r="I838" i="12" s="1"/>
  <c r="H837" i="12"/>
  <c r="I837" i="12" s="1"/>
  <c r="H836" i="12"/>
  <c r="I836" i="12" s="1"/>
  <c r="H835" i="12"/>
  <c r="I835" i="12" s="1"/>
  <c r="H834" i="12"/>
  <c r="I834" i="12" s="1"/>
  <c r="H775" i="12"/>
  <c r="I775" i="12" s="1"/>
  <c r="H774" i="12"/>
  <c r="I774" i="12" s="1"/>
  <c r="H773" i="12"/>
  <c r="I773" i="12" s="1"/>
  <c r="H772" i="12"/>
  <c r="I772" i="12" s="1"/>
  <c r="H771" i="12"/>
  <c r="I771" i="12" s="1"/>
  <c r="H770" i="12"/>
  <c r="I770" i="12" s="1"/>
  <c r="H769" i="12"/>
  <c r="I769" i="12" s="1"/>
  <c r="H768" i="12"/>
  <c r="I768" i="12" s="1"/>
  <c r="H767" i="12"/>
  <c r="I767" i="12" s="1"/>
  <c r="H766" i="12"/>
  <c r="I766" i="12" s="1"/>
  <c r="H765" i="12"/>
  <c r="I765" i="12" s="1"/>
  <c r="H764" i="12"/>
  <c r="I764" i="12" s="1"/>
  <c r="H763" i="12"/>
  <c r="I763" i="12" s="1"/>
  <c r="H762" i="12"/>
  <c r="I762" i="12" s="1"/>
  <c r="H761" i="12"/>
  <c r="I761" i="12" s="1"/>
  <c r="H760" i="12"/>
  <c r="I760" i="12" s="1"/>
  <c r="H759" i="12"/>
  <c r="I759" i="12" s="1"/>
  <c r="H758" i="12"/>
  <c r="I758" i="12" s="1"/>
  <c r="H757" i="12"/>
  <c r="I757" i="12" s="1"/>
  <c r="H756" i="12"/>
  <c r="I756" i="12" s="1"/>
  <c r="H755" i="12"/>
  <c r="I755" i="12" s="1"/>
  <c r="H754" i="12"/>
  <c r="I754" i="12" s="1"/>
  <c r="H753" i="12"/>
  <c r="I753" i="12" s="1"/>
  <c r="I810" i="12"/>
  <c r="H809" i="12"/>
  <c r="I809" i="12" s="1"/>
  <c r="H808" i="12"/>
  <c r="I808" i="12" s="1"/>
  <c r="H807" i="12"/>
  <c r="I807" i="12" s="1"/>
  <c r="H806" i="12"/>
  <c r="I806" i="12" s="1"/>
  <c r="H805" i="12"/>
  <c r="I805" i="12" s="1"/>
  <c r="H804" i="12"/>
  <c r="I804" i="12" s="1"/>
  <c r="H803" i="12"/>
  <c r="I803" i="12" s="1"/>
  <c r="H802" i="12"/>
  <c r="I802" i="12" s="1"/>
  <c r="H801" i="12"/>
  <c r="I801" i="12" s="1"/>
  <c r="H800" i="12"/>
  <c r="I800" i="12" s="1"/>
  <c r="H799" i="12"/>
  <c r="I799" i="12" s="1"/>
  <c r="H798" i="12"/>
  <c r="I798" i="12" s="1"/>
  <c r="H797" i="12"/>
  <c r="I797" i="12" s="1"/>
  <c r="H796" i="12"/>
  <c r="I796" i="12" s="1"/>
  <c r="H795" i="12"/>
  <c r="I795" i="12" s="1"/>
  <c r="H794" i="12"/>
  <c r="I794" i="12" s="1"/>
  <c r="H793" i="12"/>
  <c r="I793" i="12" s="1"/>
  <c r="H792" i="12"/>
  <c r="I792" i="12" s="1"/>
  <c r="H791" i="12"/>
  <c r="I791" i="12" s="1"/>
  <c r="H790" i="12"/>
  <c r="I790" i="12" s="1"/>
  <c r="H789" i="12"/>
  <c r="I789" i="12" s="1"/>
  <c r="H788" i="12"/>
  <c r="I788" i="12" s="1"/>
  <c r="H723" i="12"/>
  <c r="I723" i="12" s="1"/>
  <c r="H722" i="12"/>
  <c r="I722" i="12" s="1"/>
  <c r="H721" i="12"/>
  <c r="I721" i="12" s="1"/>
  <c r="H720" i="12"/>
  <c r="I720" i="12" s="1"/>
  <c r="H719" i="12"/>
  <c r="I719" i="12" s="1"/>
  <c r="H718" i="12"/>
  <c r="I718" i="12" s="1"/>
  <c r="H717" i="12"/>
  <c r="I717" i="12" s="1"/>
  <c r="H716" i="12"/>
  <c r="I716" i="12" s="1"/>
  <c r="H715" i="12"/>
  <c r="I715" i="12" s="1"/>
  <c r="H714" i="12"/>
  <c r="I714" i="12" s="1"/>
  <c r="H713" i="12"/>
  <c r="I713" i="12" s="1"/>
  <c r="H712" i="12"/>
  <c r="I712" i="12" s="1"/>
  <c r="H711" i="12"/>
  <c r="I711" i="12" s="1"/>
  <c r="H710" i="12"/>
  <c r="I710" i="12" s="1"/>
  <c r="H709" i="12"/>
  <c r="I709" i="12" s="1"/>
  <c r="H708" i="12"/>
  <c r="I708" i="12" s="1"/>
  <c r="H707" i="12"/>
  <c r="I707" i="12" s="1"/>
  <c r="H677" i="12"/>
  <c r="I677" i="12" s="1"/>
  <c r="H676" i="12"/>
  <c r="I676" i="12" s="1"/>
  <c r="H675" i="12"/>
  <c r="I675" i="12" s="1"/>
  <c r="H674" i="12"/>
  <c r="I674" i="12" s="1"/>
  <c r="H673" i="12"/>
  <c r="I673" i="12" s="1"/>
  <c r="H672" i="12"/>
  <c r="I672" i="12" s="1"/>
  <c r="H671" i="12"/>
  <c r="I671" i="12" s="1"/>
  <c r="H670" i="12"/>
  <c r="I670" i="12" s="1"/>
  <c r="H669" i="12"/>
  <c r="I669" i="12" s="1"/>
  <c r="H668" i="12"/>
  <c r="I668" i="12" s="1"/>
  <c r="H667" i="12"/>
  <c r="I667" i="12" s="1"/>
  <c r="H666" i="12"/>
  <c r="I666" i="12" s="1"/>
  <c r="H665" i="12"/>
  <c r="I665" i="12" s="1"/>
  <c r="H664" i="12"/>
  <c r="I664" i="12" s="1"/>
  <c r="H663" i="12"/>
  <c r="I663" i="12" s="1"/>
  <c r="H662" i="12"/>
  <c r="I662" i="12" s="1"/>
  <c r="H661" i="12"/>
  <c r="I661" i="12" s="1"/>
  <c r="H574" i="12"/>
  <c r="I574" i="12" s="1"/>
  <c r="H573" i="12"/>
  <c r="I573" i="12" s="1"/>
  <c r="H572" i="12"/>
  <c r="I572" i="12" s="1"/>
  <c r="H571" i="12"/>
  <c r="I571" i="12" s="1"/>
  <c r="H570" i="12"/>
  <c r="I570" i="12" s="1"/>
  <c r="H569" i="12"/>
  <c r="I569" i="12" s="1"/>
  <c r="H522" i="12"/>
  <c r="I522" i="12" s="1"/>
  <c r="H521" i="12"/>
  <c r="I521" i="12" s="1"/>
  <c r="H520" i="12"/>
  <c r="I520" i="12" s="1"/>
  <c r="H519" i="12"/>
  <c r="I519" i="12" s="1"/>
  <c r="H518" i="12"/>
  <c r="I518" i="12" s="1"/>
  <c r="H517" i="12"/>
  <c r="I517" i="12" s="1"/>
  <c r="H493" i="12"/>
  <c r="I493" i="12" s="1"/>
  <c r="H492" i="12"/>
  <c r="I492" i="12" s="1"/>
  <c r="H491" i="12"/>
  <c r="I491" i="12" s="1"/>
  <c r="H490" i="12"/>
  <c r="I490" i="12" s="1"/>
  <c r="H489" i="12"/>
  <c r="I489" i="12" s="1"/>
  <c r="H488" i="12"/>
  <c r="I488" i="12" s="1"/>
  <c r="H499" i="12"/>
  <c r="I499" i="12" s="1"/>
  <c r="H498" i="12"/>
  <c r="I498" i="12" s="1"/>
  <c r="H497" i="12"/>
  <c r="I497" i="12" s="1"/>
  <c r="H496" i="12"/>
  <c r="I496" i="12" s="1"/>
  <c r="H495" i="12"/>
  <c r="I495" i="12" s="1"/>
  <c r="H494" i="12"/>
  <c r="I494" i="12" s="1"/>
  <c r="H545" i="12"/>
  <c r="I545" i="12" s="1"/>
  <c r="H544" i="12"/>
  <c r="I544" i="12" s="1"/>
  <c r="H543" i="12"/>
  <c r="I543" i="12" s="1"/>
  <c r="H542" i="12"/>
  <c r="I542" i="12" s="1"/>
  <c r="H541" i="12"/>
  <c r="I541" i="12" s="1"/>
  <c r="H540" i="12"/>
  <c r="I540" i="12" s="1"/>
  <c r="H597" i="12"/>
  <c r="I597" i="12" s="1"/>
  <c r="H596" i="12"/>
  <c r="I596" i="12" s="1"/>
  <c r="H595" i="12"/>
  <c r="I595" i="12" s="1"/>
  <c r="H594" i="12"/>
  <c r="I594" i="12" s="1"/>
  <c r="H593" i="12"/>
  <c r="I593" i="12" s="1"/>
  <c r="H592" i="12"/>
  <c r="I592" i="12" s="1"/>
  <c r="H609" i="12"/>
  <c r="I609" i="12" s="1"/>
  <c r="H608" i="12"/>
  <c r="I608" i="12" s="1"/>
  <c r="H607" i="12"/>
  <c r="I607" i="12" s="1"/>
  <c r="H606" i="12"/>
  <c r="I606" i="12" s="1"/>
  <c r="H605" i="12"/>
  <c r="I605" i="12" s="1"/>
  <c r="H604" i="12"/>
  <c r="I604" i="12" s="1"/>
  <c r="H568" i="12"/>
  <c r="I568" i="12" s="1"/>
  <c r="H567" i="12"/>
  <c r="I567" i="12" s="1"/>
  <c r="H566" i="12"/>
  <c r="I566" i="12" s="1"/>
  <c r="H565" i="12"/>
  <c r="I565" i="12" s="1"/>
  <c r="H564" i="12"/>
  <c r="I564" i="12" s="1"/>
  <c r="H563" i="12"/>
  <c r="I563" i="12" s="1"/>
  <c r="H516" i="12"/>
  <c r="I516" i="12" s="1"/>
  <c r="H515" i="12"/>
  <c r="I515" i="12" s="1"/>
  <c r="H514" i="12"/>
  <c r="I514" i="12" s="1"/>
  <c r="H513" i="12"/>
  <c r="I513" i="12" s="1"/>
  <c r="H512" i="12"/>
  <c r="I512" i="12" s="1"/>
  <c r="H511" i="12"/>
  <c r="I511" i="12" s="1"/>
  <c r="H643" i="12"/>
  <c r="I643" i="12" s="1"/>
  <c r="H642" i="12"/>
  <c r="I642" i="12" s="1"/>
  <c r="H641" i="12"/>
  <c r="I641" i="12" s="1"/>
  <c r="H640" i="12"/>
  <c r="I640" i="12" s="1"/>
  <c r="H639" i="12"/>
  <c r="I639" i="12" s="1"/>
  <c r="H638" i="12"/>
  <c r="I638" i="12" s="1"/>
  <c r="H626" i="12"/>
  <c r="I626" i="12" s="1"/>
  <c r="H625" i="12"/>
  <c r="I625" i="12" s="1"/>
  <c r="H624" i="12"/>
  <c r="I624" i="12" s="1"/>
  <c r="H623" i="12"/>
  <c r="I623" i="12" s="1"/>
  <c r="H622" i="12"/>
  <c r="I622" i="12" s="1"/>
  <c r="H621" i="12"/>
  <c r="I621" i="12" s="1"/>
  <c r="H539" i="12"/>
  <c r="I539" i="12" s="1"/>
  <c r="H538" i="12"/>
  <c r="I538" i="12" s="1"/>
  <c r="H537" i="12"/>
  <c r="I537" i="12" s="1"/>
  <c r="H536" i="12"/>
  <c r="I536" i="12" s="1"/>
  <c r="H535" i="12"/>
  <c r="I535" i="12" s="1"/>
  <c r="H534" i="12"/>
  <c r="I534" i="12" s="1"/>
  <c r="H591" i="12"/>
  <c r="I591" i="12" s="1"/>
  <c r="H590" i="12"/>
  <c r="I590" i="12" s="1"/>
  <c r="H589" i="12"/>
  <c r="I589" i="12" s="1"/>
  <c r="H588" i="12"/>
  <c r="I588" i="12" s="1"/>
  <c r="H587" i="12"/>
  <c r="I587" i="12" s="1"/>
  <c r="H586" i="12"/>
  <c r="I586" i="12" s="1"/>
  <c r="H660" i="12"/>
  <c r="I660" i="12" s="1"/>
  <c r="H659" i="12"/>
  <c r="I659" i="12" s="1"/>
  <c r="H658" i="12"/>
  <c r="I658" i="12" s="1"/>
  <c r="H657" i="12"/>
  <c r="I657" i="12" s="1"/>
  <c r="H656" i="12"/>
  <c r="I656" i="12" s="1"/>
  <c r="H655" i="12"/>
  <c r="I655" i="12" s="1"/>
  <c r="H562" i="12"/>
  <c r="I562" i="12" s="1"/>
  <c r="H561" i="12"/>
  <c r="I561" i="12" s="1"/>
  <c r="H560" i="12"/>
  <c r="I560" i="12" s="1"/>
  <c r="H559" i="12"/>
  <c r="I559" i="12" s="1"/>
  <c r="H558" i="12"/>
  <c r="I558" i="12" s="1"/>
  <c r="H510" i="12"/>
  <c r="I510" i="12" s="1"/>
  <c r="H509" i="12"/>
  <c r="I509" i="12" s="1"/>
  <c r="H508" i="12"/>
  <c r="I508" i="12" s="1"/>
  <c r="H507" i="12"/>
  <c r="I507" i="12" s="1"/>
  <c r="H506" i="12"/>
  <c r="I506" i="12" s="1"/>
  <c r="H637" i="12"/>
  <c r="I637" i="12" s="1"/>
  <c r="H636" i="12"/>
  <c r="I636" i="12" s="1"/>
  <c r="H635" i="12"/>
  <c r="I635" i="12" s="1"/>
  <c r="H634" i="12"/>
  <c r="I634" i="12" s="1"/>
  <c r="H633" i="12"/>
  <c r="I633" i="12" s="1"/>
  <c r="H620" i="12"/>
  <c r="I620" i="12" s="1"/>
  <c r="H619" i="12"/>
  <c r="I619" i="12" s="1"/>
  <c r="H618" i="12"/>
  <c r="I618" i="12" s="1"/>
  <c r="H617" i="12"/>
  <c r="I617" i="12" s="1"/>
  <c r="H616" i="12"/>
  <c r="I616" i="12" s="1"/>
  <c r="H533" i="12"/>
  <c r="I533" i="12" s="1"/>
  <c r="H532" i="12"/>
  <c r="I532" i="12" s="1"/>
  <c r="H531" i="12"/>
  <c r="I531" i="12" s="1"/>
  <c r="H530" i="12"/>
  <c r="I530" i="12" s="1"/>
  <c r="H529" i="12"/>
  <c r="I529" i="12" s="1"/>
  <c r="H585" i="12"/>
  <c r="I585" i="12" s="1"/>
  <c r="H584" i="12"/>
  <c r="I584" i="12" s="1"/>
  <c r="H583" i="12"/>
  <c r="I583" i="12" s="1"/>
  <c r="H582" i="12"/>
  <c r="I582" i="12" s="1"/>
  <c r="H581" i="12"/>
  <c r="I581" i="12" s="1"/>
  <c r="H654" i="12"/>
  <c r="I654" i="12" s="1"/>
  <c r="H653" i="12"/>
  <c r="I653" i="12" s="1"/>
  <c r="H652" i="12"/>
  <c r="I652" i="12" s="1"/>
  <c r="H651" i="12"/>
  <c r="I651" i="12" s="1"/>
  <c r="H650" i="12"/>
  <c r="I650" i="12" s="1"/>
  <c r="H557" i="12"/>
  <c r="I557" i="12" s="1"/>
  <c r="H556" i="12"/>
  <c r="I556" i="12" s="1"/>
  <c r="H555" i="12"/>
  <c r="I555" i="12" s="1"/>
  <c r="H554" i="12"/>
  <c r="I554" i="12" s="1"/>
  <c r="H553" i="12"/>
  <c r="I553" i="12" s="1"/>
  <c r="H552" i="12"/>
  <c r="I552" i="12" s="1"/>
  <c r="H505" i="12"/>
  <c r="I505" i="12" s="1"/>
  <c r="H504" i="12"/>
  <c r="I504" i="12" s="1"/>
  <c r="H503" i="12"/>
  <c r="I503" i="12" s="1"/>
  <c r="H502" i="12"/>
  <c r="I502" i="12" s="1"/>
  <c r="H501" i="12"/>
  <c r="I501" i="12" s="1"/>
  <c r="H500" i="12"/>
  <c r="I500" i="12" s="1"/>
  <c r="H632" i="12"/>
  <c r="I632" i="12" s="1"/>
  <c r="H631" i="12"/>
  <c r="I631" i="12" s="1"/>
  <c r="H630" i="12"/>
  <c r="I630" i="12" s="1"/>
  <c r="H629" i="12"/>
  <c r="I629" i="12" s="1"/>
  <c r="H628" i="12"/>
  <c r="I628" i="12" s="1"/>
  <c r="H627" i="12"/>
  <c r="I627" i="12" s="1"/>
  <c r="H615" i="12"/>
  <c r="I615" i="12" s="1"/>
  <c r="H614" i="12"/>
  <c r="I614" i="12" s="1"/>
  <c r="H613" i="12"/>
  <c r="I613" i="12" s="1"/>
  <c r="H612" i="12"/>
  <c r="I612" i="12" s="1"/>
  <c r="H611" i="12"/>
  <c r="I611" i="12" s="1"/>
  <c r="H610" i="12"/>
  <c r="I610" i="12" s="1"/>
  <c r="H528" i="12"/>
  <c r="I528" i="12" s="1"/>
  <c r="H527" i="12"/>
  <c r="I527" i="12" s="1"/>
  <c r="H526" i="12"/>
  <c r="I526" i="12" s="1"/>
  <c r="H525" i="12"/>
  <c r="I525" i="12" s="1"/>
  <c r="H524" i="12"/>
  <c r="I524" i="12" s="1"/>
  <c r="H523" i="12"/>
  <c r="I523" i="12" s="1"/>
  <c r="H580" i="12"/>
  <c r="I580" i="12" s="1"/>
  <c r="H579" i="12"/>
  <c r="I579" i="12" s="1"/>
  <c r="H578" i="12"/>
  <c r="I578" i="12" s="1"/>
  <c r="H577" i="12"/>
  <c r="I577" i="12" s="1"/>
  <c r="H576" i="12"/>
  <c r="I576" i="12" s="1"/>
  <c r="H575" i="12"/>
  <c r="I575" i="12" s="1"/>
  <c r="H649" i="12"/>
  <c r="I649" i="12" s="1"/>
  <c r="H648" i="12"/>
  <c r="I648" i="12" s="1"/>
  <c r="H647" i="12"/>
  <c r="I647" i="12" s="1"/>
  <c r="H646" i="12"/>
  <c r="I646" i="12" s="1"/>
  <c r="H645" i="12"/>
  <c r="I645" i="12" s="1"/>
  <c r="H644" i="12"/>
  <c r="I644" i="12" s="1"/>
  <c r="H706" i="12"/>
  <c r="I706" i="12" s="1"/>
  <c r="H705" i="12"/>
  <c r="I705" i="12" s="1"/>
  <c r="H704" i="12"/>
  <c r="I704" i="12" s="1"/>
  <c r="H703" i="12"/>
  <c r="I703" i="12" s="1"/>
  <c r="H702" i="12"/>
  <c r="I702" i="12" s="1"/>
  <c r="H701" i="12"/>
  <c r="I701" i="12" s="1"/>
  <c r="H752" i="12"/>
  <c r="I752" i="12" s="1"/>
  <c r="H751" i="12"/>
  <c r="I751" i="12" s="1"/>
  <c r="H750" i="12"/>
  <c r="I750" i="12" s="1"/>
  <c r="H749" i="12"/>
  <c r="I749" i="12" s="1"/>
  <c r="H748" i="12"/>
  <c r="I748" i="12" s="1"/>
  <c r="H747" i="12"/>
  <c r="I747" i="12" s="1"/>
  <c r="H700" i="12"/>
  <c r="I700" i="12" s="1"/>
  <c r="H699" i="12"/>
  <c r="I699" i="12" s="1"/>
  <c r="H698" i="12"/>
  <c r="I698" i="12" s="1"/>
  <c r="H697" i="12"/>
  <c r="I697" i="12" s="1"/>
  <c r="H696" i="12"/>
  <c r="I696" i="12" s="1"/>
  <c r="H695" i="12"/>
  <c r="I695" i="12" s="1"/>
  <c r="H746" i="12"/>
  <c r="I746" i="12" s="1"/>
  <c r="H745" i="12"/>
  <c r="I745" i="12" s="1"/>
  <c r="H744" i="12"/>
  <c r="I744" i="12" s="1"/>
  <c r="H743" i="12"/>
  <c r="I743" i="12" s="1"/>
  <c r="H742" i="12"/>
  <c r="I742" i="12" s="1"/>
  <c r="H741" i="12"/>
  <c r="I741" i="12" s="1"/>
  <c r="H694" i="12"/>
  <c r="I694" i="12" s="1"/>
  <c r="H693" i="12"/>
  <c r="I693" i="12" s="1"/>
  <c r="H692" i="12"/>
  <c r="I692" i="12" s="1"/>
  <c r="H691" i="12"/>
  <c r="I691" i="12" s="1"/>
  <c r="H690" i="12"/>
  <c r="I690" i="12" s="1"/>
  <c r="H740" i="12"/>
  <c r="I740" i="12" s="1"/>
  <c r="H739" i="12"/>
  <c r="I739" i="12" s="1"/>
  <c r="H738" i="12"/>
  <c r="I738" i="12" s="1"/>
  <c r="H737" i="12"/>
  <c r="I737" i="12" s="1"/>
  <c r="H736" i="12"/>
  <c r="I736" i="12" s="1"/>
  <c r="H689" i="12"/>
  <c r="I689" i="12" s="1"/>
  <c r="H688" i="12"/>
  <c r="I688" i="12" s="1"/>
  <c r="H687" i="12"/>
  <c r="I687" i="12" s="1"/>
  <c r="H686" i="12"/>
  <c r="I686" i="12" s="1"/>
  <c r="H685" i="12"/>
  <c r="I685" i="12" s="1"/>
  <c r="I684" i="12"/>
  <c r="H735" i="12"/>
  <c r="I735" i="12" s="1"/>
  <c r="H734" i="12"/>
  <c r="I734" i="12" s="1"/>
  <c r="H733" i="12"/>
  <c r="I733" i="12" s="1"/>
  <c r="H732" i="12"/>
  <c r="I732" i="12" s="1"/>
  <c r="H731" i="12"/>
  <c r="I731" i="12" s="1"/>
  <c r="I730" i="12"/>
  <c r="H105" i="12"/>
  <c r="I105" i="12" s="1"/>
  <c r="H104" i="12"/>
  <c r="I104" i="12" s="1"/>
  <c r="H103" i="12"/>
  <c r="I103" i="12" s="1"/>
  <c r="H102" i="12"/>
  <c r="I102" i="12" s="1"/>
  <c r="H101" i="12"/>
  <c r="I101" i="12" s="1"/>
  <c r="H100" i="12"/>
  <c r="I100" i="12" s="1"/>
  <c r="H99" i="12"/>
  <c r="I99" i="12" s="1"/>
  <c r="H98" i="12"/>
  <c r="I98" i="12" s="1"/>
  <c r="H97" i="12"/>
  <c r="I97" i="12" s="1"/>
  <c r="H96" i="12"/>
  <c r="I96" i="12" s="1"/>
  <c r="H95" i="12"/>
  <c r="I95" i="12" s="1"/>
  <c r="H94" i="12"/>
  <c r="I94" i="12" s="1"/>
  <c r="H47" i="12"/>
  <c r="I47" i="12" s="1"/>
  <c r="H46" i="12"/>
  <c r="I46" i="12" s="1"/>
  <c r="H45" i="12"/>
  <c r="I45" i="12" s="1"/>
  <c r="H44" i="12"/>
  <c r="I44" i="12" s="1"/>
  <c r="H43" i="12"/>
  <c r="I43" i="12" s="1"/>
  <c r="H42" i="12"/>
  <c r="I42" i="12" s="1"/>
  <c r="H41" i="12"/>
  <c r="I41" i="12" s="1"/>
  <c r="H40" i="12"/>
  <c r="I40" i="12" s="1"/>
  <c r="H39" i="12"/>
  <c r="I39" i="12" s="1"/>
  <c r="H38" i="12"/>
  <c r="I38" i="12" s="1"/>
  <c r="H37" i="12"/>
  <c r="I37" i="12" s="1"/>
  <c r="H36" i="12"/>
  <c r="I36" i="12" s="1"/>
  <c r="H35" i="12"/>
  <c r="I35" i="12" s="1"/>
  <c r="H34" i="12"/>
  <c r="I34" i="12" s="1"/>
  <c r="H33" i="12"/>
  <c r="I33" i="12" s="1"/>
  <c r="H32" i="12"/>
  <c r="I32" i="12" s="1"/>
  <c r="H31" i="12"/>
  <c r="I31" i="12" s="1"/>
  <c r="H30" i="12"/>
  <c r="I30" i="12" s="1"/>
  <c r="H29" i="12"/>
  <c r="I29" i="12" s="1"/>
  <c r="H28" i="12"/>
  <c r="I28" i="12" s="1"/>
  <c r="H27" i="12"/>
  <c r="I27" i="12" s="1"/>
  <c r="H26" i="12"/>
  <c r="I26" i="12" s="1"/>
  <c r="H25" i="12"/>
  <c r="I25" i="12" s="1"/>
  <c r="H70" i="12"/>
  <c r="I70" i="12" s="1"/>
  <c r="H69" i="12"/>
  <c r="I69" i="12" s="1"/>
  <c r="H68" i="12"/>
  <c r="I68" i="12" s="1"/>
  <c r="H67" i="12"/>
  <c r="I67" i="12" s="1"/>
  <c r="H66" i="12"/>
  <c r="I66" i="12" s="1"/>
  <c r="H65" i="12"/>
  <c r="I65" i="12" s="1"/>
  <c r="H64" i="12"/>
  <c r="I64" i="12" s="1"/>
  <c r="H63" i="12"/>
  <c r="I63" i="12" s="1"/>
  <c r="H62" i="12"/>
  <c r="I62" i="12" s="1"/>
  <c r="H61" i="12"/>
  <c r="I61" i="12" s="1"/>
  <c r="H60" i="12"/>
  <c r="I60" i="12" s="1"/>
  <c r="H59" i="12"/>
  <c r="I59" i="12" s="1"/>
  <c r="H58" i="12"/>
  <c r="I58" i="12" s="1"/>
  <c r="H57" i="12"/>
  <c r="I57" i="12" s="1"/>
  <c r="H56" i="12"/>
  <c r="I56" i="12" s="1"/>
  <c r="H55" i="12"/>
  <c r="I55" i="12" s="1"/>
  <c r="H54" i="12"/>
  <c r="I54" i="12" s="1"/>
  <c r="H53" i="12"/>
  <c r="I53" i="12" s="1"/>
  <c r="H52" i="12"/>
  <c r="I52" i="12" s="1"/>
  <c r="H51" i="12"/>
  <c r="I51" i="12" s="1"/>
  <c r="H50" i="12"/>
  <c r="I50" i="12" s="1"/>
  <c r="H49" i="12"/>
  <c r="I49" i="12" s="1"/>
  <c r="H48" i="12"/>
  <c r="I48" i="12" s="1"/>
  <c r="H93" i="12"/>
  <c r="I93" i="12" s="1"/>
  <c r="H92" i="12"/>
  <c r="I92" i="12" s="1"/>
  <c r="H91" i="12"/>
  <c r="I91" i="12" s="1"/>
  <c r="H90" i="12"/>
  <c r="I90" i="12" s="1"/>
  <c r="H89" i="12"/>
  <c r="I89" i="12" s="1"/>
  <c r="H88" i="12"/>
  <c r="I88" i="12" s="1"/>
  <c r="H87" i="12"/>
  <c r="I87" i="12" s="1"/>
  <c r="H86" i="12"/>
  <c r="I86" i="12" s="1"/>
  <c r="H85" i="12"/>
  <c r="I85" i="12" s="1"/>
  <c r="H84" i="12"/>
  <c r="I84" i="12" s="1"/>
  <c r="H83" i="12"/>
  <c r="I83" i="12" s="1"/>
  <c r="H82" i="12"/>
  <c r="I82" i="12" s="1"/>
  <c r="H81" i="12"/>
  <c r="I81" i="12" s="1"/>
  <c r="H80" i="12"/>
  <c r="I80" i="12" s="1"/>
  <c r="H79" i="12"/>
  <c r="I79" i="12" s="1"/>
  <c r="H78" i="12"/>
  <c r="I78" i="12" s="1"/>
  <c r="H77" i="12"/>
  <c r="I77" i="12" s="1"/>
  <c r="H76" i="12"/>
  <c r="I76" i="12" s="1"/>
  <c r="H75" i="12"/>
  <c r="I75" i="12" s="1"/>
  <c r="H74" i="12"/>
  <c r="I74" i="12" s="1"/>
  <c r="H73" i="12"/>
  <c r="I73" i="12" s="1"/>
  <c r="H72" i="12"/>
  <c r="I72" i="12" s="1"/>
  <c r="H71" i="12"/>
  <c r="I71" i="12" s="1"/>
  <c r="H128" i="12"/>
  <c r="I128" i="12" s="1"/>
  <c r="H127" i="12"/>
  <c r="I127" i="12" s="1"/>
  <c r="H126" i="12"/>
  <c r="I126" i="12" s="1"/>
  <c r="H125" i="12"/>
  <c r="I125" i="12" s="1"/>
  <c r="H124" i="12"/>
  <c r="I124" i="12" s="1"/>
  <c r="H123" i="12"/>
  <c r="I123" i="12" s="1"/>
  <c r="H122" i="12"/>
  <c r="I122" i="12" s="1"/>
  <c r="H121" i="12"/>
  <c r="I121" i="12" s="1"/>
  <c r="H120" i="12"/>
  <c r="I120" i="12" s="1"/>
  <c r="H119" i="12"/>
  <c r="I119" i="12" s="1"/>
  <c r="H118" i="12"/>
  <c r="I118" i="12" s="1"/>
  <c r="H117" i="12"/>
  <c r="I117" i="12" s="1"/>
  <c r="H116" i="12"/>
  <c r="I116" i="12" s="1"/>
  <c r="H115" i="12"/>
  <c r="I115" i="12" s="1"/>
  <c r="H114" i="12"/>
  <c r="I114" i="12" s="1"/>
  <c r="H113" i="12"/>
  <c r="I113" i="12" s="1"/>
  <c r="H112" i="12"/>
  <c r="I112" i="12" s="1"/>
  <c r="H111" i="12"/>
  <c r="I111" i="12" s="1"/>
  <c r="H110" i="12"/>
  <c r="I110" i="12" s="1"/>
  <c r="H109" i="12"/>
  <c r="I109" i="12" s="1"/>
  <c r="H108" i="12"/>
  <c r="I108" i="12" s="1"/>
  <c r="H107" i="12"/>
  <c r="I107" i="12" s="1"/>
  <c r="H106" i="12"/>
  <c r="I106" i="12" s="1"/>
  <c r="H151" i="12"/>
  <c r="I151" i="12" s="1"/>
  <c r="H150" i="12"/>
  <c r="I150" i="12" s="1"/>
  <c r="H149" i="12"/>
  <c r="I149" i="12" s="1"/>
  <c r="H148" i="12"/>
  <c r="I148" i="12" s="1"/>
  <c r="H147" i="12"/>
  <c r="I147" i="12" s="1"/>
  <c r="H146" i="12"/>
  <c r="I146" i="12" s="1"/>
  <c r="H145" i="12"/>
  <c r="I145" i="12" s="1"/>
  <c r="H144" i="12"/>
  <c r="I144" i="12" s="1"/>
  <c r="H143" i="12"/>
  <c r="I143" i="12" s="1"/>
  <c r="H142" i="12"/>
  <c r="I142" i="12" s="1"/>
  <c r="H141" i="12"/>
  <c r="I141" i="12" s="1"/>
  <c r="H140" i="12"/>
  <c r="I140" i="12" s="1"/>
  <c r="H139" i="12"/>
  <c r="I139" i="12" s="1"/>
  <c r="H138" i="12"/>
  <c r="I138" i="12" s="1"/>
  <c r="H137" i="12"/>
  <c r="I137" i="12" s="1"/>
  <c r="H136" i="12"/>
  <c r="I136" i="12" s="1"/>
  <c r="H135" i="12"/>
  <c r="I135" i="12" s="1"/>
  <c r="H134" i="12"/>
  <c r="I134" i="12" s="1"/>
  <c r="H133" i="12"/>
  <c r="I133" i="12" s="1"/>
  <c r="H132" i="12"/>
  <c r="I132" i="12" s="1"/>
  <c r="H131" i="12"/>
  <c r="I131" i="12" s="1"/>
  <c r="H130" i="12"/>
  <c r="I130" i="12" s="1"/>
  <c r="H129" i="12"/>
  <c r="I129" i="12" s="1"/>
  <c r="H24" i="12"/>
  <c r="I24" i="12" s="1"/>
  <c r="H23" i="12"/>
  <c r="I23" i="12" s="1"/>
  <c r="H22" i="12"/>
  <c r="I22" i="12" s="1"/>
  <c r="H21" i="12"/>
  <c r="I21" i="12" s="1"/>
  <c r="H20" i="12"/>
  <c r="I20" i="12" s="1"/>
  <c r="H19" i="12"/>
  <c r="I19" i="12" s="1"/>
  <c r="H18" i="12"/>
  <c r="I18" i="12" s="1"/>
  <c r="H17" i="12"/>
  <c r="I17" i="12" s="1"/>
  <c r="H16" i="12"/>
  <c r="I16" i="12" s="1"/>
  <c r="H15" i="12"/>
  <c r="I15" i="12" s="1"/>
  <c r="H14" i="12"/>
  <c r="I14" i="12" s="1"/>
  <c r="H13" i="12"/>
  <c r="I13" i="12" s="1"/>
  <c r="H12" i="12"/>
  <c r="I12" i="12" s="1"/>
  <c r="H11" i="12"/>
  <c r="I11" i="12" s="1"/>
  <c r="H10" i="12"/>
  <c r="I10" i="12" s="1"/>
  <c r="H9" i="12"/>
  <c r="I9" i="12" s="1"/>
  <c r="H8" i="12"/>
  <c r="I8" i="12" s="1"/>
  <c r="H7" i="12"/>
  <c r="I7" i="12" s="1"/>
  <c r="H6" i="12"/>
  <c r="I6" i="12" s="1"/>
  <c r="H5" i="12"/>
  <c r="I5" i="12" s="1"/>
  <c r="H4" i="12"/>
  <c r="I4" i="12" s="1"/>
  <c r="H3" i="12"/>
  <c r="I3" i="12" s="1"/>
  <c r="H2" i="12"/>
  <c r="I2" i="12" s="1"/>
  <c r="H487" i="12"/>
  <c r="I487" i="12" s="1"/>
  <c r="H486" i="12"/>
  <c r="I486" i="12" s="1"/>
  <c r="H485" i="12"/>
  <c r="I485" i="12" s="1"/>
  <c r="H484" i="12"/>
  <c r="I484" i="12" s="1"/>
  <c r="H483" i="12"/>
  <c r="I483" i="12" s="1"/>
  <c r="H482" i="12"/>
  <c r="I482" i="12" s="1"/>
  <c r="H481" i="12"/>
  <c r="I481" i="12" s="1"/>
  <c r="H480" i="12"/>
  <c r="I480" i="12" s="1"/>
  <c r="H479" i="12"/>
  <c r="I479" i="12" s="1"/>
  <c r="H478" i="12"/>
  <c r="I478" i="12" s="1"/>
  <c r="H477" i="12"/>
  <c r="I477" i="12" s="1"/>
  <c r="H476" i="12"/>
  <c r="I476" i="12" s="1"/>
  <c r="H475" i="12"/>
  <c r="I475" i="12" s="1"/>
  <c r="H474" i="12"/>
  <c r="I474" i="12" s="1"/>
  <c r="H473" i="12"/>
  <c r="I473" i="12" s="1"/>
  <c r="H472" i="12"/>
  <c r="I472" i="12" s="1"/>
  <c r="H471" i="12"/>
  <c r="I471" i="12" s="1"/>
  <c r="H470" i="12"/>
  <c r="I470" i="12" s="1"/>
  <c r="H469" i="12"/>
  <c r="I469" i="12" s="1"/>
  <c r="H468" i="12"/>
  <c r="I468" i="12" s="1"/>
  <c r="H467" i="12"/>
  <c r="I467" i="12" s="1"/>
  <c r="H466" i="12"/>
  <c r="I466" i="12" s="1"/>
  <c r="H465" i="12"/>
  <c r="I465" i="12" s="1"/>
  <c r="H418" i="12"/>
  <c r="I418" i="12" s="1"/>
  <c r="H417" i="12"/>
  <c r="I417" i="12" s="1"/>
  <c r="H416" i="12"/>
  <c r="I416" i="12" s="1"/>
  <c r="H415" i="12"/>
  <c r="I415" i="12" s="1"/>
  <c r="H414" i="12"/>
  <c r="I414" i="12" s="1"/>
  <c r="H413" i="12"/>
  <c r="I413" i="12" s="1"/>
  <c r="H412" i="12"/>
  <c r="I412" i="12" s="1"/>
  <c r="H411" i="12"/>
  <c r="I411" i="12" s="1"/>
  <c r="H410" i="12"/>
  <c r="I410" i="12" s="1"/>
  <c r="H409" i="12"/>
  <c r="I409" i="12" s="1"/>
  <c r="H408" i="12"/>
  <c r="I408" i="12" s="1"/>
  <c r="H407" i="12"/>
  <c r="I407" i="12" s="1"/>
  <c r="H406" i="12"/>
  <c r="I406" i="12" s="1"/>
  <c r="H405" i="12"/>
  <c r="I405" i="12" s="1"/>
  <c r="H404" i="12"/>
  <c r="I404" i="12" s="1"/>
  <c r="H403" i="12"/>
  <c r="I403" i="12" s="1"/>
  <c r="H402" i="12"/>
  <c r="I402" i="12" s="1"/>
  <c r="H401" i="12"/>
  <c r="I401" i="12" s="1"/>
  <c r="H400" i="12"/>
  <c r="I400" i="12" s="1"/>
  <c r="H399" i="12"/>
  <c r="I399" i="12" s="1"/>
  <c r="H398" i="12"/>
  <c r="I398" i="12" s="1"/>
  <c r="H397" i="12"/>
  <c r="I397" i="12" s="1"/>
  <c r="H396" i="12"/>
  <c r="I396" i="12" s="1"/>
  <c r="H464" i="12"/>
  <c r="I464" i="12" s="1"/>
  <c r="H463" i="12"/>
  <c r="I463" i="12" s="1"/>
  <c r="H462" i="12"/>
  <c r="I462" i="12" s="1"/>
  <c r="H461" i="12"/>
  <c r="I461" i="12" s="1"/>
  <c r="H460" i="12"/>
  <c r="I460" i="12" s="1"/>
  <c r="H459" i="12"/>
  <c r="I459" i="12" s="1"/>
  <c r="H458" i="12"/>
  <c r="I458" i="12" s="1"/>
  <c r="H457" i="12"/>
  <c r="I457" i="12" s="1"/>
  <c r="H456" i="12"/>
  <c r="I456" i="12" s="1"/>
  <c r="H455" i="12"/>
  <c r="I455" i="12" s="1"/>
  <c r="H454" i="12"/>
  <c r="I454" i="12" s="1"/>
  <c r="H453" i="12"/>
  <c r="I453" i="12" s="1"/>
  <c r="H452" i="12"/>
  <c r="I452" i="12" s="1"/>
  <c r="H451" i="12"/>
  <c r="I451" i="12" s="1"/>
  <c r="H450" i="12"/>
  <c r="I450" i="12" s="1"/>
  <c r="H449" i="12"/>
  <c r="I449" i="12" s="1"/>
  <c r="H448" i="12"/>
  <c r="I448" i="12" s="1"/>
  <c r="H447" i="12"/>
  <c r="I447" i="12" s="1"/>
  <c r="H446" i="12"/>
  <c r="I446" i="12" s="1"/>
  <c r="H445" i="12"/>
  <c r="I445" i="12" s="1"/>
  <c r="H444" i="12"/>
  <c r="I444" i="12" s="1"/>
  <c r="H443" i="12"/>
  <c r="I443" i="12" s="1"/>
  <c r="H442" i="12"/>
  <c r="I442" i="12" s="1"/>
  <c r="H441" i="12"/>
  <c r="I441" i="12" s="1"/>
  <c r="H440" i="12"/>
  <c r="I440" i="12" s="1"/>
  <c r="H439" i="12"/>
  <c r="I439" i="12" s="1"/>
  <c r="H438" i="12"/>
  <c r="I438" i="12" s="1"/>
  <c r="H437" i="12"/>
  <c r="I437" i="12" s="1"/>
  <c r="H436" i="12"/>
  <c r="I436" i="12" s="1"/>
  <c r="H435" i="12"/>
  <c r="I435" i="12" s="1"/>
  <c r="H434" i="12"/>
  <c r="I434" i="12" s="1"/>
  <c r="H433" i="12"/>
  <c r="I433" i="12" s="1"/>
  <c r="H432" i="12"/>
  <c r="I432" i="12" s="1"/>
  <c r="H431" i="12"/>
  <c r="I431" i="12" s="1"/>
  <c r="H430" i="12"/>
  <c r="I430" i="12" s="1"/>
  <c r="H429" i="12"/>
  <c r="I429" i="12" s="1"/>
  <c r="H428" i="12"/>
  <c r="I428" i="12" s="1"/>
  <c r="H427" i="12"/>
  <c r="I427" i="12" s="1"/>
  <c r="H426" i="12"/>
  <c r="I426" i="12" s="1"/>
  <c r="H425" i="12"/>
  <c r="I425" i="12" s="1"/>
  <c r="H424" i="12"/>
  <c r="I424" i="12" s="1"/>
  <c r="H423" i="12"/>
  <c r="I423" i="12" s="1"/>
  <c r="H422" i="12"/>
  <c r="I422" i="12" s="1"/>
  <c r="H421" i="12"/>
  <c r="I421" i="12" s="1"/>
  <c r="H420" i="12"/>
  <c r="I420" i="12" s="1"/>
  <c r="H419" i="12"/>
  <c r="I419" i="12" s="1"/>
  <c r="K146" i="14" l="1"/>
  <c r="L146" i="14"/>
  <c r="D19" i="4"/>
  <c r="C20" i="4" s="1"/>
  <c r="D20" i="4" s="1"/>
  <c r="C21" i="4" s="1"/>
  <c r="D21" i="4" s="1"/>
  <c r="C22" i="4" s="1"/>
  <c r="D22" i="4" s="1"/>
  <c r="C23" i="4" s="1"/>
  <c r="D23" i="4" s="1"/>
  <c r="C24" i="4" s="1"/>
  <c r="D24" i="4" s="1"/>
  <c r="C25" i="4" s="1"/>
  <c r="D25" i="4" s="1"/>
  <c r="I369" i="9"/>
  <c r="J369" i="9" s="1"/>
  <c r="J18" i="4"/>
  <c r="K18" i="4" s="1"/>
  <c r="J19" i="4" s="1"/>
  <c r="K19" i="4" s="1"/>
  <c r="J20" i="4" s="1"/>
  <c r="K20" i="4" s="1"/>
  <c r="J21" i="4" s="1"/>
  <c r="K21" i="4" s="1"/>
  <c r="J22" i="4" s="1"/>
  <c r="K22" i="4" s="1"/>
  <c r="J23" i="4" s="1"/>
  <c r="K23" i="4" s="1"/>
  <c r="J24" i="4" s="1"/>
  <c r="K24" i="4" s="1"/>
  <c r="I238" i="9"/>
  <c r="J238" i="9" s="1"/>
  <c r="I314" i="9"/>
  <c r="J314" i="9" s="1"/>
  <c r="I315" i="9"/>
  <c r="J315" i="9" s="1"/>
  <c r="I316" i="9"/>
  <c r="J316" i="9" s="1"/>
  <c r="I317" i="9"/>
  <c r="J317" i="9" s="1"/>
  <c r="I318" i="9"/>
  <c r="J318" i="9" s="1"/>
  <c r="I319" i="9"/>
  <c r="J319" i="9" s="1"/>
  <c r="I803" i="9"/>
  <c r="J803" i="9" s="1"/>
  <c r="I804" i="9"/>
  <c r="J804" i="9" s="1"/>
  <c r="I805" i="9"/>
  <c r="J805" i="9" s="1"/>
  <c r="I806" i="9"/>
  <c r="J806" i="9" s="1"/>
  <c r="I807" i="9"/>
  <c r="J807" i="9" s="1"/>
  <c r="I808" i="9"/>
  <c r="J808" i="9" s="1"/>
  <c r="I849" i="9"/>
  <c r="J849" i="9" s="1"/>
  <c r="I850" i="9"/>
  <c r="J850" i="9" s="1"/>
  <c r="I851" i="9"/>
  <c r="J851" i="9" s="1"/>
  <c r="I852" i="9"/>
  <c r="J852" i="9" s="1"/>
  <c r="I853" i="9"/>
  <c r="J853" i="9" s="1"/>
  <c r="I854" i="9"/>
  <c r="J854" i="9" s="1"/>
  <c r="I826" i="9"/>
  <c r="J826" i="9" s="1"/>
  <c r="I827" i="9"/>
  <c r="J827" i="9" s="1"/>
  <c r="I828" i="9"/>
  <c r="J828" i="9" s="1"/>
  <c r="I829" i="9"/>
  <c r="J829" i="9" s="1"/>
  <c r="I830" i="9"/>
  <c r="J830" i="9" s="1"/>
  <c r="I831" i="9"/>
  <c r="J831" i="9" s="1"/>
  <c r="I694" i="9"/>
  <c r="I695" i="9"/>
  <c r="I696" i="9"/>
  <c r="I697" i="9"/>
  <c r="I698" i="9"/>
  <c r="I699" i="9"/>
  <c r="I755" i="9"/>
  <c r="I756" i="9"/>
  <c r="I700" i="9"/>
  <c r="I701" i="9"/>
  <c r="I702" i="9"/>
  <c r="I703" i="9"/>
  <c r="I704" i="9"/>
  <c r="I705" i="9"/>
  <c r="I682" i="9"/>
  <c r="I648" i="9" l="1"/>
  <c r="J648" i="9" s="1"/>
  <c r="I649" i="9"/>
  <c r="J649" i="9" s="1"/>
  <c r="I650" i="9"/>
  <c r="J650" i="9" s="1"/>
  <c r="I651" i="9"/>
  <c r="J651" i="9" s="1"/>
  <c r="I652" i="9"/>
  <c r="J652" i="9" s="1"/>
  <c r="I653" i="9"/>
  <c r="J653" i="9" s="1"/>
  <c r="I625" i="9"/>
  <c r="J625" i="9" s="1"/>
  <c r="I626" i="9"/>
  <c r="J626" i="9" s="1"/>
  <c r="I627" i="9"/>
  <c r="J627" i="9" s="1"/>
  <c r="I628" i="9"/>
  <c r="J628" i="9" s="1"/>
  <c r="I629" i="9"/>
  <c r="J629" i="9" s="1"/>
  <c r="I630" i="9"/>
  <c r="J630" i="9" s="1"/>
  <c r="I654" i="9"/>
  <c r="J654" i="9" s="1"/>
  <c r="I655" i="9"/>
  <c r="J655" i="9" s="1"/>
  <c r="I656" i="9"/>
  <c r="J656" i="9" s="1"/>
  <c r="I657" i="9"/>
  <c r="J657" i="9" s="1"/>
  <c r="I658" i="9"/>
  <c r="J658" i="9" s="1"/>
  <c r="I631" i="9"/>
  <c r="J631" i="9" s="1"/>
  <c r="I632" i="9"/>
  <c r="J632" i="9" s="1"/>
  <c r="I633" i="9"/>
  <c r="J633" i="9" s="1"/>
  <c r="I634" i="9"/>
  <c r="J634" i="9" s="1"/>
  <c r="I635" i="9"/>
  <c r="J635" i="9" s="1"/>
  <c r="I659" i="9"/>
  <c r="J659" i="9" s="1"/>
  <c r="I660" i="9"/>
  <c r="J660" i="9" s="1"/>
  <c r="I661" i="9"/>
  <c r="J661" i="9" s="1"/>
  <c r="I662" i="9"/>
  <c r="J662" i="9" s="1"/>
  <c r="I663" i="9"/>
  <c r="J663" i="9" s="1"/>
  <c r="I664" i="9"/>
  <c r="J664" i="9" s="1"/>
  <c r="I636" i="9"/>
  <c r="J636" i="9" s="1"/>
  <c r="I637" i="9"/>
  <c r="J637" i="9" s="1"/>
  <c r="I638" i="9"/>
  <c r="J638" i="9" s="1"/>
  <c r="I639" i="9"/>
  <c r="J639" i="9" s="1"/>
  <c r="I640" i="9"/>
  <c r="J640" i="9" s="1"/>
  <c r="I641" i="9"/>
  <c r="J641" i="9" s="1"/>
  <c r="I665" i="9"/>
  <c r="J665" i="9" s="1"/>
  <c r="I666" i="9"/>
  <c r="J666" i="9" s="1"/>
  <c r="I667" i="9"/>
  <c r="J667" i="9" s="1"/>
  <c r="I668" i="9"/>
  <c r="J668" i="9" s="1"/>
  <c r="I669" i="9"/>
  <c r="J669" i="9" s="1"/>
  <c r="I670" i="9"/>
  <c r="I642" i="9"/>
  <c r="J642" i="9" s="1"/>
  <c r="I643" i="9"/>
  <c r="J643" i="9" s="1"/>
  <c r="I644" i="9"/>
  <c r="J644" i="9" s="1"/>
  <c r="I645" i="9"/>
  <c r="J645" i="9" s="1"/>
  <c r="I646" i="9"/>
  <c r="I647" i="9"/>
  <c r="I112" i="9"/>
  <c r="I106" i="9"/>
  <c r="I47" i="9"/>
  <c r="I70" i="9"/>
  <c r="I186" i="9"/>
  <c r="I209" i="9"/>
  <c r="I30" i="9"/>
  <c r="I36" i="9"/>
  <c r="I59" i="9"/>
  <c r="I175" i="9"/>
  <c r="I198" i="9"/>
  <c r="I7" i="9"/>
  <c r="I18" i="9"/>
  <c r="I400" i="9"/>
  <c r="J400" i="9" s="1"/>
  <c r="I814" i="9"/>
  <c r="J814" i="9" s="1"/>
  <c r="I813" i="9"/>
  <c r="J813" i="9" s="1"/>
  <c r="I812" i="9"/>
  <c r="J812" i="9" s="1"/>
  <c r="I811" i="9"/>
  <c r="J811" i="9" s="1"/>
  <c r="I810" i="9"/>
  <c r="J810" i="9" s="1"/>
  <c r="I809" i="9"/>
  <c r="J809" i="9" s="1"/>
  <c r="I802" i="9"/>
  <c r="J802" i="9" s="1"/>
  <c r="I801" i="9"/>
  <c r="J801" i="9" s="1"/>
  <c r="I800" i="9"/>
  <c r="J800" i="9" s="1"/>
  <c r="I799" i="9"/>
  <c r="J799" i="9" s="1"/>
  <c r="I798" i="9"/>
  <c r="J798" i="9" s="1"/>
  <c r="I797" i="9"/>
  <c r="J797" i="9" s="1"/>
  <c r="I796" i="9"/>
  <c r="J796" i="9" s="1"/>
  <c r="I795" i="9"/>
  <c r="J795" i="9" s="1"/>
  <c r="I794" i="9"/>
  <c r="J794" i="9" s="1"/>
  <c r="I793" i="9"/>
  <c r="J793" i="9" s="1"/>
  <c r="I860" i="9"/>
  <c r="I859" i="9"/>
  <c r="I858" i="9"/>
  <c r="I857" i="9"/>
  <c r="I856" i="9"/>
  <c r="I855" i="9"/>
  <c r="I848" i="9"/>
  <c r="J848" i="9" s="1"/>
  <c r="I847" i="9"/>
  <c r="J847" i="9" s="1"/>
  <c r="I846" i="9"/>
  <c r="J846" i="9" s="1"/>
  <c r="I845" i="9"/>
  <c r="J845" i="9" s="1"/>
  <c r="I844" i="9"/>
  <c r="J844" i="9" s="1"/>
  <c r="I843" i="9"/>
  <c r="I842" i="9"/>
  <c r="I841" i="9"/>
  <c r="I840" i="9"/>
  <c r="I839" i="9"/>
  <c r="I838" i="9"/>
  <c r="I837" i="9"/>
  <c r="I836" i="9"/>
  <c r="I835" i="9"/>
  <c r="I834" i="9"/>
  <c r="I833" i="9"/>
  <c r="I832" i="9"/>
  <c r="I825" i="9"/>
  <c r="J825" i="9" s="1"/>
  <c r="I824" i="9"/>
  <c r="J824" i="9" s="1"/>
  <c r="I823" i="9"/>
  <c r="J823" i="9" s="1"/>
  <c r="I822" i="9"/>
  <c r="J822" i="9" s="1"/>
  <c r="I821" i="9"/>
  <c r="J821" i="9" s="1"/>
  <c r="I820" i="9"/>
  <c r="I819" i="9"/>
  <c r="I818" i="9"/>
  <c r="I817" i="9"/>
  <c r="I816" i="9"/>
  <c r="J816" i="9" s="1"/>
  <c r="I815" i="9"/>
  <c r="J815" i="9" s="1"/>
  <c r="I624" i="9"/>
  <c r="I623" i="9"/>
  <c r="J623" i="9" s="1"/>
  <c r="I622" i="9"/>
  <c r="J622" i="9" s="1"/>
  <c r="I621" i="9"/>
  <c r="J621" i="9" s="1"/>
  <c r="I620" i="9"/>
  <c r="J620" i="9" s="1"/>
  <c r="I619" i="9"/>
  <c r="J619" i="9" s="1"/>
  <c r="I762" i="9"/>
  <c r="I761" i="9"/>
  <c r="I760" i="9"/>
  <c r="I759" i="9"/>
  <c r="I758" i="9"/>
  <c r="I757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693" i="9"/>
  <c r="I692" i="9"/>
  <c r="I691" i="9"/>
  <c r="I690" i="9"/>
  <c r="I689" i="9"/>
  <c r="I688" i="9"/>
  <c r="I687" i="9"/>
  <c r="I686" i="9"/>
  <c r="I685" i="9"/>
  <c r="I684" i="9"/>
  <c r="I683" i="9"/>
  <c r="I681" i="9"/>
  <c r="I680" i="9"/>
  <c r="I679" i="9"/>
  <c r="I678" i="9"/>
  <c r="I677" i="9"/>
  <c r="I676" i="9"/>
  <c r="I675" i="9"/>
  <c r="I674" i="9"/>
  <c r="I673" i="9"/>
  <c r="I672" i="9"/>
  <c r="I671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618" i="9"/>
  <c r="J618" i="9" s="1"/>
  <c r="I617" i="9"/>
  <c r="J617" i="9" s="1"/>
  <c r="I616" i="9"/>
  <c r="J616" i="9" s="1"/>
  <c r="I615" i="9"/>
  <c r="J615" i="9" s="1"/>
  <c r="I614" i="9"/>
  <c r="J614" i="9" s="1"/>
  <c r="I613" i="9"/>
  <c r="J613" i="9" s="1"/>
  <c r="I612" i="9"/>
  <c r="J612" i="9" s="1"/>
  <c r="I611" i="9"/>
  <c r="J611" i="9" s="1"/>
  <c r="I610" i="9"/>
  <c r="J610" i="9" s="1"/>
  <c r="I609" i="9"/>
  <c r="J609" i="9" s="1"/>
  <c r="I608" i="9"/>
  <c r="J608" i="9" s="1"/>
  <c r="I607" i="9"/>
  <c r="J607" i="9" s="1"/>
  <c r="I606" i="9"/>
  <c r="J606" i="9" s="1"/>
  <c r="I605" i="9"/>
  <c r="J605" i="9" s="1"/>
  <c r="I604" i="9"/>
  <c r="J604" i="9" s="1"/>
  <c r="I603" i="9"/>
  <c r="J603" i="9" s="1"/>
  <c r="I602" i="9"/>
  <c r="J602" i="9" s="1"/>
  <c r="I509" i="9"/>
  <c r="I508" i="9"/>
  <c r="I507" i="9"/>
  <c r="I506" i="9"/>
  <c r="I505" i="9"/>
  <c r="I504" i="9"/>
  <c r="I463" i="9"/>
  <c r="I462" i="9"/>
  <c r="I461" i="9"/>
  <c r="I460" i="9"/>
  <c r="I459" i="9"/>
  <c r="I458" i="9"/>
  <c r="I469" i="9"/>
  <c r="I468" i="9"/>
  <c r="I467" i="9"/>
  <c r="I466" i="9"/>
  <c r="I465" i="9"/>
  <c r="I464" i="9"/>
  <c r="I532" i="9"/>
  <c r="I531" i="9"/>
  <c r="I530" i="9"/>
  <c r="I529" i="9"/>
  <c r="I528" i="9"/>
  <c r="I527" i="9"/>
  <c r="I555" i="9"/>
  <c r="I554" i="9"/>
  <c r="I553" i="9"/>
  <c r="I552" i="9"/>
  <c r="I551" i="9"/>
  <c r="I550" i="9"/>
  <c r="I584" i="9"/>
  <c r="I583" i="9"/>
  <c r="I582" i="9"/>
  <c r="I581" i="9"/>
  <c r="I580" i="9"/>
  <c r="I579" i="9"/>
  <c r="I503" i="9"/>
  <c r="I502" i="9"/>
  <c r="I501" i="9"/>
  <c r="I500" i="9"/>
  <c r="I499" i="9"/>
  <c r="I498" i="9"/>
  <c r="I526" i="9"/>
  <c r="I525" i="9"/>
  <c r="I524" i="9"/>
  <c r="I523" i="9"/>
  <c r="I522" i="9"/>
  <c r="I521" i="9"/>
  <c r="I549" i="9"/>
  <c r="I548" i="9"/>
  <c r="I547" i="9"/>
  <c r="I546" i="9"/>
  <c r="I545" i="9"/>
  <c r="I544" i="9"/>
  <c r="I497" i="9"/>
  <c r="I496" i="9"/>
  <c r="I495" i="9"/>
  <c r="I494" i="9"/>
  <c r="I493" i="9"/>
  <c r="I520" i="9"/>
  <c r="I519" i="9"/>
  <c r="I518" i="9"/>
  <c r="I517" i="9"/>
  <c r="I516" i="9"/>
  <c r="I543" i="9"/>
  <c r="I542" i="9"/>
  <c r="I541" i="9"/>
  <c r="I540" i="9"/>
  <c r="I539" i="9"/>
  <c r="I492" i="9"/>
  <c r="I491" i="9"/>
  <c r="I490" i="9"/>
  <c r="I489" i="9"/>
  <c r="I488" i="9"/>
  <c r="I487" i="9"/>
  <c r="I515" i="9"/>
  <c r="I514" i="9"/>
  <c r="I513" i="9"/>
  <c r="I512" i="9"/>
  <c r="I511" i="9"/>
  <c r="I510" i="9"/>
  <c r="I538" i="9"/>
  <c r="I537" i="9"/>
  <c r="I536" i="9"/>
  <c r="I535" i="9"/>
  <c r="I534" i="9"/>
  <c r="I533" i="9"/>
  <c r="I111" i="9"/>
  <c r="I110" i="9"/>
  <c r="I109" i="9"/>
  <c r="I108" i="9"/>
  <c r="I107" i="9"/>
  <c r="I105" i="9"/>
  <c r="I104" i="9"/>
  <c r="I103" i="9"/>
  <c r="I102" i="9"/>
  <c r="I29" i="9"/>
  <c r="I28" i="9"/>
  <c r="I27" i="9"/>
  <c r="I26" i="9"/>
  <c r="I25" i="9"/>
  <c r="I53" i="9"/>
  <c r="I52" i="9"/>
  <c r="I51" i="9"/>
  <c r="I50" i="9"/>
  <c r="I49" i="9"/>
  <c r="I48" i="9"/>
  <c r="I46" i="9"/>
  <c r="I45" i="9"/>
  <c r="I44" i="9"/>
  <c r="I43" i="9"/>
  <c r="I42" i="9"/>
  <c r="I41" i="9"/>
  <c r="I40" i="9"/>
  <c r="I39" i="9"/>
  <c r="I38" i="9"/>
  <c r="I37" i="9"/>
  <c r="I35" i="9"/>
  <c r="I34" i="9"/>
  <c r="I33" i="9"/>
  <c r="I32" i="9"/>
  <c r="I31" i="9"/>
  <c r="I76" i="9"/>
  <c r="I75" i="9"/>
  <c r="I74" i="9"/>
  <c r="I73" i="9"/>
  <c r="I72" i="9"/>
  <c r="I71" i="9"/>
  <c r="I69" i="9"/>
  <c r="I68" i="9"/>
  <c r="I67" i="9"/>
  <c r="I66" i="9"/>
  <c r="I65" i="9"/>
  <c r="I64" i="9"/>
  <c r="I63" i="9"/>
  <c r="I62" i="9"/>
  <c r="I61" i="9"/>
  <c r="I60" i="9"/>
  <c r="I58" i="9"/>
  <c r="I57" i="9"/>
  <c r="I56" i="9"/>
  <c r="I55" i="9"/>
  <c r="I54" i="9"/>
  <c r="I192" i="9"/>
  <c r="I191" i="9"/>
  <c r="I190" i="9"/>
  <c r="I189" i="9"/>
  <c r="I188" i="9"/>
  <c r="I187" i="9"/>
  <c r="I185" i="9"/>
  <c r="I184" i="9"/>
  <c r="I183" i="9"/>
  <c r="I182" i="9"/>
  <c r="I181" i="9"/>
  <c r="I180" i="9"/>
  <c r="I179" i="9"/>
  <c r="I178" i="9"/>
  <c r="I177" i="9"/>
  <c r="I176" i="9"/>
  <c r="I174" i="9"/>
  <c r="I173" i="9"/>
  <c r="I172" i="9"/>
  <c r="I171" i="9"/>
  <c r="I170" i="9"/>
  <c r="I215" i="9"/>
  <c r="I214" i="9"/>
  <c r="I213" i="9"/>
  <c r="I212" i="9"/>
  <c r="I211" i="9"/>
  <c r="I210" i="9"/>
  <c r="I208" i="9"/>
  <c r="I207" i="9"/>
  <c r="I206" i="9"/>
  <c r="I205" i="9"/>
  <c r="I204" i="9"/>
  <c r="I203" i="9"/>
  <c r="I202" i="9"/>
  <c r="I201" i="9"/>
  <c r="I200" i="9"/>
  <c r="I199" i="9"/>
  <c r="I197" i="9"/>
  <c r="I196" i="9"/>
  <c r="I195" i="9"/>
  <c r="I194" i="9"/>
  <c r="I193" i="9"/>
  <c r="I24" i="9"/>
  <c r="I23" i="9"/>
  <c r="I22" i="9"/>
  <c r="I21" i="9"/>
  <c r="I20" i="9"/>
  <c r="I19" i="9"/>
  <c r="I17" i="9"/>
  <c r="I16" i="9"/>
  <c r="I15" i="9"/>
  <c r="I14" i="9"/>
  <c r="I13" i="9"/>
  <c r="I12" i="9"/>
  <c r="I11" i="9"/>
  <c r="I10" i="9"/>
  <c r="I9" i="9"/>
  <c r="I8" i="9"/>
  <c r="I6" i="9"/>
  <c r="I5" i="9"/>
  <c r="I4" i="9"/>
  <c r="I3" i="9"/>
  <c r="I2" i="9"/>
  <c r="I457" i="9"/>
  <c r="J457" i="9" s="1"/>
  <c r="I456" i="9"/>
  <c r="J456" i="9" s="1"/>
  <c r="I455" i="9"/>
  <c r="J455" i="9" s="1"/>
  <c r="I454" i="9"/>
  <c r="J454" i="9" s="1"/>
  <c r="I453" i="9"/>
  <c r="J453" i="9" s="1"/>
  <c r="I452" i="9"/>
  <c r="J452" i="9" s="1"/>
  <c r="I451" i="9"/>
  <c r="J451" i="9" s="1"/>
  <c r="I450" i="9"/>
  <c r="J450" i="9" s="1"/>
  <c r="I449" i="9"/>
  <c r="J449" i="9" s="1"/>
  <c r="I448" i="9"/>
  <c r="J448" i="9" s="1"/>
  <c r="I447" i="9"/>
  <c r="J447" i="9" s="1"/>
  <c r="I446" i="9"/>
  <c r="J446" i="9" s="1"/>
  <c r="I399" i="9"/>
  <c r="J399" i="9" s="1"/>
  <c r="I398" i="9"/>
  <c r="J398" i="9" s="1"/>
  <c r="I397" i="9"/>
  <c r="J397" i="9" s="1"/>
  <c r="I396" i="9"/>
  <c r="J396" i="9" s="1"/>
  <c r="I395" i="9"/>
  <c r="J395" i="9" s="1"/>
  <c r="I394" i="9"/>
  <c r="J394" i="9" s="1"/>
  <c r="I393" i="9"/>
  <c r="I392" i="9"/>
  <c r="I391" i="9"/>
  <c r="I390" i="9"/>
  <c r="I389" i="9"/>
  <c r="I388" i="9"/>
  <c r="J388" i="9" s="1"/>
  <c r="I387" i="9"/>
  <c r="J387" i="9" s="1"/>
  <c r="I386" i="9"/>
  <c r="J386" i="9" s="1"/>
  <c r="I385" i="9"/>
  <c r="J385" i="9" s="1"/>
  <c r="I384" i="9"/>
  <c r="J384" i="9" s="1"/>
  <c r="I383" i="9"/>
  <c r="J383" i="9" s="1"/>
  <c r="I382" i="9"/>
  <c r="J382" i="9" s="1"/>
  <c r="I381" i="9"/>
  <c r="J381" i="9" s="1"/>
  <c r="I380" i="9"/>
  <c r="J380" i="9" s="1"/>
  <c r="I379" i="9"/>
  <c r="J379" i="9" s="1"/>
  <c r="I378" i="9"/>
  <c r="J378" i="9" s="1"/>
  <c r="I377" i="9"/>
  <c r="J377" i="9" s="1"/>
  <c r="I445" i="9"/>
  <c r="J445" i="9" s="1"/>
  <c r="I444" i="9"/>
  <c r="J444" i="9" s="1"/>
  <c r="I443" i="9"/>
  <c r="J443" i="9" s="1"/>
  <c r="I442" i="9"/>
  <c r="J442" i="9" s="1"/>
  <c r="I441" i="9"/>
  <c r="J441" i="9" s="1"/>
  <c r="I440" i="9"/>
  <c r="J440" i="9" s="1"/>
  <c r="I439" i="9"/>
  <c r="I438" i="9"/>
  <c r="I437" i="9"/>
  <c r="I436" i="9"/>
  <c r="I435" i="9"/>
  <c r="I434" i="9"/>
  <c r="J434" i="9" s="1"/>
  <c r="I433" i="9"/>
  <c r="J433" i="9" s="1"/>
  <c r="I432" i="9"/>
  <c r="J432" i="9" s="1"/>
  <c r="I431" i="9"/>
  <c r="J431" i="9" s="1"/>
  <c r="I430" i="9"/>
  <c r="J430" i="9" s="1"/>
  <c r="I429" i="9"/>
  <c r="J429" i="9" s="1"/>
  <c r="I428" i="9"/>
  <c r="J428" i="9" s="1"/>
  <c r="I427" i="9"/>
  <c r="J427" i="9" s="1"/>
  <c r="I426" i="9"/>
  <c r="J426" i="9" s="1"/>
  <c r="I425" i="9"/>
  <c r="J425" i="9" s="1"/>
  <c r="I424" i="9"/>
  <c r="J424" i="9" s="1"/>
  <c r="I423" i="9"/>
  <c r="J423" i="9" s="1"/>
  <c r="I422" i="9"/>
  <c r="J422" i="9" s="1"/>
  <c r="I421" i="9"/>
  <c r="J421" i="9" s="1"/>
  <c r="I420" i="9"/>
  <c r="J420" i="9" s="1"/>
  <c r="I419" i="9"/>
  <c r="J419" i="9" s="1"/>
  <c r="I418" i="9"/>
  <c r="J418" i="9" s="1"/>
  <c r="I417" i="9"/>
  <c r="J417" i="9" s="1"/>
  <c r="I416" i="9"/>
  <c r="I415" i="9"/>
  <c r="I414" i="9"/>
  <c r="I413" i="9"/>
  <c r="I412" i="9"/>
  <c r="I411" i="9"/>
  <c r="J411" i="9" s="1"/>
  <c r="I410" i="9"/>
  <c r="J410" i="9" s="1"/>
  <c r="I409" i="9"/>
  <c r="J409" i="9" s="1"/>
  <c r="I408" i="9"/>
  <c r="J408" i="9" s="1"/>
  <c r="I407" i="9"/>
  <c r="J407" i="9" s="1"/>
  <c r="I406" i="9"/>
  <c r="J406" i="9" s="1"/>
  <c r="I405" i="9"/>
  <c r="J405" i="9" s="1"/>
  <c r="I404" i="9"/>
  <c r="J404" i="9" s="1"/>
  <c r="I403" i="9"/>
  <c r="J403" i="9" s="1"/>
  <c r="I402" i="9"/>
  <c r="J402" i="9" s="1"/>
  <c r="I401" i="9"/>
  <c r="J40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Mariana Ribeiro Danziere</author>
    <author>tc={6FCA34E4-6B0D-4D49-B1DA-5CE1CCC577D6}</author>
    <author>tc={C8888DFC-AA9C-4615-A873-2BA7287ED758}</author>
    <author>tc={0F56ED66-648C-48C2-AC4F-AB3866DD8499}</author>
    <author>tc={5C35ED36-7C74-4507-916A-CF4A2295DF92}</author>
    <author>tc={165F9E96-375C-491E-B476-176521D1C92D}</author>
    <author>tc={F0B424A7-9BDE-4BD9-8476-DF695BF71B70}</author>
    <author>tc={7B6C6E09-46ED-4CBA-9E55-092E82919B53}</author>
    <author>tc={F36FEE4B-E76A-4129-B739-5E110147EEC0}</author>
    <author>tc={B2AEC1D2-DEB9-46CD-83B5-FEE9B936EE05}</author>
    <author>tc={C21FAE11-B174-4AED-B6F4-ED6C1F1B76E1}</author>
    <author>tc={DF77E9A3-262D-438B-ABA8-D7FFAF6FF1A3}</author>
    <author>tc={6B68D54F-7FA8-4020-B96E-F7FE3C1381D1}</author>
    <author>tc={3861F05A-01D7-47BA-A88A-EA6D151FFCF1}</author>
    <author>tc={F96C9CF8-8BAA-4FC8-AE3D-1CA47EBE993E}</author>
    <author>tc={7D01A2E3-73CA-4732-A78A-7CF21133D08D}</author>
    <author>tc={B40C3F19-84B1-4868-B40D-5ADED0590CDF}</author>
    <author>tc={5A16809C-8AC3-417F-A252-96C4AA267E03}</author>
  </authors>
  <commentList>
    <comment ref="C865" authorId="0" shapeId="0" xr:uid="{44DA608D-6781-49F9-9992-9207F7E65AB7}">
      <text>
        <r>
          <rPr>
            <b/>
            <sz val="9"/>
            <color indexed="81"/>
            <rFont val="Segoe UI"/>
            <family val="2"/>
          </rPr>
          <t>Mariana Ribeiro Danziere:</t>
        </r>
        <r>
          <rPr>
            <sz val="9"/>
            <color indexed="81"/>
            <rFont val="Segoe UI"/>
            <family val="2"/>
          </rPr>
          <t xml:space="preserve">
Foi solicitada a troca de 1 dev</t>
        </r>
      </text>
    </comment>
    <comment ref="C868" authorId="1" shapeId="0" xr:uid="{6FCA34E4-6B0D-4D49-B1DA-5CE1CCC577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 - 10 e 11/07</t>
      </text>
    </comment>
    <comment ref="C869" authorId="2" shapeId="0" xr:uid="{C8888DFC-AA9C-4615-A873-2BA7287ED75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Elyacir 15/07 ao dia 26/07 </t>
      </text>
    </comment>
    <comment ref="C870" authorId="3" shapeId="0" xr:uid="{0F56ED66-648C-48C2-AC4F-AB3866DD84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Alan pediu demissão no dia 19/07</t>
      </text>
    </comment>
    <comment ref="C872" authorId="4" shapeId="0" xr:uid="{5C35ED36-7C74-4507-916A-CF4A2295DF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Compensação de banco de horas Noemi</t>
      </text>
    </comment>
    <comment ref="C874" authorId="5" shapeId="0" xr:uid="{165F9E96-375C-491E-B476-176521D1C9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</t>
      </text>
    </comment>
    <comment ref="C875" authorId="6" shapeId="0" xr:uid="{F0B424A7-9BDE-4BD9-8476-DF695BF71B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76" authorId="7" shapeId="0" xr:uid="{7B6C6E09-46ED-4CBA-9E55-092E82919B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77" authorId="8" shapeId="0" xr:uid="{F36FEE4B-E76A-4129-B739-5E110147EEC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78" authorId="9" shapeId="0" xr:uid="{B2AEC1D2-DEB9-46CD-83B5-FEE9B936EE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79" authorId="10" shapeId="0" xr:uid="{C21FAE11-B174-4AED-B6F4-ED6C1F1B76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915" authorId="11" shapeId="0" xr:uid="{DF77E9A3-262D-438B-ABA8-D7FFAF6FF1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Rafael - 15/07 a 29/07
Férias Wil</t>
      </text>
    </comment>
    <comment ref="C920" authorId="12" shapeId="0" xr:uid="{6B68D54F-7FA8-4020-B96E-F7FE3C1381D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 Rafa Maciel - 23/09 até 07/10 
Responder:
    Richar demitido na SP 1 - PI 4
</t>
      </text>
    </comment>
    <comment ref="C923" authorId="13" shapeId="0" xr:uid="{3861F05A-01D7-47BA-A88A-EA6D151FFC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Richar  11/11 até 22/11 </t>
      </text>
    </comment>
    <comment ref="C938" authorId="14" shapeId="0" xr:uid="{F96C9CF8-8BAA-4FC8-AE3D-1CA47EBE993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Wil
</t>
      </text>
    </comment>
    <comment ref="C940" authorId="15" shapeId="0" xr:uid="{7D01A2E3-73CA-4732-A78A-7CF21133D0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Nathan 12/08 a 16/08</t>
      </text>
    </comment>
    <comment ref="C943" authorId="16" shapeId="0" xr:uid="{B40C3F19-84B1-4868-B40D-5ADED0590C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Ausencia Romulo 11/10</t>
      </text>
    </comment>
    <comment ref="C944" authorId="17" shapeId="0" xr:uid="{5A16809C-8AC3-417F-A252-96C4AA267E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Ausencia Romulo 14/10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tc={F6B54615-3668-4FEC-8F42-8832A2F8C4BD}</author>
    <author>tc={0A3EE281-C010-46D8-A783-D261AF8E4813}</author>
    <author>tc={7CFE4F1A-F295-4928-9E29-206F87D153F1}</author>
    <author>tc={4A662872-84A6-44C1-8107-B84D8024A431}</author>
    <author>tc={B7B3F552-9E44-49C8-8E78-102EBEE6AA76}</author>
    <author>tc={FBAAD223-9807-4F41-9C26-3594E6221D34}</author>
    <author>tc={01262378-19EC-4B75-8BD5-F9AC97F40459}</author>
    <author>tc={8E8C4ECC-40E7-465C-BA82-02E80A57FB48}</author>
    <author>tc={D6A3E7E7-D8ED-442B-AE01-3F72BA3F4A0F}</author>
    <author>tc={56D274A1-00E6-488E-BFF3-69A8A35B3A79}</author>
    <author>tc={EFE60D34-624C-4204-845F-CA158F7C0D97}</author>
    <author>tc={E202A4D2-67D3-4942-A6B6-2A341F72999B}</author>
    <author>tc={D0BC8F51-107B-42F9-B3C5-604B422ED976}</author>
    <author>tc={3EC391D5-6D08-448B-B69D-8034ACE7E148}</author>
    <author>tc={55F98E45-598B-4D8E-93A1-9F9B6618A852}</author>
    <author>tc={0A50327D-671B-4206-93AF-2483ECD6A77B}</author>
    <author>tc={DC1FFB9E-610E-4FF0-AA77-979685271EB4}</author>
    <author>tc={61F760E5-DAD3-46E8-9839-290DE494E6D6}</author>
  </authors>
  <commentList>
    <comment ref="C792" authorId="0" shapeId="0" xr:uid="{F6B54615-3668-4FEC-8F42-8832A2F8C4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Responder:
    Ferias Renato - 27/01 ao dia 31/01
Responder:
    Aniversário Israel 27/01</t>
      </text>
    </comment>
    <comment ref="C793" authorId="1" shapeId="0" xr:uid="{0A3EE281-C010-46D8-A783-D261AF8E48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Responder:
    Aniversário Renato - 07/02</t>
      </text>
    </comment>
    <comment ref="C794" authorId="2" shapeId="0" xr:uid="{7CFE4F1A-F295-4928-9E29-206F87D153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Responder:
    Férias Elyacir 17/02 ao dia 28/02
Responder:
    Ferias Yann 17/02 ao dia 21/02</t>
      </text>
    </comment>
    <comment ref="C795" authorId="3" shapeId="0" xr:uid="{4A662872-84A6-44C1-8107-B84D8024A43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796" authorId="4" shapeId="0" xr:uid="{B7B3F552-9E44-49C8-8E78-102EBEE6AA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797" authorId="5" shapeId="0" xr:uid="{FBAAD223-9807-4F41-9C26-3594E6221D3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798" authorId="6" shapeId="0" xr:uid="{01262378-19EC-4B75-8BD5-F9AC97F4045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799" authorId="7" shapeId="0" xr:uid="{8E8C4ECC-40E7-465C-BA82-02E80A57FB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00" authorId="8" shapeId="0" xr:uid="{D6A3E7E7-D8ED-442B-AE01-3F72BA3F4A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01" authorId="9" shapeId="0" xr:uid="{56D274A1-00E6-488E-BFF3-69A8A35B3A7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02" authorId="10" shapeId="0" xr:uid="{EFE60D34-624C-4204-845F-CA158F7C0D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03" authorId="11" shapeId="0" xr:uid="{E202A4D2-67D3-4942-A6B6-2A341F72999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09" authorId="12" shapeId="0" xr:uid="{D0BC8F51-107B-42F9-B3C5-604B422ED9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10" authorId="13" shapeId="0" xr:uid="{3EC391D5-6D08-448B-B69D-8034ACE7E1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11" authorId="14" shapeId="0" xr:uid="{55F98E45-598B-4D8E-93A1-9F9B6618A85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12" authorId="15" shapeId="0" xr:uid="{0A50327D-671B-4206-93AF-2483ECD6A7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13" authorId="16" shapeId="0" xr:uid="{DC1FFB9E-610E-4FF0-AA77-979685271E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  <comment ref="C814" authorId="17" shapeId="0" xr:uid="{61F760E5-DAD3-46E8-9839-290DE494E6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Considerado capacity da QA
</t>
      </text>
    </comment>
  </commentList>
</comments>
</file>

<file path=xl/sharedStrings.xml><?xml version="1.0" encoding="utf-8"?>
<sst xmlns="http://schemas.openxmlformats.org/spreadsheetml/2006/main" count="16396" uniqueCount="297">
  <si>
    <t>Tribo</t>
  </si>
  <si>
    <t>Squad</t>
  </si>
  <si>
    <t>Aprendizagem Digital</t>
  </si>
  <si>
    <t>Aprendizagem</t>
  </si>
  <si>
    <t>Avaliação</t>
  </si>
  <si>
    <t>Comunicação</t>
  </si>
  <si>
    <t>Interação</t>
  </si>
  <si>
    <t>Plataforma</t>
  </si>
  <si>
    <t>Secretaria e Financeiro</t>
  </si>
  <si>
    <t>Atendimento &amp; Serviço</t>
  </si>
  <si>
    <t>Athenas Atendimento</t>
  </si>
  <si>
    <t>kbots</t>
  </si>
  <si>
    <t>Papa-léguas</t>
  </si>
  <si>
    <t>Route66</t>
  </si>
  <si>
    <t>Financeiro</t>
  </si>
  <si>
    <t>Eagles</t>
  </si>
  <si>
    <t>House of Money</t>
  </si>
  <si>
    <t>Sparta</t>
  </si>
  <si>
    <t>Triforce</t>
  </si>
  <si>
    <t>Ingresso</t>
  </si>
  <si>
    <t>Agents</t>
  </si>
  <si>
    <t>Backoffice de Ingresso</t>
  </si>
  <si>
    <t>Captar</t>
  </si>
  <si>
    <t>Consultoria Educação</t>
  </si>
  <si>
    <t>Customer Sucess</t>
  </si>
  <si>
    <t>Ecomm</t>
  </si>
  <si>
    <t xml:space="preserve">Inteligencia Artificial </t>
  </si>
  <si>
    <t>Alex IA</t>
  </si>
  <si>
    <t xml:space="preserve">Alex IA   </t>
  </si>
  <si>
    <t>COGNA IA</t>
  </si>
  <si>
    <t xml:space="preserve">Sapience </t>
  </si>
  <si>
    <t>Acadêmico</t>
  </si>
  <si>
    <t>Alexandria/Maia</t>
  </si>
  <si>
    <t>Colaborar</t>
  </si>
  <si>
    <t>Docencia</t>
  </si>
  <si>
    <t>Moodle</t>
  </si>
  <si>
    <t>Pos Graduação</t>
  </si>
  <si>
    <t>Cmd - Learning Experience</t>
  </si>
  <si>
    <t>Opm Externo</t>
  </si>
  <si>
    <t>Saber</t>
  </si>
  <si>
    <t>DeVengers</t>
  </si>
  <si>
    <t>Joker</t>
  </si>
  <si>
    <t>Team Tregamos</t>
  </si>
  <si>
    <t>Secretaria &amp; Gestor de Unidades</t>
  </si>
  <si>
    <t>Athenas Sec. Enturmação</t>
  </si>
  <si>
    <t>Athenas Sec. Gestão Acad.</t>
  </si>
  <si>
    <t>Gestor de unidades</t>
  </si>
  <si>
    <t>Thanos</t>
  </si>
  <si>
    <t>ThreadPool</t>
  </si>
  <si>
    <t>Voomp</t>
  </si>
  <si>
    <t>Admin</t>
  </si>
  <si>
    <t>APP</t>
  </si>
  <si>
    <t>Backoffice ERP</t>
  </si>
  <si>
    <t>Gateway</t>
  </si>
  <si>
    <t>Meios de Pagamento</t>
  </si>
  <si>
    <t>Play</t>
  </si>
  <si>
    <t xml:space="preserve">Pós </t>
  </si>
  <si>
    <t>Total Geral</t>
  </si>
  <si>
    <t>Sprint 2026</t>
  </si>
  <si>
    <t>Dias Úteis</t>
  </si>
  <si>
    <t>Inicio</t>
  </si>
  <si>
    <t>Fim</t>
  </si>
  <si>
    <t>PIs 2026</t>
  </si>
  <si>
    <t>Sprint 2025</t>
  </si>
  <si>
    <t>PIs 2025</t>
  </si>
  <si>
    <t>Sprint 2024</t>
  </si>
  <si>
    <t>PIs 2024</t>
  </si>
  <si>
    <t>Pis 2023</t>
  </si>
  <si>
    <t>SP 26.1.1</t>
  </si>
  <si>
    <t>PI 1/26</t>
  </si>
  <si>
    <t>SP 25.1.1</t>
  </si>
  <si>
    <t>PI 1/25</t>
  </si>
  <si>
    <t>SP 24.1.1</t>
  </si>
  <si>
    <t>PI 1/24</t>
  </si>
  <si>
    <t>PI 1/23</t>
  </si>
  <si>
    <t>SP 26.1.2</t>
  </si>
  <si>
    <t>PI 2/26</t>
  </si>
  <si>
    <t>SP 25.1.2</t>
  </si>
  <si>
    <t>PI 2/25</t>
  </si>
  <si>
    <t>SP 24.1.2</t>
  </si>
  <si>
    <t>PI 2/24</t>
  </si>
  <si>
    <t>PI 2/23</t>
  </si>
  <si>
    <t>SP 26.1.3</t>
  </si>
  <si>
    <t>PI 3/26</t>
  </si>
  <si>
    <t>SP 25.1.3</t>
  </si>
  <si>
    <t>PI 3/25</t>
  </si>
  <si>
    <t>SP 24.1.3</t>
  </si>
  <si>
    <t>PI 3/24</t>
  </si>
  <si>
    <t>PI 3/23</t>
  </si>
  <si>
    <t>SP 26.1.4</t>
  </si>
  <si>
    <t>PI 4/26</t>
  </si>
  <si>
    <t>SP 25.1.4</t>
  </si>
  <si>
    <t>PI 4/25</t>
  </si>
  <si>
    <t>SP 24.1.4</t>
  </si>
  <si>
    <t>PI 4/24</t>
  </si>
  <si>
    <t>PI 4/23</t>
  </si>
  <si>
    <t>SP 26.1.5</t>
  </si>
  <si>
    <t>SP 25.1.5</t>
  </si>
  <si>
    <t>SP 24.1.5</t>
  </si>
  <si>
    <t>SP 26.1.6</t>
  </si>
  <si>
    <t>SP 25.1.6</t>
  </si>
  <si>
    <t>SP 24.1.6</t>
  </si>
  <si>
    <t>SP 26.2.1</t>
  </si>
  <si>
    <t>SP 25.2.1</t>
  </si>
  <si>
    <t>SP 24.2.1</t>
  </si>
  <si>
    <t>SP 26.2.2</t>
  </si>
  <si>
    <t>SP 25.2.2</t>
  </si>
  <si>
    <t>SP 24.2.2</t>
  </si>
  <si>
    <t>SP 26.2.3</t>
  </si>
  <si>
    <t>SP 25.2.3</t>
  </si>
  <si>
    <t>SP 24.2.3</t>
  </si>
  <si>
    <t>SP 26.2.4</t>
  </si>
  <si>
    <t>SP 25.2.4</t>
  </si>
  <si>
    <t>SP 24.2.4</t>
  </si>
  <si>
    <t>SP 26.2.5</t>
  </si>
  <si>
    <t>SP 25.2.5</t>
  </si>
  <si>
    <t>SP 24.2.5</t>
  </si>
  <si>
    <t>SP 26.2.6</t>
  </si>
  <si>
    <t>SP 25.2.6</t>
  </si>
  <si>
    <t>SP 24.3.1</t>
  </si>
  <si>
    <t>SP 26.3.1</t>
  </si>
  <si>
    <t>SP 25.3.1</t>
  </si>
  <si>
    <t>SP 24.3.2</t>
  </si>
  <si>
    <t>SP 26.3.2</t>
  </si>
  <si>
    <t>SP 25.3.2</t>
  </si>
  <si>
    <t>SP 24.3.3</t>
  </si>
  <si>
    <t>SP 26.3.3</t>
  </si>
  <si>
    <t>SP 25.3.3</t>
  </si>
  <si>
    <t>SP 24.3.4</t>
  </si>
  <si>
    <t>SP 26.3.4</t>
  </si>
  <si>
    <t>SP 25.3.4</t>
  </si>
  <si>
    <t>SP 24.3.5</t>
  </si>
  <si>
    <t>SP 26.3.5</t>
  </si>
  <si>
    <t>SP 25.3.5</t>
  </si>
  <si>
    <t>SP 24.3.6</t>
  </si>
  <si>
    <t>SP 26.3.6</t>
  </si>
  <si>
    <t>SP 25.4.1</t>
  </si>
  <si>
    <t>SP 24.4.1</t>
  </si>
  <si>
    <t>SP 26.4.1</t>
  </si>
  <si>
    <t>SP 25.4.2</t>
  </si>
  <si>
    <t>SP 24.4.2</t>
  </si>
  <si>
    <t>SP 26.4.2</t>
  </si>
  <si>
    <t>SP 25.4.3</t>
  </si>
  <si>
    <t>SP 24.4.3</t>
  </si>
  <si>
    <t>SP 26.4.3</t>
  </si>
  <si>
    <t>SP 25.4.4</t>
  </si>
  <si>
    <t>SP 24.4.4</t>
  </si>
  <si>
    <t>SP 26.4.4</t>
  </si>
  <si>
    <t>SP 25.4.5</t>
  </si>
  <si>
    <t>SP 24.4.5</t>
  </si>
  <si>
    <t>SP 26.4.5</t>
  </si>
  <si>
    <t>SP 25.4.6</t>
  </si>
  <si>
    <t>SP 24.4.6</t>
  </si>
  <si>
    <t>SP 26.4.6</t>
  </si>
  <si>
    <t>S</t>
  </si>
  <si>
    <t>Jornada</t>
  </si>
  <si>
    <t>Time</t>
  </si>
  <si>
    <t>PI</t>
  </si>
  <si>
    <t>Sprint</t>
  </si>
  <si>
    <t>Velocity</t>
  </si>
  <si>
    <t>Financeira</t>
  </si>
  <si>
    <t>SP 23.1.1</t>
  </si>
  <si>
    <t>SP 23.1.2</t>
  </si>
  <si>
    <t>SP 23.1.3</t>
  </si>
  <si>
    <t>SP 23.1.4</t>
  </si>
  <si>
    <t>SP 23.1.5</t>
  </si>
  <si>
    <t>SP 23.2.1</t>
  </si>
  <si>
    <t>SP 23.2.2</t>
  </si>
  <si>
    <t>SP 23.2.3</t>
  </si>
  <si>
    <t>SP 23.2.4</t>
  </si>
  <si>
    <t>SP 23.2.5</t>
  </si>
  <si>
    <t>SP 23.2.6</t>
  </si>
  <si>
    <t>SP 23.2.7</t>
  </si>
  <si>
    <t>SP 23.3.1</t>
  </si>
  <si>
    <t>SP 23.3.2</t>
  </si>
  <si>
    <t>SP 23.3.3</t>
  </si>
  <si>
    <t>SP 23.3.4</t>
  </si>
  <si>
    <t>SP 23.3.5</t>
  </si>
  <si>
    <t>SP 23.4.1</t>
  </si>
  <si>
    <t>SP 23.4.2</t>
  </si>
  <si>
    <t>SP 23.4.3</t>
  </si>
  <si>
    <t>SP 23.4.4</t>
  </si>
  <si>
    <t>SP 23.4.5</t>
  </si>
  <si>
    <t>SP 23.4.6</t>
  </si>
  <si>
    <t>Vitrine</t>
  </si>
  <si>
    <t>Funil e Área do Candidato</t>
  </si>
  <si>
    <t>Gestão de Ofertas e Microserviços</t>
  </si>
  <si>
    <t>Chatbot</t>
  </si>
  <si>
    <t>Novos Produtos - Funil e Vitrine</t>
  </si>
  <si>
    <t>Administrativo</t>
  </si>
  <si>
    <t>Mecdelivery</t>
  </si>
  <si>
    <t>AutoThreadmento</t>
  </si>
  <si>
    <t>Tech Polos</t>
  </si>
  <si>
    <t>Academico</t>
  </si>
  <si>
    <t>Secretaria</t>
  </si>
  <si>
    <t>Dados</t>
  </si>
  <si>
    <t>Externo</t>
  </si>
  <si>
    <t>CMD</t>
  </si>
  <si>
    <t>Enter</t>
  </si>
  <si>
    <t>FN</t>
  </si>
  <si>
    <t>Integração Ecomm</t>
  </si>
  <si>
    <t>Maia</t>
  </si>
  <si>
    <t>Alexandria</t>
  </si>
  <si>
    <t>Cogna IA</t>
  </si>
  <si>
    <t>SETS B2B/SETS B2C</t>
  </si>
  <si>
    <t>Eustacio</t>
  </si>
  <si>
    <t>Qtde de Devs</t>
  </si>
  <si>
    <t>Produtividade (H/P)</t>
  </si>
  <si>
    <t>Horas Produtivas por dia e por Dev</t>
  </si>
  <si>
    <t>Dias Úteis da Sprint</t>
  </si>
  <si>
    <t>App Aedu</t>
  </si>
  <si>
    <t>Área do Candidato</t>
  </si>
  <si>
    <t>Captar Express</t>
  </si>
  <si>
    <t>Jornada Acadêmica</t>
  </si>
  <si>
    <t>Cmd</t>
  </si>
  <si>
    <t>Fn</t>
  </si>
  <si>
    <t>Sustentação</t>
  </si>
  <si>
    <t>Status Time</t>
  </si>
  <si>
    <t>-1 dev</t>
  </si>
  <si>
    <t>-2 dev (a partir da 4)</t>
  </si>
  <si>
    <t>-1 dev (a partir da 4)</t>
  </si>
  <si>
    <t>atualizado</t>
  </si>
  <si>
    <t>Triforce_Sparta</t>
  </si>
  <si>
    <t>Descontinuado</t>
  </si>
  <si>
    <t>Meio de Funil</t>
  </si>
  <si>
    <t xml:space="preserve">Enter - Ingresso </t>
  </si>
  <si>
    <t>Ativo</t>
  </si>
  <si>
    <t>(Vários itens)</t>
  </si>
  <si>
    <t>Rótulos de Linha</t>
  </si>
  <si>
    <t>Soma de Velocity</t>
  </si>
  <si>
    <t>Soma de Sustentação</t>
  </si>
  <si>
    <t>(Tudo)</t>
  </si>
  <si>
    <t>Média de Produtividade (H/P)</t>
  </si>
  <si>
    <t>Capacity</t>
  </si>
  <si>
    <t>Custo da Sprint: Pontos x Valor (R$ 2647,87)</t>
  </si>
  <si>
    <t>Gestão Jéssica Molero</t>
  </si>
  <si>
    <t>Atualizado</t>
  </si>
  <si>
    <t>Férias Rosana -7 pontos, descontado no campo qtde devs</t>
  </si>
  <si>
    <t>Rosana afastada</t>
  </si>
  <si>
    <t>Time N2 -1(Lary)</t>
  </si>
  <si>
    <t>Atualizar</t>
  </si>
  <si>
    <t>Lary+1, Luna+2, Marcos+2, Ruanderson+1, Alexandre+2, Kauan+1</t>
  </si>
  <si>
    <t>Lary+2, Luna+2, Marcos+2, Ruanderson+1, Alexandre+2, Kauan+1</t>
  </si>
  <si>
    <t>Day off Luna -2 pontos</t>
  </si>
  <si>
    <t>Day Off Lary -2 pontos</t>
  </si>
  <si>
    <t>Atualizado - 1 pt Yasmin Day Off</t>
  </si>
  <si>
    <t>+ 1 dev no time(vaga Filipe)</t>
  </si>
  <si>
    <t>-1 Dayoff do Raul</t>
  </si>
  <si>
    <t>Time N2 -2 devs</t>
  </si>
  <si>
    <t>Time N2 -2 devs - 1 dev saída Raul</t>
  </si>
  <si>
    <t>Vitor +2, Mariana +2, Elvis +2, Janair +2, Rafael +2, lucca +3</t>
  </si>
  <si>
    <t>Lucca ferias -5, Vitor +2, Mariana +2, Elvis +2, Janair +2, Rafael +2, lucca +2</t>
  </si>
  <si>
    <t>Elvis vai para o time de estágio durante a sprint para KT, Vitor +2, Mariana +2, Elvis +2, Janair +2, Rafael +2, Lucca +2</t>
  </si>
  <si>
    <t>Yasmin Ferias - 3,5, Vitor +2, Mariana +2, Elvis +2, Janair +2, Rafael +2, Lucca +2</t>
  </si>
  <si>
    <t>Vitor +2, Mariana +2, Elvis +2, Janair +2, Rafael +2, lucca +2</t>
  </si>
  <si>
    <t>Ferias Elvis -5 pontos</t>
  </si>
  <si>
    <t>dayoff Vitor - 1 p, janair -2 p</t>
  </si>
  <si>
    <t>dayoff yasmin -0,5p</t>
  </si>
  <si>
    <t>ferias Alice -3</t>
  </si>
  <si>
    <t>Dayoff Julyana -1</t>
  </si>
  <si>
    <t>Folga Ana -1</t>
  </si>
  <si>
    <t>Empréstimo Alex / QA novo / Time N2 -2</t>
  </si>
  <si>
    <t>Férias Julyana -1 / Dayoff Enzo - 0,3 / Warlem no Swat -1 / OT +4 pontos</t>
  </si>
  <si>
    <t>Dayoff Alex -0,5 / Warlem no Swat -1 / OT +5 pontos</t>
  </si>
  <si>
    <t>Férias Andressa -0,5 / Warlem no Swat -1 / OT +6 pontos / Dev Novo +3 pontos</t>
  </si>
  <si>
    <t>Férias Ana -0,5 / Férias Andressa -0,5 / Warlem no Swat -1 / OT +5 pontos / Dev Novo +5 pontos</t>
  </si>
  <si>
    <t>Férias Ana -0,5 / Férias Gabriel -0,5 / Warlem no Swat -1 / OT +5 pontos / Dev Novo +9 pontos</t>
  </si>
  <si>
    <t>Férias Gabriel -0,5 / Warlem no Swat -1</t>
  </si>
  <si>
    <t>Feriado 16/07 Recife - Gabriel</t>
  </si>
  <si>
    <t>Licença Gabriel - 4 dias</t>
  </si>
  <si>
    <t>Licença Gabriel - 7 dias / Fáerias Alex - 3 dias / Férias Enzo - 5 dias</t>
  </si>
  <si>
    <t>Licença Gabriel - 8 dias / Férias Enzo - 8 dias</t>
  </si>
  <si>
    <t>-1 dayoff</t>
  </si>
  <si>
    <t>Gestão César Assis</t>
  </si>
  <si>
    <t>Thunderbolts</t>
  </si>
  <si>
    <t>Férias Rogério -1</t>
  </si>
  <si>
    <t>Carla: -4p (Férias)</t>
  </si>
  <si>
    <t>Carla: -8p (Férias) /  Wagner: -1p (Dayoff)</t>
  </si>
  <si>
    <t xml:space="preserve">Eduardo: -8p (Férias) </t>
  </si>
  <si>
    <t>Eduardo: -4p (Férias)</t>
  </si>
  <si>
    <t>Wagner: -8p (Férias) / Yuri: -2p (Dayoff)</t>
  </si>
  <si>
    <t>Wagner: -4p (Férias) / Danilo: -6p (Dayoff + Férias)</t>
  </si>
  <si>
    <t>Férias Danilo -8p</t>
  </si>
  <si>
    <t>Dayoff Eduardo -1p</t>
  </si>
  <si>
    <t>Média dos Pts de Sustentação da PI passada</t>
  </si>
  <si>
    <t>Observações: redução da capacidade por ausência</t>
  </si>
  <si>
    <t>Carla: -3,5p - Cobrindo Férias do TL</t>
  </si>
  <si>
    <t>Carla: -2p - Cobrindo Férias do TL</t>
  </si>
  <si>
    <t>Elvis - 7 (ferias)</t>
  </si>
  <si>
    <t>Lucca ferias - 7 (Ferias)</t>
  </si>
  <si>
    <t>Atendimento e Serviço</t>
  </si>
  <si>
    <t>Secretaria e Gestor de Unidades</t>
  </si>
  <si>
    <t>Captar[INCA]</t>
  </si>
  <si>
    <t>Backoffice de Ingresso[INBI]</t>
  </si>
  <si>
    <t>Consultoria Educação[INAP]</t>
  </si>
  <si>
    <t>Ecomm[INPV]</t>
  </si>
  <si>
    <t>Customer Sucess[INFU]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</si>
</sst>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3" fillId="0" borderId="0" xfId="0" applyNumberFormat="1" applyFont="1"/>
    <xf numFmtId="0" fontId="8" fillId="0" borderId="1" xfId="0" applyFont="1" applyBorder="1"/>
    <xf numFmtId="0" fontId="8" fillId="0" borderId="0" xfId="0" applyFont="1"/>
    <xf numFmtId="0" fontId="9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1" fontId="0" fillId="0" borderId="7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2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8" borderId="2" xfId="0" applyNumberFormat="1" applyFill="1" applyBorder="1" applyAlignment="1">
      <alignment horizontal="center"/>
    </xf>
    <xf numFmtId="1" fontId="0" fillId="8" borderId="8" xfId="0" applyNumberFormat="1" applyFill="1" applyBorder="1" applyAlignment="1">
      <alignment horizontal="center"/>
    </xf>
    <xf numFmtId="1" fontId="0" fillId="8" borderId="3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10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1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3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/>
    </xf>
    <xf numFmtId="1" fontId="0" fillId="8" borderId="12" xfId="0" applyNumberFormat="1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" fontId="0" fillId="8" borderId="14" xfId="0" applyNumberForma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/>
    </xf>
    <xf numFmtId="1" fontId="0" fillId="9" borderId="4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6" borderId="9" xfId="0" applyFill="1" applyBorder="1"/>
    <xf numFmtId="1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0" xfId="0" applyNumberFormat="1"/>
    <xf numFmtId="0" fontId="0" fillId="5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" fontId="6" fillId="10" borderId="5" xfId="0" applyNumberFormat="1" applyFon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" fontId="0" fillId="10" borderId="4" xfId="0" applyNumberFormat="1" applyFill="1" applyBorder="1" applyAlignment="1">
      <alignment horizontal="center"/>
    </xf>
    <xf numFmtId="1" fontId="0" fillId="10" borderId="8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1" fontId="6" fillId="11" borderId="5" xfId="0" applyNumberFormat="1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1" fontId="0" fillId="11" borderId="4" xfId="0" applyNumberFormat="1" applyFill="1" applyBorder="1" applyAlignment="1">
      <alignment horizontal="center"/>
    </xf>
    <xf numFmtId="1" fontId="0" fillId="11" borderId="8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1" fontId="0" fillId="12" borderId="4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1" fontId="6" fillId="13" borderId="5" xfId="0" applyNumberFormat="1" applyFon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0" fillId="13" borderId="4" xfId="0" applyNumberFormat="1" applyFill="1" applyBorder="1" applyAlignment="1">
      <alignment horizontal="center"/>
    </xf>
    <xf numFmtId="14" fontId="0" fillId="0" borderId="1" xfId="0" applyNumberFormat="1" applyBorder="1"/>
    <xf numFmtId="0" fontId="15" fillId="5" borderId="1" xfId="0" applyFont="1" applyFill="1" applyBorder="1" applyAlignment="1">
      <alignment horizontal="center"/>
    </xf>
    <xf numFmtId="1" fontId="16" fillId="5" borderId="8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1" fontId="16" fillId="11" borderId="8" xfId="0" applyNumberFormat="1" applyFont="1" applyFill="1" applyBorder="1" applyAlignment="1">
      <alignment horizontal="center"/>
    </xf>
    <xf numFmtId="1" fontId="16" fillId="10" borderId="8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" fontId="6" fillId="14" borderId="5" xfId="0" applyNumberFormat="1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1" fontId="0" fillId="14" borderId="4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" fontId="6" fillId="7" borderId="5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7" borderId="4" xfId="0" applyNumberFormat="1" applyFill="1" applyBorder="1" applyAlignment="1">
      <alignment horizontal="center"/>
    </xf>
    <xf numFmtId="1" fontId="0" fillId="7" borderId="8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1" fontId="6" fillId="15" borderId="5" xfId="0" applyNumberFormat="1" applyFon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" fontId="0" fillId="15" borderId="4" xfId="0" applyNumberFormat="1" applyFill="1" applyBorder="1" applyAlignment="1">
      <alignment horizontal="center"/>
    </xf>
    <xf numFmtId="1" fontId="0" fillId="15" borderId="8" xfId="0" applyNumberFormat="1" applyFill="1" applyBorder="1" applyAlignment="1">
      <alignment horizontal="center"/>
    </xf>
    <xf numFmtId="44" fontId="0" fillId="16" borderId="8" xfId="1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1" fontId="6" fillId="17" borderId="5" xfId="0" applyNumberFormat="1" applyFont="1" applyFill="1" applyBorder="1" applyAlignment="1">
      <alignment horizontal="center"/>
    </xf>
    <xf numFmtId="164" fontId="0" fillId="17" borderId="1" xfId="0" applyNumberFormat="1" applyFill="1" applyBorder="1" applyAlignment="1">
      <alignment horizontal="center"/>
    </xf>
    <xf numFmtId="1" fontId="0" fillId="17" borderId="1" xfId="0" applyNumberFormat="1" applyFill="1" applyBorder="1" applyAlignment="1">
      <alignment horizontal="center"/>
    </xf>
    <xf numFmtId="1" fontId="0" fillId="17" borderId="4" xfId="0" applyNumberFormat="1" applyFill="1" applyBorder="1" applyAlignment="1">
      <alignment horizontal="center"/>
    </xf>
    <xf numFmtId="1" fontId="0" fillId="17" borderId="8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16" fillId="5" borderId="17" xfId="0" applyNumberFormat="1" applyFont="1" applyFill="1" applyBorder="1" applyAlignment="1">
      <alignment horizontal="center"/>
    </xf>
    <xf numFmtId="44" fontId="0" fillId="16" borderId="17" xfId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6" fillId="12" borderId="19" xfId="0" applyFont="1" applyFill="1" applyBorder="1" applyAlignment="1">
      <alignment horizontal="center"/>
    </xf>
    <xf numFmtId="1" fontId="6" fillId="12" borderId="20" xfId="0" applyNumberFormat="1" applyFont="1" applyFill="1" applyBorder="1" applyAlignment="1">
      <alignment horizontal="center"/>
    </xf>
    <xf numFmtId="164" fontId="0" fillId="12" borderId="19" xfId="0" applyNumberFormat="1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1" fontId="0" fillId="12" borderId="19" xfId="0" applyNumberFormat="1" applyFill="1" applyBorder="1" applyAlignment="1">
      <alignment horizontal="center"/>
    </xf>
    <xf numFmtId="1" fontId="0" fillId="12" borderId="21" xfId="0" applyNumberFormat="1" applyFill="1" applyBorder="1" applyAlignment="1">
      <alignment horizontal="center"/>
    </xf>
    <xf numFmtId="44" fontId="0" fillId="16" borderId="23" xfId="1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44" fontId="0" fillId="16" borderId="25" xfId="1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6" fillId="12" borderId="27" xfId="0" applyFont="1" applyFill="1" applyBorder="1" applyAlignment="1">
      <alignment horizontal="center"/>
    </xf>
    <xf numFmtId="1" fontId="6" fillId="12" borderId="28" xfId="0" applyNumberFormat="1" applyFont="1" applyFill="1" applyBorder="1" applyAlignment="1">
      <alignment horizontal="center"/>
    </xf>
    <xf numFmtId="164" fontId="0" fillId="12" borderId="27" xfId="0" applyNumberFormat="1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1" fontId="0" fillId="12" borderId="27" xfId="0" applyNumberFormat="1" applyFill="1" applyBorder="1" applyAlignment="1">
      <alignment horizontal="center"/>
    </xf>
    <xf numFmtId="1" fontId="0" fillId="12" borderId="29" xfId="0" applyNumberFormat="1" applyFill="1" applyBorder="1" applyAlignment="1">
      <alignment horizontal="center"/>
    </xf>
    <xf numFmtId="44" fontId="0" fillId="16" borderId="31" xfId="1" applyFont="1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1" fontId="6" fillId="14" borderId="20" xfId="0" applyNumberFormat="1" applyFont="1" applyFill="1" applyBorder="1" applyAlignment="1">
      <alignment horizontal="center"/>
    </xf>
    <xf numFmtId="164" fontId="0" fillId="14" borderId="19" xfId="0" applyNumberFormat="1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1" fontId="0" fillId="14" borderId="19" xfId="0" applyNumberFormat="1" applyFill="1" applyBorder="1" applyAlignment="1">
      <alignment horizontal="center"/>
    </xf>
    <xf numFmtId="1" fontId="0" fillId="14" borderId="21" xfId="0" applyNumberFormat="1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6" fillId="14" borderId="27" xfId="0" applyFont="1" applyFill="1" applyBorder="1" applyAlignment="1">
      <alignment horizontal="center"/>
    </xf>
    <xf numFmtId="1" fontId="6" fillId="14" borderId="28" xfId="0" applyNumberFormat="1" applyFont="1" applyFill="1" applyBorder="1" applyAlignment="1">
      <alignment horizontal="center"/>
    </xf>
    <xf numFmtId="164" fontId="0" fillId="14" borderId="27" xfId="0" applyNumberFormat="1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1" fontId="0" fillId="14" borderId="27" xfId="0" applyNumberFormat="1" applyFill="1" applyBorder="1" applyAlignment="1">
      <alignment horizontal="center"/>
    </xf>
    <xf numFmtId="1" fontId="0" fillId="14" borderId="29" xfId="0" applyNumberFormat="1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1" fontId="6" fillId="13" borderId="20" xfId="0" applyNumberFormat="1" applyFont="1" applyFill="1" applyBorder="1" applyAlignment="1">
      <alignment horizontal="center"/>
    </xf>
    <xf numFmtId="164" fontId="0" fillId="13" borderId="19" xfId="0" applyNumberFormat="1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1" fontId="0" fillId="13" borderId="19" xfId="0" applyNumberFormat="1" applyFill="1" applyBorder="1" applyAlignment="1">
      <alignment horizontal="center"/>
    </xf>
    <xf numFmtId="1" fontId="0" fillId="13" borderId="21" xfId="0" applyNumberForma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1" fontId="6" fillId="13" borderId="28" xfId="0" applyNumberFormat="1" applyFont="1" applyFill="1" applyBorder="1" applyAlignment="1">
      <alignment horizontal="center"/>
    </xf>
    <xf numFmtId="164" fontId="0" fillId="13" borderId="27" xfId="0" applyNumberFormat="1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1" fontId="0" fillId="13" borderId="27" xfId="0" applyNumberFormat="1" applyFill="1" applyBorder="1" applyAlignment="1">
      <alignment horizontal="center"/>
    </xf>
    <xf numFmtId="1" fontId="0" fillId="13" borderId="29" xfId="0" applyNumberFormat="1" applyFill="1" applyBorder="1" applyAlignment="1">
      <alignment horizontal="center"/>
    </xf>
    <xf numFmtId="44" fontId="2" fillId="0" borderId="23" xfId="1" applyFont="1" applyFill="1" applyBorder="1" applyAlignment="1">
      <alignment horizontal="center"/>
    </xf>
    <xf numFmtId="44" fontId="2" fillId="0" borderId="25" xfId="1" applyFont="1" applyFill="1" applyBorder="1" applyAlignment="1">
      <alignment horizontal="center"/>
    </xf>
    <xf numFmtId="44" fontId="2" fillId="0" borderId="31" xfId="1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6" fillId="10" borderId="19" xfId="0" applyFont="1" applyFill="1" applyBorder="1" applyAlignment="1">
      <alignment horizontal="center"/>
    </xf>
    <xf numFmtId="1" fontId="6" fillId="10" borderId="20" xfId="0" applyNumberFormat="1" applyFont="1" applyFill="1" applyBorder="1" applyAlignment="1">
      <alignment horizontal="center"/>
    </xf>
    <xf numFmtId="164" fontId="0" fillId="10" borderId="19" xfId="0" applyNumberFormat="1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1" fontId="0" fillId="10" borderId="19" xfId="0" applyNumberFormat="1" applyFill="1" applyBorder="1" applyAlignment="1">
      <alignment horizontal="center"/>
    </xf>
    <xf numFmtId="1" fontId="0" fillId="10" borderId="21" xfId="0" applyNumberFormat="1" applyFill="1" applyBorder="1" applyAlignment="1">
      <alignment horizontal="center"/>
    </xf>
    <xf numFmtId="1" fontId="0" fillId="10" borderId="22" xfId="0" applyNumberFormat="1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15" fillId="10" borderId="27" xfId="0" applyFont="1" applyFill="1" applyBorder="1" applyAlignment="1">
      <alignment horizontal="center"/>
    </xf>
    <xf numFmtId="1" fontId="6" fillId="10" borderId="28" xfId="0" applyNumberFormat="1" applyFont="1" applyFill="1" applyBorder="1" applyAlignment="1">
      <alignment horizontal="center"/>
    </xf>
    <xf numFmtId="164" fontId="0" fillId="10" borderId="27" xfId="0" applyNumberFormat="1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1" fontId="0" fillId="10" borderId="27" xfId="0" applyNumberFormat="1" applyFill="1" applyBorder="1" applyAlignment="1">
      <alignment horizontal="center"/>
    </xf>
    <xf numFmtId="1" fontId="0" fillId="10" borderId="29" xfId="0" applyNumberFormat="1" applyFill="1" applyBorder="1" applyAlignment="1">
      <alignment horizontal="center"/>
    </xf>
    <xf numFmtId="1" fontId="16" fillId="10" borderId="30" xfId="0" applyNumberFormat="1" applyFont="1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1" fontId="6" fillId="11" borderId="20" xfId="0" applyNumberFormat="1" applyFont="1" applyFill="1" applyBorder="1" applyAlignment="1">
      <alignment horizontal="center"/>
    </xf>
    <xf numFmtId="164" fontId="0" fillId="11" borderId="19" xfId="0" applyNumberFormat="1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1" fontId="0" fillId="11" borderId="19" xfId="0" applyNumberFormat="1" applyFill="1" applyBorder="1" applyAlignment="1">
      <alignment horizontal="center"/>
    </xf>
    <xf numFmtId="1" fontId="0" fillId="11" borderId="21" xfId="0" applyNumberFormat="1" applyFill="1" applyBorder="1" applyAlignment="1">
      <alignment horizontal="center"/>
    </xf>
    <xf numFmtId="1" fontId="0" fillId="11" borderId="22" xfId="0" applyNumberFormat="1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1" fontId="6" fillId="11" borderId="28" xfId="0" applyNumberFormat="1" applyFont="1" applyFill="1" applyBorder="1" applyAlignment="1">
      <alignment horizontal="center"/>
    </xf>
    <xf numFmtId="164" fontId="0" fillId="11" borderId="27" xfId="0" applyNumberFormat="1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1" fontId="0" fillId="11" borderId="27" xfId="0" applyNumberFormat="1" applyFill="1" applyBorder="1" applyAlignment="1">
      <alignment horizontal="center"/>
    </xf>
    <xf numFmtId="1" fontId="0" fillId="11" borderId="29" xfId="0" applyNumberFormat="1" applyFill="1" applyBorder="1" applyAlignment="1">
      <alignment horizontal="center"/>
    </xf>
    <xf numFmtId="1" fontId="16" fillId="11" borderId="30" xfId="0" applyNumberFormat="1" applyFon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1" fontId="6" fillId="7" borderId="28" xfId="0" applyNumberFormat="1" applyFont="1" applyFill="1" applyBorder="1" applyAlignment="1">
      <alignment horizontal="center"/>
    </xf>
    <xf numFmtId="164" fontId="0" fillId="7" borderId="27" xfId="0" applyNumberForma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1" fontId="0" fillId="7" borderId="27" xfId="0" applyNumberFormat="1" applyFill="1" applyBorder="1" applyAlignment="1">
      <alignment horizontal="center"/>
    </xf>
    <xf numFmtId="1" fontId="0" fillId="7" borderId="29" xfId="0" applyNumberFormat="1" applyFill="1" applyBorder="1" applyAlignment="1">
      <alignment horizontal="center"/>
    </xf>
    <xf numFmtId="1" fontId="0" fillId="7" borderId="30" xfId="0" applyNumberFormat="1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6" fillId="15" borderId="19" xfId="0" applyFont="1" applyFill="1" applyBorder="1" applyAlignment="1">
      <alignment horizontal="center"/>
    </xf>
    <xf numFmtId="1" fontId="6" fillId="15" borderId="20" xfId="0" applyNumberFormat="1" applyFont="1" applyFill="1" applyBorder="1" applyAlignment="1">
      <alignment horizontal="center"/>
    </xf>
    <xf numFmtId="164" fontId="0" fillId="15" borderId="19" xfId="0" applyNumberFormat="1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1" fontId="0" fillId="15" borderId="19" xfId="0" applyNumberFormat="1" applyFill="1" applyBorder="1" applyAlignment="1">
      <alignment horizontal="center"/>
    </xf>
    <xf numFmtId="1" fontId="0" fillId="15" borderId="21" xfId="0" applyNumberFormat="1" applyFill="1" applyBorder="1" applyAlignment="1">
      <alignment horizontal="center"/>
    </xf>
    <xf numFmtId="1" fontId="0" fillId="15" borderId="22" xfId="0" applyNumberFormat="1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1" fontId="6" fillId="15" borderId="28" xfId="0" applyNumberFormat="1" applyFont="1" applyFill="1" applyBorder="1" applyAlignment="1">
      <alignment horizontal="center"/>
    </xf>
    <xf numFmtId="164" fontId="0" fillId="15" borderId="27" xfId="0" applyNumberFormat="1" applyFill="1" applyBorder="1" applyAlignment="1">
      <alignment horizontal="center"/>
    </xf>
    <xf numFmtId="0" fontId="0" fillId="15" borderId="27" xfId="0" applyFill="1" applyBorder="1" applyAlignment="1">
      <alignment horizontal="center"/>
    </xf>
    <xf numFmtId="1" fontId="0" fillId="15" borderId="27" xfId="0" applyNumberFormat="1" applyFill="1" applyBorder="1" applyAlignment="1">
      <alignment horizontal="center"/>
    </xf>
    <xf numFmtId="1" fontId="0" fillId="15" borderId="29" xfId="0" applyNumberFormat="1" applyFill="1" applyBorder="1" applyAlignment="1">
      <alignment horizontal="center"/>
    </xf>
    <xf numFmtId="1" fontId="0" fillId="15" borderId="30" xfId="0" applyNumberFormat="1" applyFill="1" applyBorder="1" applyAlignment="1">
      <alignment horizontal="center"/>
    </xf>
    <xf numFmtId="0" fontId="0" fillId="17" borderId="18" xfId="0" applyFill="1" applyBorder="1" applyAlignment="1">
      <alignment horizontal="center"/>
    </xf>
    <xf numFmtId="0" fontId="6" fillId="17" borderId="19" xfId="0" applyFont="1" applyFill="1" applyBorder="1" applyAlignment="1">
      <alignment horizontal="center"/>
    </xf>
    <xf numFmtId="1" fontId="6" fillId="17" borderId="20" xfId="0" applyNumberFormat="1" applyFont="1" applyFill="1" applyBorder="1" applyAlignment="1">
      <alignment horizontal="center"/>
    </xf>
    <xf numFmtId="164" fontId="0" fillId="17" borderId="19" xfId="0" applyNumberFormat="1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1" fontId="0" fillId="17" borderId="19" xfId="0" applyNumberFormat="1" applyFill="1" applyBorder="1" applyAlignment="1">
      <alignment horizontal="center"/>
    </xf>
    <xf numFmtId="1" fontId="0" fillId="17" borderId="21" xfId="0" applyNumberFormat="1" applyFill="1" applyBorder="1" applyAlignment="1">
      <alignment horizontal="center"/>
    </xf>
    <xf numFmtId="1" fontId="0" fillId="17" borderId="22" xfId="0" applyNumberFormat="1" applyFill="1" applyBorder="1" applyAlignment="1">
      <alignment horizontal="center"/>
    </xf>
    <xf numFmtId="0" fontId="0" fillId="17" borderId="24" xfId="0" applyFill="1" applyBorder="1" applyAlignment="1">
      <alignment horizontal="center"/>
    </xf>
    <xf numFmtId="0" fontId="0" fillId="17" borderId="26" xfId="0" applyFill="1" applyBorder="1" applyAlignment="1">
      <alignment horizontal="center"/>
    </xf>
    <xf numFmtId="0" fontId="6" fillId="17" borderId="27" xfId="0" applyFont="1" applyFill="1" applyBorder="1" applyAlignment="1">
      <alignment horizontal="center"/>
    </xf>
    <xf numFmtId="1" fontId="6" fillId="17" borderId="28" xfId="0" applyNumberFormat="1" applyFont="1" applyFill="1" applyBorder="1" applyAlignment="1">
      <alignment horizontal="center"/>
    </xf>
    <xf numFmtId="164" fontId="0" fillId="17" borderId="27" xfId="0" applyNumberFormat="1" applyFill="1" applyBorder="1" applyAlignment="1">
      <alignment horizontal="center"/>
    </xf>
    <xf numFmtId="0" fontId="0" fillId="17" borderId="27" xfId="0" applyFill="1" applyBorder="1" applyAlignment="1">
      <alignment horizontal="center"/>
    </xf>
    <xf numFmtId="1" fontId="0" fillId="17" borderId="27" xfId="0" applyNumberFormat="1" applyFill="1" applyBorder="1" applyAlignment="1">
      <alignment horizontal="center"/>
    </xf>
    <xf numFmtId="1" fontId="0" fillId="17" borderId="29" xfId="0" applyNumberFormat="1" applyFill="1" applyBorder="1" applyAlignment="1">
      <alignment horizontal="center"/>
    </xf>
    <xf numFmtId="1" fontId="0" fillId="17" borderId="30" xfId="0" applyNumberFormat="1" applyFill="1" applyBorder="1" applyAlignment="1">
      <alignment horizontal="center"/>
    </xf>
    <xf numFmtId="1" fontId="0" fillId="14" borderId="8" xfId="0" applyNumberFormat="1" applyFill="1" applyBorder="1" applyAlignment="1">
      <alignment horizontal="center"/>
    </xf>
    <xf numFmtId="1" fontId="0" fillId="12" borderId="22" xfId="0" applyNumberFormat="1" applyFill="1" applyBorder="1" applyAlignment="1">
      <alignment horizontal="center"/>
    </xf>
    <xf numFmtId="1" fontId="0" fillId="12" borderId="8" xfId="0" applyNumberFormat="1" applyFill="1" applyBorder="1" applyAlignment="1">
      <alignment horizontal="center"/>
    </xf>
    <xf numFmtId="1" fontId="0" fillId="12" borderId="30" xfId="0" applyNumberFormat="1" applyFill="1" applyBorder="1" applyAlignment="1">
      <alignment horizontal="center"/>
    </xf>
    <xf numFmtId="1" fontId="0" fillId="14" borderId="22" xfId="0" applyNumberFormat="1" applyFill="1" applyBorder="1" applyAlignment="1">
      <alignment horizontal="center"/>
    </xf>
    <xf numFmtId="1" fontId="0" fillId="14" borderId="30" xfId="0" applyNumberFormat="1" applyFill="1" applyBorder="1" applyAlignment="1">
      <alignment horizontal="center"/>
    </xf>
    <xf numFmtId="1" fontId="0" fillId="13" borderId="22" xfId="0" applyNumberFormat="1" applyFill="1" applyBorder="1" applyAlignment="1">
      <alignment horizontal="center"/>
    </xf>
    <xf numFmtId="1" fontId="0" fillId="13" borderId="8" xfId="0" applyNumberFormat="1" applyFill="1" applyBorder="1" applyAlignment="1">
      <alignment horizontal="center"/>
    </xf>
    <xf numFmtId="1" fontId="0" fillId="13" borderId="30" xfId="0" applyNumberFormat="1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1" fontId="6" fillId="13" borderId="27" xfId="0" applyNumberFormat="1" applyFont="1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1" fontId="6" fillId="18" borderId="10" xfId="0" applyNumberFormat="1" applyFont="1" applyFill="1" applyBorder="1" applyAlignment="1">
      <alignment horizontal="center"/>
    </xf>
    <xf numFmtId="164" fontId="0" fillId="18" borderId="3" xfId="0" applyNumberFormat="1" applyFill="1" applyBorder="1" applyAlignment="1">
      <alignment horizontal="center"/>
    </xf>
    <xf numFmtId="1" fontId="0" fillId="18" borderId="3" xfId="0" applyNumberFormat="1" applyFill="1" applyBorder="1" applyAlignment="1">
      <alignment horizontal="center"/>
    </xf>
    <xf numFmtId="1" fontId="0" fillId="18" borderId="14" xfId="0" applyNumberFormat="1" applyFill="1" applyBorder="1" applyAlignment="1">
      <alignment horizontal="center"/>
    </xf>
    <xf numFmtId="1" fontId="0" fillId="18" borderId="11" xfId="0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164" fontId="0" fillId="18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1" fontId="6" fillId="19" borderId="10" xfId="0" applyNumberFormat="1" applyFont="1" applyFill="1" applyBorder="1" applyAlignment="1">
      <alignment horizontal="center"/>
    </xf>
    <xf numFmtId="164" fontId="0" fillId="19" borderId="3" xfId="0" applyNumberFormat="1" applyFill="1" applyBorder="1" applyAlignment="1">
      <alignment horizontal="center"/>
    </xf>
    <xf numFmtId="1" fontId="0" fillId="19" borderId="3" xfId="0" applyNumberFormat="1" applyFill="1" applyBorder="1" applyAlignment="1">
      <alignment horizontal="center"/>
    </xf>
    <xf numFmtId="1" fontId="0" fillId="19" borderId="14" xfId="0" applyNumberFormat="1" applyFill="1" applyBorder="1" applyAlignment="1">
      <alignment horizontal="center"/>
    </xf>
    <xf numFmtId="1" fontId="0" fillId="19" borderId="11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6" fillId="19" borderId="1" xfId="0" applyFont="1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1" fontId="0" fillId="19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1" fontId="6" fillId="5" borderId="10" xfId="0" applyNumberFormat="1" applyFon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5" borderId="14" xfId="0" applyNumberFormat="1" applyFill="1" applyBorder="1" applyAlignment="1">
      <alignment horizontal="center"/>
    </xf>
    <xf numFmtId="1" fontId="0" fillId="5" borderId="11" xfId="0" applyNumberFormat="1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6" fillId="20" borderId="3" xfId="0" applyFont="1" applyFill="1" applyBorder="1" applyAlignment="1">
      <alignment horizontal="center"/>
    </xf>
    <xf numFmtId="1" fontId="6" fillId="20" borderId="10" xfId="0" applyNumberFormat="1" applyFont="1" applyFill="1" applyBorder="1" applyAlignment="1">
      <alignment horizontal="center"/>
    </xf>
    <xf numFmtId="164" fontId="0" fillId="20" borderId="3" xfId="0" applyNumberFormat="1" applyFill="1" applyBorder="1" applyAlignment="1">
      <alignment horizontal="center"/>
    </xf>
    <xf numFmtId="1" fontId="0" fillId="20" borderId="3" xfId="0" applyNumberFormat="1" applyFill="1" applyBorder="1" applyAlignment="1">
      <alignment horizontal="center"/>
    </xf>
    <xf numFmtId="1" fontId="0" fillId="20" borderId="14" xfId="0" applyNumberFormat="1" applyFill="1" applyBorder="1" applyAlignment="1">
      <alignment horizontal="center"/>
    </xf>
    <xf numFmtId="1" fontId="0" fillId="20" borderId="1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/>
    </xf>
    <xf numFmtId="1" fontId="0" fillId="20" borderId="4" xfId="0" applyNumberForma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1" fontId="6" fillId="7" borderId="10" xfId="0" applyNumberFormat="1" applyFon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" fontId="0" fillId="7" borderId="3" xfId="0" applyNumberFormat="1" applyFill="1" applyBorder="1" applyAlignment="1">
      <alignment horizontal="center"/>
    </xf>
    <xf numFmtId="1" fontId="0" fillId="7" borderId="14" xfId="0" applyNumberFormat="1" applyFill="1" applyBorder="1" applyAlignment="1">
      <alignment horizontal="center"/>
    </xf>
    <xf numFmtId="1" fontId="0" fillId="7" borderId="11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1" fontId="0" fillId="9" borderId="14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 wrapText="1"/>
    </xf>
    <xf numFmtId="1" fontId="3" fillId="21" borderId="11" xfId="0" applyNumberFormat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2">
    <dxf>
      <numFmt numFmtId="164" formatCode="0.0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na Ribeiro Danziere" id="{631ED9D4-24E1-4928-AF4A-63B2B5893496}" userId="S::mariana.danziere@cogna.com.br::23a46da5-0c13-4444-bf4f-ad61be653e0a" providerId="AD"/>
  <person displayName="Mariana Ribeiro Danziere" id="{A9150AE4-23F4-4A43-8BE5-13AC16010AE3}" userId="S::mariana.danziere@kroton.com.br::23a46da5-0c13-4444-bf4f-ad61be653e0a" providerId="AD"/>
  <person displayName="Bernardo Silveira Martins" id="{683DF708-A457-4353-B0FB-0F05C0406E6C}" userId="S::bernardo.martins-pla@parceirosedu.com.br::8752451c-4162-4a83-be9b-13c66b5b5f0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97.671909375" createdVersion="8" refreshedVersion="8" minRefreshableVersion="3" recordCount="988" xr:uid="{8370CB1B-821C-7C42-BE23-A848B0F099DE}">
  <cacheSource type="worksheet">
    <worksheetSource ref="A1:K1048576" sheet="2025"/>
  </cacheSource>
  <cacheFields count="11">
    <cacheField name="Jornada" numFmtId="0">
      <sharedItems containsBlank="1" count="12">
        <s v="Administrativo"/>
        <s v="Atendimento &amp; Serviço"/>
        <s v="Secretaria &amp; Gestor de Unidades"/>
        <s v="Aprendizagem Digital"/>
        <s v="Jornada Acadêmica"/>
        <s v="Financeiro"/>
        <s v="Ingresso"/>
        <s v="Pos Graduação"/>
        <s v="Inteligencia Artificial "/>
        <s v="Saber"/>
        <s v="Voomp"/>
        <m/>
      </sharedItems>
    </cacheField>
    <cacheField name="Time" numFmtId="0">
      <sharedItems containsBlank="1" count="48">
        <s v="kbots"/>
        <s v="Mecdelivery"/>
        <s v="Papa-léguas"/>
        <s v="Route66"/>
        <s v="Athenas Atendimento"/>
        <s v="Athenas Sec. Enturmação"/>
        <s v="Athenas Sec. Gestão Acad."/>
        <s v="Gestor de unidades"/>
        <s v="Thanos"/>
        <s v="ThreadPool"/>
        <s v="Aprendizagem"/>
        <s v="Avaliação"/>
        <s v="Comunicação"/>
        <s v="Docencia"/>
        <s v="Interação"/>
        <s v="Plataforma"/>
        <s v="Secretaria e Financeiro"/>
        <s v="Eagles"/>
        <s v="House of Money"/>
        <s v="Sparta"/>
        <s v="Triforce_Sparta"/>
        <s v="Triforce"/>
        <s v="App Aedu"/>
        <s v="Meio de Funil"/>
        <s v="Backoffice de Ingresso"/>
        <s v="Captar"/>
        <s v="Consultoria Educação"/>
        <s v="Customer Sucess"/>
        <s v="Ecomm"/>
        <s v="Alexandria/Maia"/>
        <s v="Colaborar"/>
        <s v="Moodle"/>
        <s v="Cmd - Learning Experience"/>
        <s v="COGNA IA"/>
        <s v="Enter - Ingresso "/>
        <s v="Opm Externo"/>
        <s v="Alex IA"/>
        <s v="Alex IA   "/>
        <s v="Sapience "/>
        <s v="DeVengers"/>
        <s v="Joker"/>
        <s v="Team Tregamos"/>
        <s v="Admin"/>
        <s v="Play"/>
        <s v="Meios de Pagamento"/>
        <s v="APP"/>
        <s v="Pós "/>
        <m/>
      </sharedItems>
    </cacheField>
    <cacheField name="Qtde de Devs" numFmtId="0">
      <sharedItems containsString="0" containsBlank="1" containsNumber="1" minValue="0" maxValue="10"/>
    </cacheField>
    <cacheField name="Produtividade (H/P)" numFmtId="0">
      <sharedItems containsString="0" containsBlank="1" containsNumber="1" minValue="0" maxValue="10.8"/>
    </cacheField>
    <cacheField name="Horas Produtivas por dia e por Dev" numFmtId="0">
      <sharedItems containsString="0" containsBlank="1" containsNumber="1" containsInteger="1" minValue="6" maxValue="7"/>
    </cacheField>
    <cacheField name="PI" numFmtId="0">
      <sharedItems containsBlank="1" count="5">
        <s v="PI 1/25"/>
        <s v="PI 2/25"/>
        <s v="PI 3/25"/>
        <s v="PI 4/25"/>
        <m/>
      </sharedItems>
    </cacheField>
    <cacheField name="Sprint" numFmtId="0">
      <sharedItems containsBlank="1"/>
    </cacheField>
    <cacheField name="Dias Úteis da Sprint" numFmtId="0">
      <sharedItems containsString="0" containsBlank="1" containsNumber="1" containsInteger="1" minValue="3" maxValue="13"/>
    </cacheField>
    <cacheField name="Velocity" numFmtId="0">
      <sharedItems containsBlank="1" containsMixedTypes="1" containsNumber="1" minValue="5.25" maxValue="155.36585365853659"/>
    </cacheField>
    <cacheField name="Sustentação" numFmtId="0">
      <sharedItems containsString="0" containsBlank="1" containsNumber="1" minValue="1" maxValue="40.659574468085104"/>
    </cacheField>
    <cacheField name="Status Time" numFmtId="0">
      <sharedItems containsBlank="1" count="4">
        <m/>
        <s v="atualizado"/>
        <s v="Descontinuado"/>
        <s v="Ativo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el Tofilo Marques" refreshedDate="45981.394824189818" createdVersion="8" refreshedVersion="8" minRefreshableVersion="3" recordCount="1028" xr:uid="{FF53546E-FD2D-3A4E-8588-FBA8818C3F02}">
  <cacheSource type="worksheet">
    <worksheetSource ref="A1:K1004" sheet="2026_Produtividade"/>
  </cacheSource>
  <cacheFields count="11">
    <cacheField name="Jornada" numFmtId="0">
      <sharedItems count="10">
        <s v="Atendimento &amp; Serviço"/>
        <s v="Secretaria &amp; Gestor de Unidades"/>
        <s v="Aprendizagem Digital"/>
        <s v="Financeiro"/>
        <s v="Ingresso"/>
        <s v="Jornada Acadêmica"/>
        <s v="Pos Graduação"/>
        <s v="Inteligencia Artificial "/>
        <s v="Saber"/>
        <s v="Voomp"/>
      </sharedItems>
    </cacheField>
    <cacheField name="Time" numFmtId="0">
      <sharedItems count="46">
        <s v="kbots"/>
        <s v="Papa-léguas"/>
        <s v="Route66"/>
        <s v="Athenas Atendimento"/>
        <s v="Athenas Sec. Enturmação"/>
        <s v="Athenas Sec. Gestão Acad."/>
        <s v="Gestor de unidades"/>
        <s v="Thanos"/>
        <s v="ThreadPool"/>
        <s v="Aprendizagem"/>
        <s v="Avaliação"/>
        <s v="Comunicação"/>
        <s v="Interação"/>
        <s v="Plataforma"/>
        <s v="Secretaria e Financeiro"/>
        <s v="Eagles"/>
        <s v="House of Money"/>
        <s v="Sparta"/>
        <s v="Triforce_Sparta"/>
        <s v="Triforce"/>
        <s v="Agents"/>
        <s v="Backoffice de Ingresso"/>
        <s v="Captar"/>
        <s v="Consultoria Educação"/>
        <s v="Customer Sucess"/>
        <s v="Ecomm"/>
        <s v="Alexandria/Maia"/>
        <s v="Colaborar"/>
        <s v="Moodle"/>
        <s v="Docencia"/>
        <s v="Cmd - Learning Experience"/>
        <s v="COGNA IA"/>
        <s v="Opm Externo"/>
        <s v="Alex IA"/>
        <s v="Alex IA   "/>
        <s v="Sapience "/>
        <s v="DeVengers"/>
        <s v="Joker"/>
        <s v="Team Tregamos"/>
        <s v="Admin"/>
        <s v="Play"/>
        <s v="Meios de Pagamento"/>
        <s v="APP"/>
        <s v="Pós "/>
        <s v="Backoffice ERP"/>
        <s v="Gateway"/>
      </sharedItems>
    </cacheField>
    <cacheField name="Qtde de Devs" numFmtId="0">
      <sharedItems containsSemiMixedTypes="0" containsString="0" containsNumber="1" minValue="2" maxValue="10"/>
    </cacheField>
    <cacheField name="Produtividade (H/P)" numFmtId="0">
      <sharedItems containsSemiMixedTypes="0" containsString="0" containsNumber="1" minValue="3.9" maxValue="10.1"/>
    </cacheField>
    <cacheField name="Horas Produtivas por dia e por Dev" numFmtId="0">
      <sharedItems containsSemiMixedTypes="0" containsString="0" containsNumber="1" containsInteger="1" minValue="6" maxValue="7"/>
    </cacheField>
    <cacheField name="PI" numFmtId="0">
      <sharedItems count="4">
        <s v="PI 1/26"/>
        <s v="PI 2/26"/>
        <s v="PI 3/26"/>
        <s v="PI 4/26"/>
      </sharedItems>
    </cacheField>
    <cacheField name="Sprint" numFmtId="0">
      <sharedItems count="24">
        <s v="SP 26.1.1"/>
        <s v="SP 26.1.2"/>
        <s v="SP 26.1.3"/>
        <s v="SP 26.1.4"/>
        <s v="SP 26.1.5"/>
        <s v="SP 26.1.6"/>
        <s v="SP 26.2.1"/>
        <s v="SP 26.2.2"/>
        <s v="SP 26.2.3"/>
        <s v="SP 26.2.4"/>
        <s v="SP 26.2.5"/>
        <s v="SP 26.2.6"/>
        <s v="SP 26.3.1"/>
        <s v="SP 26.3.2"/>
        <s v="SP 26.3.3"/>
        <s v="SP 26.3.4"/>
        <s v="SP 26.3.5"/>
        <s v="SP 26.3.6"/>
        <s v="SP 26.4.1"/>
        <s v="SP 26.4.2"/>
        <s v="SP 26.4.3"/>
        <s v="SP 26.4.4"/>
        <s v="SP 26.4.5"/>
        <s v="SP 26.4.6"/>
      </sharedItems>
    </cacheField>
    <cacheField name="Dias Úteis da Sprint" numFmtId="0">
      <sharedItems containsSemiMixedTypes="0" containsString="0" containsNumber="1" containsInteger="1" minValue="2" maxValue="8"/>
    </cacheField>
    <cacheField name="Velocity" numFmtId="1">
      <sharedItems containsSemiMixedTypes="0" containsString="0" containsNumber="1" minValue="4" maxValue="114.87179487179488"/>
    </cacheField>
    <cacheField name="Sustentação" numFmtId="1">
      <sharedItems containsString="0" containsBlank="1" containsNumber="1" minValue="1" maxValue="37"/>
    </cacheField>
    <cacheField name="Capacity" numFmtId="0">
      <sharedItems containsString="0" containsBlank="1" containsNumber="1" minValue="1.3333333333333339" maxValue="60.142857142857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n v="4"/>
    <n v="5.3"/>
    <n v="7"/>
    <x v="0"/>
    <s v="SP 25.1.1"/>
    <n v="7"/>
    <n v="36.981132075471699"/>
    <m/>
    <x v="0"/>
  </r>
  <r>
    <x v="0"/>
    <x v="0"/>
    <n v="4"/>
    <n v="5.3"/>
    <n v="7"/>
    <x v="0"/>
    <s v="SP 25.1.2"/>
    <n v="8"/>
    <n v="42.264150943396231"/>
    <m/>
    <x v="0"/>
  </r>
  <r>
    <x v="0"/>
    <x v="0"/>
    <n v="4"/>
    <n v="5.3"/>
    <n v="7"/>
    <x v="0"/>
    <s v="SP 25.1.3"/>
    <n v="8"/>
    <n v="42.264150943396231"/>
    <m/>
    <x v="0"/>
  </r>
  <r>
    <x v="0"/>
    <x v="0"/>
    <n v="4"/>
    <n v="5.3"/>
    <n v="7"/>
    <x v="0"/>
    <s v="SP 25.1.4"/>
    <n v="6"/>
    <n v="31.69811320754717"/>
    <m/>
    <x v="0"/>
  </r>
  <r>
    <x v="0"/>
    <x v="0"/>
    <n v="4"/>
    <n v="5.3"/>
    <n v="7"/>
    <x v="0"/>
    <s v="SP 25.1.5"/>
    <n v="8"/>
    <n v="42.264150943396231"/>
    <m/>
    <x v="0"/>
  </r>
  <r>
    <x v="0"/>
    <x v="0"/>
    <n v="4"/>
    <n v="5.3"/>
    <n v="7"/>
    <x v="0"/>
    <s v="SP 25.1.6"/>
    <n v="3"/>
    <n v="15.849056603773585"/>
    <m/>
    <x v="0"/>
  </r>
  <r>
    <x v="0"/>
    <x v="0"/>
    <n v="4"/>
    <n v="8"/>
    <n v="7"/>
    <x v="1"/>
    <s v="SP 25.2.1"/>
    <n v="6"/>
    <n v="21"/>
    <m/>
    <x v="0"/>
  </r>
  <r>
    <x v="0"/>
    <x v="0"/>
    <n v="4"/>
    <n v="8"/>
    <n v="7"/>
    <x v="1"/>
    <s v="SP 25.2.2"/>
    <n v="7"/>
    <n v="24.5"/>
    <m/>
    <x v="0"/>
  </r>
  <r>
    <x v="0"/>
    <x v="0"/>
    <n v="4"/>
    <n v="8"/>
    <n v="7"/>
    <x v="1"/>
    <s v="SP 25.2.3"/>
    <n v="8"/>
    <n v="28"/>
    <m/>
    <x v="0"/>
  </r>
  <r>
    <x v="0"/>
    <x v="0"/>
    <n v="4"/>
    <n v="8"/>
    <n v="7"/>
    <x v="1"/>
    <s v="SP 25.2.4"/>
    <n v="8"/>
    <n v="28"/>
    <m/>
    <x v="0"/>
  </r>
  <r>
    <x v="0"/>
    <x v="0"/>
    <n v="4"/>
    <n v="8"/>
    <n v="7"/>
    <x v="1"/>
    <s v="SP 25.2.5"/>
    <n v="7"/>
    <n v="24.5"/>
    <m/>
    <x v="0"/>
  </r>
  <r>
    <x v="0"/>
    <x v="0"/>
    <n v="4"/>
    <n v="8"/>
    <n v="7"/>
    <x v="1"/>
    <s v="SP 25.2.6"/>
    <n v="3"/>
    <n v="10.5"/>
    <m/>
    <x v="0"/>
  </r>
  <r>
    <x v="1"/>
    <x v="0"/>
    <n v="4"/>
    <n v="5.9"/>
    <n v="7"/>
    <x v="2"/>
    <s v="SP 25.3.1"/>
    <n v="7"/>
    <n v="33.220338983050844"/>
    <m/>
    <x v="0"/>
  </r>
  <r>
    <x v="1"/>
    <x v="0"/>
    <n v="4"/>
    <n v="5.9"/>
    <n v="7"/>
    <x v="2"/>
    <s v="SP 25.3.2"/>
    <n v="8"/>
    <n v="37.966101694915253"/>
    <m/>
    <x v="0"/>
  </r>
  <r>
    <x v="1"/>
    <x v="0"/>
    <n v="4"/>
    <n v="5.9"/>
    <n v="7"/>
    <x v="2"/>
    <s v="SP 25.3.3"/>
    <n v="8"/>
    <n v="37.966101694915253"/>
    <m/>
    <x v="0"/>
  </r>
  <r>
    <x v="1"/>
    <x v="0"/>
    <n v="4"/>
    <n v="5.9"/>
    <n v="7"/>
    <x v="2"/>
    <s v="SP 25.3.4"/>
    <n v="13"/>
    <n v="61.694915254237287"/>
    <m/>
    <x v="0"/>
  </r>
  <r>
    <x v="1"/>
    <x v="0"/>
    <n v="4"/>
    <n v="5.9"/>
    <n v="7"/>
    <x v="2"/>
    <s v="SP 25.3.5"/>
    <n v="3"/>
    <n v="14.23728813559322"/>
    <m/>
    <x v="0"/>
  </r>
  <r>
    <x v="1"/>
    <x v="0"/>
    <n v="4"/>
    <n v="5.9"/>
    <n v="7"/>
    <x v="3"/>
    <s v="SP 25.4.1"/>
    <n v="13"/>
    <n v="61.694915254237287"/>
    <m/>
    <x v="0"/>
  </r>
  <r>
    <x v="1"/>
    <x v="0"/>
    <n v="4"/>
    <n v="5.9"/>
    <n v="7"/>
    <x v="3"/>
    <s v="SP 25.4.2"/>
    <n v="8"/>
    <n v="37.966101694915253"/>
    <m/>
    <x v="0"/>
  </r>
  <r>
    <x v="1"/>
    <x v="0"/>
    <n v="4"/>
    <n v="5.9"/>
    <n v="7"/>
    <x v="3"/>
    <s v="SP 25.4.3"/>
    <n v="8"/>
    <n v="37.966101694915253"/>
    <m/>
    <x v="0"/>
  </r>
  <r>
    <x v="1"/>
    <x v="0"/>
    <n v="4"/>
    <n v="5.9"/>
    <n v="7"/>
    <x v="3"/>
    <s v="SP 25.4.4"/>
    <n v="7"/>
    <n v="33.220338983050844"/>
    <m/>
    <x v="0"/>
  </r>
  <r>
    <x v="1"/>
    <x v="0"/>
    <n v="4"/>
    <n v="5.9"/>
    <n v="7"/>
    <x v="3"/>
    <s v="SP 25.4.5"/>
    <n v="8"/>
    <n v="37.966101694915253"/>
    <m/>
    <x v="0"/>
  </r>
  <r>
    <x v="1"/>
    <x v="0"/>
    <n v="4"/>
    <n v="5.9"/>
    <n v="7"/>
    <x v="3"/>
    <s v="SP 25.4.6"/>
    <n v="8"/>
    <n v="37.966101694915253"/>
    <m/>
    <x v="0"/>
  </r>
  <r>
    <x v="0"/>
    <x v="1"/>
    <n v="7"/>
    <n v="6.5"/>
    <n v="7"/>
    <x v="0"/>
    <s v="SP 25.1.1"/>
    <n v="7"/>
    <n v="52.769230769230766"/>
    <m/>
    <x v="0"/>
  </r>
  <r>
    <x v="0"/>
    <x v="1"/>
    <n v="7"/>
    <n v="6.5"/>
    <n v="7"/>
    <x v="0"/>
    <s v="SP 25.1.2"/>
    <n v="8"/>
    <n v="60.307692307692307"/>
    <m/>
    <x v="0"/>
  </r>
  <r>
    <x v="0"/>
    <x v="1"/>
    <n v="7"/>
    <n v="6.5"/>
    <n v="7"/>
    <x v="0"/>
    <s v="SP 25.1.3"/>
    <n v="8"/>
    <n v="60.307692307692307"/>
    <m/>
    <x v="0"/>
  </r>
  <r>
    <x v="0"/>
    <x v="1"/>
    <n v="7"/>
    <n v="6.5"/>
    <n v="7"/>
    <x v="0"/>
    <s v="SP 25.1.4"/>
    <n v="6"/>
    <n v="45.230769230769234"/>
    <m/>
    <x v="0"/>
  </r>
  <r>
    <x v="0"/>
    <x v="1"/>
    <n v="7"/>
    <n v="6.5"/>
    <n v="7"/>
    <x v="0"/>
    <s v="SP 25.1.5"/>
    <n v="8"/>
    <n v="60.307692307692307"/>
    <m/>
    <x v="0"/>
  </r>
  <r>
    <x v="0"/>
    <x v="1"/>
    <n v="7"/>
    <n v="6.5"/>
    <n v="7"/>
    <x v="0"/>
    <s v="SP 25.1.6"/>
    <n v="3"/>
    <n v="22.615384615384617"/>
    <m/>
    <x v="0"/>
  </r>
  <r>
    <x v="0"/>
    <x v="2"/>
    <n v="6"/>
    <n v="6.5"/>
    <n v="7"/>
    <x v="0"/>
    <s v="SP 25.1.1"/>
    <n v="7"/>
    <n v="45.230769230769234"/>
    <m/>
    <x v="0"/>
  </r>
  <r>
    <x v="0"/>
    <x v="2"/>
    <n v="6"/>
    <n v="6.5"/>
    <n v="7"/>
    <x v="0"/>
    <s v="SP 25.1.2"/>
    <n v="8"/>
    <n v="51.692307692307693"/>
    <m/>
    <x v="0"/>
  </r>
  <r>
    <x v="0"/>
    <x v="2"/>
    <n v="6"/>
    <n v="6.5"/>
    <n v="7"/>
    <x v="0"/>
    <s v="SP 25.1.3"/>
    <n v="8"/>
    <n v="51.692307692307693"/>
    <m/>
    <x v="0"/>
  </r>
  <r>
    <x v="0"/>
    <x v="2"/>
    <n v="6"/>
    <n v="6.5"/>
    <n v="7"/>
    <x v="0"/>
    <s v="SP 25.1.4"/>
    <n v="6"/>
    <n v="38.769230769230766"/>
    <m/>
    <x v="0"/>
  </r>
  <r>
    <x v="0"/>
    <x v="2"/>
    <n v="6"/>
    <n v="6.5"/>
    <n v="7"/>
    <x v="0"/>
    <s v="SP 25.1.5"/>
    <n v="8"/>
    <n v="51.692307692307693"/>
    <m/>
    <x v="0"/>
  </r>
  <r>
    <x v="0"/>
    <x v="2"/>
    <n v="6"/>
    <n v="6.5"/>
    <n v="7"/>
    <x v="0"/>
    <s v="SP 25.1.6"/>
    <n v="3"/>
    <n v="19.384615384615383"/>
    <m/>
    <x v="0"/>
  </r>
  <r>
    <x v="0"/>
    <x v="2"/>
    <n v="6"/>
    <n v="6.5"/>
    <n v="7"/>
    <x v="1"/>
    <s v="SP 25.2.1"/>
    <n v="6"/>
    <n v="38.769230769230766"/>
    <m/>
    <x v="0"/>
  </r>
  <r>
    <x v="0"/>
    <x v="2"/>
    <n v="6"/>
    <n v="6.5"/>
    <n v="7"/>
    <x v="1"/>
    <s v="SP 25.2.2"/>
    <n v="7"/>
    <n v="45.230769230769234"/>
    <m/>
    <x v="0"/>
  </r>
  <r>
    <x v="0"/>
    <x v="2"/>
    <n v="6"/>
    <n v="6.5"/>
    <n v="7"/>
    <x v="1"/>
    <s v="SP 25.2.3"/>
    <n v="8"/>
    <n v="51.692307692307693"/>
    <m/>
    <x v="0"/>
  </r>
  <r>
    <x v="0"/>
    <x v="2"/>
    <n v="6"/>
    <n v="6.5"/>
    <n v="7"/>
    <x v="1"/>
    <s v="SP 25.2.4"/>
    <n v="8"/>
    <n v="51.692307692307693"/>
    <m/>
    <x v="0"/>
  </r>
  <r>
    <x v="0"/>
    <x v="2"/>
    <n v="6"/>
    <n v="6.5"/>
    <n v="7"/>
    <x v="1"/>
    <s v="SP 25.2.5"/>
    <n v="7"/>
    <n v="45.230769230769234"/>
    <m/>
    <x v="0"/>
  </r>
  <r>
    <x v="0"/>
    <x v="2"/>
    <n v="6"/>
    <n v="6.5"/>
    <n v="7"/>
    <x v="1"/>
    <s v="SP 25.2.6"/>
    <n v="3"/>
    <n v="19.384615384615383"/>
    <m/>
    <x v="0"/>
  </r>
  <r>
    <x v="1"/>
    <x v="2"/>
    <n v="5"/>
    <n v="6.1"/>
    <n v="7"/>
    <x v="2"/>
    <s v="SP 25.3.1"/>
    <n v="7"/>
    <n v="40.16393442622951"/>
    <m/>
    <x v="0"/>
  </r>
  <r>
    <x v="1"/>
    <x v="2"/>
    <n v="5"/>
    <n v="6.1"/>
    <n v="7"/>
    <x v="2"/>
    <s v="SP 25.3.2"/>
    <n v="8"/>
    <n v="45.9016393442623"/>
    <m/>
    <x v="0"/>
  </r>
  <r>
    <x v="1"/>
    <x v="2"/>
    <n v="5"/>
    <n v="6.1"/>
    <n v="7"/>
    <x v="2"/>
    <s v="SP 25.3.3"/>
    <n v="8"/>
    <n v="45.9016393442623"/>
    <m/>
    <x v="0"/>
  </r>
  <r>
    <x v="1"/>
    <x v="2"/>
    <n v="5"/>
    <n v="6.1"/>
    <n v="7"/>
    <x v="2"/>
    <s v="SP 25.3.4"/>
    <n v="13"/>
    <n v="74.590163934426229"/>
    <m/>
    <x v="0"/>
  </r>
  <r>
    <x v="1"/>
    <x v="2"/>
    <n v="5"/>
    <n v="6.1"/>
    <n v="7"/>
    <x v="2"/>
    <s v="SP 25.3.5"/>
    <n v="3"/>
    <n v="17.213114754098363"/>
    <m/>
    <x v="0"/>
  </r>
  <r>
    <x v="1"/>
    <x v="2"/>
    <n v="5"/>
    <n v="6.1"/>
    <n v="7"/>
    <x v="3"/>
    <s v="SP 25.4.1"/>
    <n v="13"/>
    <n v="74.590163934426229"/>
    <m/>
    <x v="0"/>
  </r>
  <r>
    <x v="1"/>
    <x v="2"/>
    <n v="5"/>
    <n v="6.1"/>
    <n v="7"/>
    <x v="3"/>
    <s v="SP 25.4.2"/>
    <n v="8"/>
    <n v="45.9016393442623"/>
    <m/>
    <x v="0"/>
  </r>
  <r>
    <x v="1"/>
    <x v="2"/>
    <n v="5"/>
    <n v="6.1"/>
    <n v="7"/>
    <x v="3"/>
    <s v="SP 25.4.3"/>
    <n v="8"/>
    <n v="45.9016393442623"/>
    <m/>
    <x v="0"/>
  </r>
  <r>
    <x v="1"/>
    <x v="2"/>
    <n v="5"/>
    <n v="6.1"/>
    <n v="7"/>
    <x v="3"/>
    <s v="SP 25.4.4"/>
    <n v="7"/>
    <n v="40.16393442622951"/>
    <m/>
    <x v="0"/>
  </r>
  <r>
    <x v="1"/>
    <x v="2"/>
    <n v="5"/>
    <n v="6.1"/>
    <n v="7"/>
    <x v="3"/>
    <s v="SP 25.4.5"/>
    <n v="8"/>
    <n v="45.9016393442623"/>
    <m/>
    <x v="0"/>
  </r>
  <r>
    <x v="1"/>
    <x v="2"/>
    <n v="5"/>
    <n v="6.1"/>
    <n v="7"/>
    <x v="3"/>
    <s v="SP 25.4.6"/>
    <n v="8"/>
    <n v="45.9016393442623"/>
    <m/>
    <x v="0"/>
  </r>
  <r>
    <x v="0"/>
    <x v="3"/>
    <n v="7"/>
    <n v="6.7"/>
    <n v="7"/>
    <x v="0"/>
    <s v="SP 25.1.1"/>
    <n v="7"/>
    <n v="51.194029850746269"/>
    <m/>
    <x v="0"/>
  </r>
  <r>
    <x v="0"/>
    <x v="3"/>
    <n v="7"/>
    <n v="6.7"/>
    <n v="7"/>
    <x v="0"/>
    <s v="SP 25.1.2"/>
    <n v="8"/>
    <n v="58.507462686567166"/>
    <m/>
    <x v="0"/>
  </r>
  <r>
    <x v="0"/>
    <x v="3"/>
    <n v="7"/>
    <n v="6.7"/>
    <n v="7"/>
    <x v="0"/>
    <s v="SP 25.1.3"/>
    <n v="8"/>
    <n v="58.507462686567166"/>
    <m/>
    <x v="0"/>
  </r>
  <r>
    <x v="0"/>
    <x v="3"/>
    <n v="7"/>
    <n v="6.7"/>
    <n v="7"/>
    <x v="0"/>
    <s v="SP 25.1.4"/>
    <n v="6"/>
    <n v="43.880597014925371"/>
    <m/>
    <x v="0"/>
  </r>
  <r>
    <x v="0"/>
    <x v="3"/>
    <n v="7"/>
    <n v="6.7"/>
    <n v="7"/>
    <x v="0"/>
    <s v="SP 25.1.5"/>
    <n v="8"/>
    <n v="58.507462686567166"/>
    <m/>
    <x v="0"/>
  </r>
  <r>
    <x v="0"/>
    <x v="3"/>
    <n v="7"/>
    <n v="6.7"/>
    <n v="7"/>
    <x v="0"/>
    <s v="SP 25.1.6"/>
    <n v="3"/>
    <n v="21.940298507462686"/>
    <m/>
    <x v="0"/>
  </r>
  <r>
    <x v="0"/>
    <x v="3"/>
    <n v="8"/>
    <n v="6.3"/>
    <n v="7"/>
    <x v="1"/>
    <s v="SP 25.2.1"/>
    <n v="6"/>
    <n v="53.333333333333336"/>
    <m/>
    <x v="0"/>
  </r>
  <r>
    <x v="0"/>
    <x v="3"/>
    <n v="8"/>
    <n v="6.3"/>
    <n v="7"/>
    <x v="1"/>
    <s v="SP 25.2.2"/>
    <n v="7"/>
    <n v="62.222222222222221"/>
    <m/>
    <x v="0"/>
  </r>
  <r>
    <x v="0"/>
    <x v="3"/>
    <n v="8"/>
    <n v="6.3"/>
    <n v="7"/>
    <x v="1"/>
    <s v="SP 25.2.3"/>
    <n v="8"/>
    <n v="71.111111111111114"/>
    <m/>
    <x v="0"/>
  </r>
  <r>
    <x v="0"/>
    <x v="3"/>
    <n v="8"/>
    <n v="6.3"/>
    <n v="7"/>
    <x v="1"/>
    <s v="SP 25.2.4"/>
    <n v="8"/>
    <n v="71.111111111111114"/>
    <m/>
    <x v="0"/>
  </r>
  <r>
    <x v="0"/>
    <x v="3"/>
    <n v="8"/>
    <n v="6.3"/>
    <n v="7"/>
    <x v="1"/>
    <s v="SP 25.2.5"/>
    <n v="7"/>
    <n v="62.222222222222221"/>
    <m/>
    <x v="0"/>
  </r>
  <r>
    <x v="0"/>
    <x v="3"/>
    <n v="8"/>
    <n v="6.3"/>
    <n v="7"/>
    <x v="1"/>
    <s v="SP 25.2.6"/>
    <n v="3"/>
    <n v="26.666666666666668"/>
    <m/>
    <x v="0"/>
  </r>
  <r>
    <x v="1"/>
    <x v="3"/>
    <n v="7"/>
    <n v="5.9"/>
    <n v="7"/>
    <x v="2"/>
    <s v="SP 25.3.1"/>
    <n v="7"/>
    <n v="58.135593220338983"/>
    <m/>
    <x v="0"/>
  </r>
  <r>
    <x v="1"/>
    <x v="3"/>
    <n v="7"/>
    <n v="5.9"/>
    <n v="7"/>
    <x v="2"/>
    <s v="SP 25.3.2"/>
    <n v="8"/>
    <n v="66.440677966101688"/>
    <m/>
    <x v="0"/>
  </r>
  <r>
    <x v="1"/>
    <x v="3"/>
    <n v="7"/>
    <n v="5.9"/>
    <n v="7"/>
    <x v="2"/>
    <s v="SP 25.3.3"/>
    <n v="8"/>
    <n v="66.440677966101688"/>
    <m/>
    <x v="0"/>
  </r>
  <r>
    <x v="1"/>
    <x v="3"/>
    <n v="7"/>
    <n v="5.9"/>
    <n v="7"/>
    <x v="2"/>
    <s v="SP 25.3.4"/>
    <n v="13"/>
    <n v="107.96610169491525"/>
    <m/>
    <x v="0"/>
  </r>
  <r>
    <x v="1"/>
    <x v="3"/>
    <n v="7"/>
    <n v="5.9"/>
    <n v="7"/>
    <x v="2"/>
    <s v="SP 25.3.5"/>
    <n v="3"/>
    <n v="24.915254237288135"/>
    <m/>
    <x v="0"/>
  </r>
  <r>
    <x v="1"/>
    <x v="3"/>
    <n v="7"/>
    <n v="5.9"/>
    <n v="7"/>
    <x v="3"/>
    <s v="SP 25.4.1"/>
    <n v="13"/>
    <n v="107.96610169491525"/>
    <m/>
    <x v="0"/>
  </r>
  <r>
    <x v="1"/>
    <x v="3"/>
    <n v="7"/>
    <n v="5.9"/>
    <n v="7"/>
    <x v="3"/>
    <s v="SP 25.4.2"/>
    <n v="8"/>
    <n v="66.440677966101688"/>
    <m/>
    <x v="0"/>
  </r>
  <r>
    <x v="1"/>
    <x v="3"/>
    <n v="7"/>
    <n v="5.9"/>
    <n v="7"/>
    <x v="3"/>
    <s v="SP 25.4.3"/>
    <n v="8"/>
    <n v="66.440677966101688"/>
    <m/>
    <x v="0"/>
  </r>
  <r>
    <x v="1"/>
    <x v="3"/>
    <n v="7"/>
    <n v="5.9"/>
    <n v="7"/>
    <x v="3"/>
    <s v="SP 25.4.4"/>
    <n v="7"/>
    <n v="58.135593220338983"/>
    <m/>
    <x v="0"/>
  </r>
  <r>
    <x v="1"/>
    <x v="3"/>
    <n v="7"/>
    <n v="5.9"/>
    <n v="7"/>
    <x v="3"/>
    <s v="SP 25.4.5"/>
    <n v="8"/>
    <n v="66.440677966101688"/>
    <m/>
    <x v="0"/>
  </r>
  <r>
    <x v="1"/>
    <x v="3"/>
    <n v="7"/>
    <n v="5.9"/>
    <n v="7"/>
    <x v="3"/>
    <s v="SP 25.4.6"/>
    <n v="8"/>
    <n v="66.440677966101688"/>
    <m/>
    <x v="0"/>
  </r>
  <r>
    <x v="0"/>
    <x v="4"/>
    <n v="6"/>
    <n v="7"/>
    <n v="7"/>
    <x v="0"/>
    <s v="SP 25.1.1"/>
    <n v="7"/>
    <n v="42"/>
    <m/>
    <x v="0"/>
  </r>
  <r>
    <x v="0"/>
    <x v="4"/>
    <n v="6"/>
    <n v="7"/>
    <n v="7"/>
    <x v="0"/>
    <s v="SP 25.1.2"/>
    <n v="8"/>
    <n v="48"/>
    <m/>
    <x v="0"/>
  </r>
  <r>
    <x v="0"/>
    <x v="4"/>
    <n v="6"/>
    <n v="7"/>
    <n v="7"/>
    <x v="0"/>
    <s v="SP 25.1.3"/>
    <n v="8"/>
    <n v="48"/>
    <m/>
    <x v="0"/>
  </r>
  <r>
    <x v="0"/>
    <x v="4"/>
    <n v="6"/>
    <n v="7"/>
    <n v="7"/>
    <x v="0"/>
    <s v="SP 25.1.4"/>
    <n v="6"/>
    <n v="36"/>
    <m/>
    <x v="0"/>
  </r>
  <r>
    <x v="0"/>
    <x v="4"/>
    <n v="6"/>
    <n v="7"/>
    <n v="7"/>
    <x v="0"/>
    <s v="SP 25.1.5"/>
    <n v="8"/>
    <n v="48"/>
    <m/>
    <x v="0"/>
  </r>
  <r>
    <x v="0"/>
    <x v="4"/>
    <n v="6"/>
    <n v="7"/>
    <n v="7"/>
    <x v="0"/>
    <s v="SP 25.1.6"/>
    <n v="3"/>
    <n v="18"/>
    <m/>
    <x v="0"/>
  </r>
  <r>
    <x v="0"/>
    <x v="4"/>
    <n v="6"/>
    <n v="8"/>
    <n v="7"/>
    <x v="1"/>
    <s v="SP 25.2.1"/>
    <n v="6"/>
    <n v="31.5"/>
    <m/>
    <x v="0"/>
  </r>
  <r>
    <x v="0"/>
    <x v="4"/>
    <n v="6"/>
    <n v="8"/>
    <n v="7"/>
    <x v="1"/>
    <s v="SP 25.2.2"/>
    <n v="7"/>
    <n v="36.75"/>
    <m/>
    <x v="0"/>
  </r>
  <r>
    <x v="0"/>
    <x v="4"/>
    <n v="6"/>
    <n v="8"/>
    <n v="7"/>
    <x v="1"/>
    <s v="SP 25.2.3"/>
    <n v="8"/>
    <n v="42"/>
    <m/>
    <x v="0"/>
  </r>
  <r>
    <x v="0"/>
    <x v="4"/>
    <n v="6"/>
    <n v="8"/>
    <n v="7"/>
    <x v="1"/>
    <s v="SP 25.2.4"/>
    <n v="8"/>
    <n v="42"/>
    <m/>
    <x v="0"/>
  </r>
  <r>
    <x v="0"/>
    <x v="4"/>
    <n v="6"/>
    <n v="8"/>
    <n v="7"/>
    <x v="1"/>
    <s v="SP 25.2.5"/>
    <n v="7"/>
    <n v="36.75"/>
    <m/>
    <x v="0"/>
  </r>
  <r>
    <x v="0"/>
    <x v="4"/>
    <n v="6"/>
    <n v="8"/>
    <n v="7"/>
    <x v="1"/>
    <s v="SP 25.2.6"/>
    <n v="3"/>
    <n v="15.75"/>
    <m/>
    <x v="0"/>
  </r>
  <r>
    <x v="1"/>
    <x v="4"/>
    <n v="6"/>
    <n v="5"/>
    <n v="7"/>
    <x v="2"/>
    <s v="SP 25.3.1"/>
    <n v="7"/>
    <n v="58.8"/>
    <m/>
    <x v="0"/>
  </r>
  <r>
    <x v="1"/>
    <x v="4"/>
    <n v="6"/>
    <n v="5"/>
    <n v="7"/>
    <x v="2"/>
    <s v="SP 25.3.2"/>
    <n v="8"/>
    <n v="67.2"/>
    <m/>
    <x v="0"/>
  </r>
  <r>
    <x v="1"/>
    <x v="4"/>
    <n v="6"/>
    <n v="5"/>
    <n v="7"/>
    <x v="2"/>
    <s v="SP 25.3.3"/>
    <n v="8"/>
    <n v="67.2"/>
    <m/>
    <x v="0"/>
  </r>
  <r>
    <x v="1"/>
    <x v="4"/>
    <n v="6"/>
    <n v="5"/>
    <n v="7"/>
    <x v="2"/>
    <s v="SP 25.3.4"/>
    <n v="13"/>
    <n v="109.2"/>
    <m/>
    <x v="0"/>
  </r>
  <r>
    <x v="1"/>
    <x v="4"/>
    <n v="6"/>
    <n v="5"/>
    <n v="7"/>
    <x v="2"/>
    <s v="SP 25.3.5"/>
    <n v="3"/>
    <n v="25.2"/>
    <m/>
    <x v="0"/>
  </r>
  <r>
    <x v="1"/>
    <x v="4"/>
    <n v="6"/>
    <n v="6"/>
    <n v="6"/>
    <x v="3"/>
    <s v="SP 25.4.1"/>
    <n v="13"/>
    <n v="78"/>
    <m/>
    <x v="0"/>
  </r>
  <r>
    <x v="1"/>
    <x v="4"/>
    <n v="6"/>
    <n v="6"/>
    <n v="6"/>
    <x v="3"/>
    <s v="SP 25.4.2"/>
    <n v="8"/>
    <n v="48"/>
    <m/>
    <x v="0"/>
  </r>
  <r>
    <x v="1"/>
    <x v="4"/>
    <n v="6"/>
    <n v="6"/>
    <n v="6"/>
    <x v="3"/>
    <s v="SP 25.4.3"/>
    <n v="8"/>
    <n v="48"/>
    <m/>
    <x v="0"/>
  </r>
  <r>
    <x v="1"/>
    <x v="4"/>
    <n v="6"/>
    <n v="6"/>
    <n v="6"/>
    <x v="3"/>
    <s v="SP 25.4.4"/>
    <n v="7"/>
    <n v="42"/>
    <m/>
    <x v="0"/>
  </r>
  <r>
    <x v="1"/>
    <x v="4"/>
    <n v="6"/>
    <n v="6"/>
    <n v="6"/>
    <x v="3"/>
    <s v="SP 25.4.5"/>
    <n v="8"/>
    <n v="48"/>
    <m/>
    <x v="0"/>
  </r>
  <r>
    <x v="1"/>
    <x v="4"/>
    <n v="6"/>
    <n v="6"/>
    <n v="6"/>
    <x v="3"/>
    <s v="SP 25.4.6"/>
    <n v="8"/>
    <n v="48"/>
    <m/>
    <x v="0"/>
  </r>
  <r>
    <x v="1"/>
    <x v="4"/>
    <n v="6"/>
    <n v="6"/>
    <n v="6"/>
    <x v="3"/>
    <s v="SP 25.4.6"/>
    <n v="8"/>
    <n v="48"/>
    <m/>
    <x v="0"/>
  </r>
  <r>
    <x v="0"/>
    <x v="5"/>
    <n v="6"/>
    <n v="7"/>
    <n v="7"/>
    <x v="0"/>
    <s v="SP 25.1.1"/>
    <n v="7"/>
    <n v="42"/>
    <m/>
    <x v="0"/>
  </r>
  <r>
    <x v="0"/>
    <x v="5"/>
    <n v="6"/>
    <n v="7"/>
    <n v="7"/>
    <x v="0"/>
    <s v="SP 25.1.2"/>
    <n v="8"/>
    <n v="48"/>
    <m/>
    <x v="0"/>
  </r>
  <r>
    <x v="0"/>
    <x v="5"/>
    <n v="6"/>
    <n v="7"/>
    <n v="7"/>
    <x v="0"/>
    <s v="SP 25.1.3"/>
    <n v="8"/>
    <n v="48"/>
    <m/>
    <x v="0"/>
  </r>
  <r>
    <x v="0"/>
    <x v="5"/>
    <n v="6"/>
    <n v="7"/>
    <n v="7"/>
    <x v="0"/>
    <s v="SP 25.1.4"/>
    <n v="6"/>
    <n v="36"/>
    <m/>
    <x v="0"/>
  </r>
  <r>
    <x v="0"/>
    <x v="5"/>
    <n v="6"/>
    <n v="7"/>
    <n v="7"/>
    <x v="0"/>
    <s v="SP 25.1.5"/>
    <n v="8"/>
    <n v="48"/>
    <m/>
    <x v="0"/>
  </r>
  <r>
    <x v="0"/>
    <x v="5"/>
    <n v="6"/>
    <n v="7"/>
    <n v="7"/>
    <x v="0"/>
    <s v="SP 25.1.6"/>
    <n v="3"/>
    <n v="18"/>
    <m/>
    <x v="0"/>
  </r>
  <r>
    <x v="0"/>
    <x v="5"/>
    <n v="6"/>
    <n v="6"/>
    <n v="7"/>
    <x v="1"/>
    <s v="SP 25.2.1"/>
    <n v="6"/>
    <n v="42"/>
    <m/>
    <x v="0"/>
  </r>
  <r>
    <x v="0"/>
    <x v="5"/>
    <n v="6"/>
    <n v="6"/>
    <n v="7"/>
    <x v="1"/>
    <s v="SP 25.2.2"/>
    <n v="7"/>
    <n v="49"/>
    <m/>
    <x v="0"/>
  </r>
  <r>
    <x v="0"/>
    <x v="5"/>
    <n v="6"/>
    <n v="6"/>
    <n v="7"/>
    <x v="1"/>
    <s v="SP 25.2.3"/>
    <n v="8"/>
    <n v="56"/>
    <m/>
    <x v="0"/>
  </r>
  <r>
    <x v="0"/>
    <x v="5"/>
    <n v="6"/>
    <n v="6"/>
    <n v="7"/>
    <x v="1"/>
    <s v="SP 25.2.4"/>
    <n v="8"/>
    <n v="56"/>
    <m/>
    <x v="0"/>
  </r>
  <r>
    <x v="0"/>
    <x v="5"/>
    <n v="6"/>
    <n v="6"/>
    <n v="7"/>
    <x v="1"/>
    <s v="SP 25.2.5"/>
    <n v="7"/>
    <n v="49"/>
    <m/>
    <x v="0"/>
  </r>
  <r>
    <x v="0"/>
    <x v="5"/>
    <n v="6"/>
    <n v="6"/>
    <n v="7"/>
    <x v="1"/>
    <s v="SP 25.2.6"/>
    <n v="3"/>
    <n v="21"/>
    <m/>
    <x v="0"/>
  </r>
  <r>
    <x v="2"/>
    <x v="5"/>
    <n v="6"/>
    <n v="4.4000000000000004"/>
    <n v="7"/>
    <x v="2"/>
    <s v="SP 25.3.1"/>
    <n v="7"/>
    <n v="66.818181818181813"/>
    <m/>
    <x v="0"/>
  </r>
  <r>
    <x v="2"/>
    <x v="5"/>
    <n v="6"/>
    <n v="4.4000000000000004"/>
    <n v="7"/>
    <x v="2"/>
    <s v="SP 25.3.2"/>
    <n v="8"/>
    <n v="76.36363636363636"/>
    <m/>
    <x v="0"/>
  </r>
  <r>
    <x v="2"/>
    <x v="5"/>
    <n v="6"/>
    <n v="4.4000000000000004"/>
    <n v="7"/>
    <x v="2"/>
    <s v="SP 25.3.3"/>
    <n v="8"/>
    <n v="76.36363636363636"/>
    <m/>
    <x v="0"/>
  </r>
  <r>
    <x v="2"/>
    <x v="5"/>
    <n v="6"/>
    <n v="4.4000000000000004"/>
    <n v="7"/>
    <x v="2"/>
    <s v="SP 25.3.4"/>
    <n v="13"/>
    <n v="124.09090909090908"/>
    <m/>
    <x v="0"/>
  </r>
  <r>
    <x v="2"/>
    <x v="5"/>
    <n v="6"/>
    <n v="4.4000000000000004"/>
    <n v="7"/>
    <x v="2"/>
    <s v="SP 25.3.5"/>
    <n v="3"/>
    <n v="28.636363636363633"/>
    <m/>
    <x v="0"/>
  </r>
  <r>
    <x v="2"/>
    <x v="5"/>
    <n v="4"/>
    <n v="4.4000000000000004"/>
    <n v="6"/>
    <x v="3"/>
    <s v="SP 25.4.1"/>
    <n v="13"/>
    <n v="70.909090909090907"/>
    <m/>
    <x v="0"/>
  </r>
  <r>
    <x v="2"/>
    <x v="5"/>
    <n v="4"/>
    <n v="4.4000000000000004"/>
    <n v="6"/>
    <x v="3"/>
    <s v="SP 25.4.2"/>
    <n v="8"/>
    <n v="43.636363636363633"/>
    <m/>
    <x v="0"/>
  </r>
  <r>
    <x v="2"/>
    <x v="5"/>
    <n v="4"/>
    <n v="4.4000000000000004"/>
    <n v="6"/>
    <x v="3"/>
    <s v="SP 25.4.3"/>
    <n v="8"/>
    <n v="43.636363636363633"/>
    <m/>
    <x v="0"/>
  </r>
  <r>
    <x v="2"/>
    <x v="5"/>
    <n v="4"/>
    <n v="4.4000000000000004"/>
    <n v="6"/>
    <x v="3"/>
    <s v="SP 25.4.4"/>
    <n v="7"/>
    <n v="38.18181818181818"/>
    <m/>
    <x v="0"/>
  </r>
  <r>
    <x v="2"/>
    <x v="5"/>
    <n v="4"/>
    <n v="4.4000000000000004"/>
    <n v="6"/>
    <x v="3"/>
    <s v="SP 25.4.5"/>
    <n v="8"/>
    <n v="43.636363636363633"/>
    <m/>
    <x v="0"/>
  </r>
  <r>
    <x v="2"/>
    <x v="5"/>
    <n v="4"/>
    <n v="4.4000000000000004"/>
    <n v="6"/>
    <x v="3"/>
    <s v="SP 25.4.6"/>
    <n v="8"/>
    <n v="43.636363636363633"/>
    <m/>
    <x v="0"/>
  </r>
  <r>
    <x v="0"/>
    <x v="6"/>
    <n v="6"/>
    <n v="7"/>
    <n v="7"/>
    <x v="0"/>
    <s v="SP 25.1.1"/>
    <n v="7"/>
    <n v="42"/>
    <m/>
    <x v="0"/>
  </r>
  <r>
    <x v="0"/>
    <x v="6"/>
    <n v="6"/>
    <n v="7"/>
    <n v="7"/>
    <x v="0"/>
    <s v="SP 25.1.2"/>
    <n v="8"/>
    <n v="48"/>
    <m/>
    <x v="0"/>
  </r>
  <r>
    <x v="0"/>
    <x v="6"/>
    <n v="6"/>
    <n v="7"/>
    <n v="7"/>
    <x v="0"/>
    <s v="SP 25.1.3"/>
    <n v="8"/>
    <n v="48"/>
    <m/>
    <x v="0"/>
  </r>
  <r>
    <x v="0"/>
    <x v="6"/>
    <n v="6"/>
    <n v="7"/>
    <n v="7"/>
    <x v="0"/>
    <s v="SP 25.1.4"/>
    <n v="6"/>
    <n v="36"/>
    <m/>
    <x v="0"/>
  </r>
  <r>
    <x v="0"/>
    <x v="6"/>
    <n v="6"/>
    <n v="7"/>
    <n v="7"/>
    <x v="0"/>
    <s v="SP 25.1.5"/>
    <n v="8"/>
    <n v="48"/>
    <m/>
    <x v="0"/>
  </r>
  <r>
    <x v="0"/>
    <x v="6"/>
    <n v="6"/>
    <n v="7"/>
    <n v="7"/>
    <x v="0"/>
    <s v="SP 25.1.6"/>
    <n v="3"/>
    <n v="18"/>
    <m/>
    <x v="0"/>
  </r>
  <r>
    <x v="0"/>
    <x v="6"/>
    <n v="6"/>
    <n v="5"/>
    <n v="7"/>
    <x v="1"/>
    <s v="SP 25.2.1"/>
    <n v="6"/>
    <n v="50.4"/>
    <m/>
    <x v="0"/>
  </r>
  <r>
    <x v="0"/>
    <x v="6"/>
    <n v="6"/>
    <n v="5"/>
    <n v="7"/>
    <x v="1"/>
    <s v="SP 25.2.2"/>
    <n v="7"/>
    <n v="58.8"/>
    <m/>
    <x v="0"/>
  </r>
  <r>
    <x v="0"/>
    <x v="6"/>
    <n v="6"/>
    <n v="5"/>
    <n v="7"/>
    <x v="1"/>
    <s v="SP 25.2.3"/>
    <n v="8"/>
    <n v="67.2"/>
    <m/>
    <x v="0"/>
  </r>
  <r>
    <x v="0"/>
    <x v="6"/>
    <n v="6"/>
    <n v="5"/>
    <n v="7"/>
    <x v="1"/>
    <s v="SP 25.2.4"/>
    <n v="8"/>
    <n v="67.2"/>
    <m/>
    <x v="0"/>
  </r>
  <r>
    <x v="0"/>
    <x v="6"/>
    <n v="6"/>
    <n v="5"/>
    <n v="7"/>
    <x v="1"/>
    <s v="SP 25.2.5"/>
    <n v="7"/>
    <n v="58.8"/>
    <m/>
    <x v="0"/>
  </r>
  <r>
    <x v="0"/>
    <x v="6"/>
    <n v="6"/>
    <n v="5"/>
    <n v="7"/>
    <x v="1"/>
    <s v="SP 25.2.6"/>
    <n v="3"/>
    <n v="25.2"/>
    <m/>
    <x v="0"/>
  </r>
  <r>
    <x v="2"/>
    <x v="6"/>
    <n v="7"/>
    <n v="6"/>
    <n v="7"/>
    <x v="2"/>
    <s v="SP 25.3.1"/>
    <n v="7"/>
    <n v="57.166666666666664"/>
    <m/>
    <x v="0"/>
  </r>
  <r>
    <x v="2"/>
    <x v="6"/>
    <n v="7"/>
    <n v="6"/>
    <n v="7"/>
    <x v="2"/>
    <s v="SP 25.3.2"/>
    <n v="8"/>
    <n v="65.333333333333329"/>
    <m/>
    <x v="0"/>
  </r>
  <r>
    <x v="2"/>
    <x v="6"/>
    <n v="7"/>
    <n v="6"/>
    <n v="7"/>
    <x v="2"/>
    <s v="SP 25.3.3"/>
    <n v="8"/>
    <n v="65.333333333333329"/>
    <m/>
    <x v="0"/>
  </r>
  <r>
    <x v="2"/>
    <x v="6"/>
    <n v="7"/>
    <n v="6"/>
    <n v="7"/>
    <x v="2"/>
    <s v="SP 25.3.4"/>
    <n v="13"/>
    <n v="106.16666666666667"/>
    <m/>
    <x v="0"/>
  </r>
  <r>
    <x v="2"/>
    <x v="6"/>
    <n v="7"/>
    <n v="6"/>
    <n v="7"/>
    <x v="2"/>
    <s v="SP 25.3.5"/>
    <n v="3"/>
    <n v="24.5"/>
    <m/>
    <x v="0"/>
  </r>
  <r>
    <x v="2"/>
    <x v="6"/>
    <n v="7"/>
    <n v="6"/>
    <n v="6"/>
    <x v="3"/>
    <s v="SP 25.4.1"/>
    <n v="13"/>
    <n v="91"/>
    <m/>
    <x v="0"/>
  </r>
  <r>
    <x v="2"/>
    <x v="6"/>
    <n v="7"/>
    <n v="6"/>
    <n v="6"/>
    <x v="3"/>
    <s v="SP 25.4.2"/>
    <n v="8"/>
    <n v="56"/>
    <m/>
    <x v="0"/>
  </r>
  <r>
    <x v="2"/>
    <x v="6"/>
    <n v="7"/>
    <n v="6"/>
    <n v="6"/>
    <x v="3"/>
    <s v="SP 25.4.3"/>
    <n v="8"/>
    <n v="56"/>
    <m/>
    <x v="0"/>
  </r>
  <r>
    <x v="2"/>
    <x v="6"/>
    <n v="7"/>
    <n v="6"/>
    <n v="6"/>
    <x v="3"/>
    <s v="SP 25.4.4"/>
    <n v="7"/>
    <n v="49"/>
    <m/>
    <x v="0"/>
  </r>
  <r>
    <x v="2"/>
    <x v="6"/>
    <n v="7"/>
    <n v="6"/>
    <n v="6"/>
    <x v="3"/>
    <s v="SP 25.4.5"/>
    <n v="8"/>
    <n v="56"/>
    <m/>
    <x v="0"/>
  </r>
  <r>
    <x v="2"/>
    <x v="6"/>
    <n v="7"/>
    <n v="6"/>
    <n v="6"/>
    <x v="3"/>
    <s v="SP 25.4.6"/>
    <n v="8"/>
    <n v="56"/>
    <m/>
    <x v="0"/>
  </r>
  <r>
    <x v="0"/>
    <x v="7"/>
    <n v="6"/>
    <n v="7"/>
    <n v="7"/>
    <x v="0"/>
    <s v="SP 25.1.1"/>
    <n v="7"/>
    <n v="42"/>
    <m/>
    <x v="0"/>
  </r>
  <r>
    <x v="0"/>
    <x v="7"/>
    <n v="6"/>
    <n v="7"/>
    <n v="7"/>
    <x v="0"/>
    <s v="SP 25.1.2"/>
    <n v="8"/>
    <n v="48"/>
    <m/>
    <x v="0"/>
  </r>
  <r>
    <x v="0"/>
    <x v="7"/>
    <n v="6"/>
    <n v="7"/>
    <n v="7"/>
    <x v="0"/>
    <s v="SP 25.1.3"/>
    <n v="8"/>
    <n v="48"/>
    <m/>
    <x v="0"/>
  </r>
  <r>
    <x v="0"/>
    <x v="7"/>
    <n v="6"/>
    <n v="7"/>
    <n v="7"/>
    <x v="0"/>
    <s v="SP 25.1.4"/>
    <n v="6"/>
    <n v="36"/>
    <m/>
    <x v="0"/>
  </r>
  <r>
    <x v="0"/>
    <x v="7"/>
    <n v="6"/>
    <n v="7"/>
    <n v="7"/>
    <x v="0"/>
    <s v="SP 25.1.5"/>
    <n v="8"/>
    <n v="48"/>
    <m/>
    <x v="0"/>
  </r>
  <r>
    <x v="0"/>
    <x v="7"/>
    <n v="6"/>
    <n v="7"/>
    <n v="7"/>
    <x v="0"/>
    <s v="SP 25.1.6"/>
    <n v="3"/>
    <n v="18"/>
    <m/>
    <x v="0"/>
  </r>
  <r>
    <x v="0"/>
    <x v="7"/>
    <n v="5"/>
    <n v="7"/>
    <n v="7"/>
    <x v="1"/>
    <s v="SP 25.2.1"/>
    <n v="6"/>
    <n v="30"/>
    <m/>
    <x v="0"/>
  </r>
  <r>
    <x v="0"/>
    <x v="7"/>
    <n v="5"/>
    <n v="7"/>
    <n v="7"/>
    <x v="1"/>
    <s v="SP 25.2.2"/>
    <n v="7"/>
    <n v="35"/>
    <m/>
    <x v="0"/>
  </r>
  <r>
    <x v="0"/>
    <x v="7"/>
    <n v="5"/>
    <n v="7"/>
    <n v="7"/>
    <x v="1"/>
    <s v="SP 25.2.3"/>
    <n v="8"/>
    <n v="40"/>
    <m/>
    <x v="0"/>
  </r>
  <r>
    <x v="0"/>
    <x v="7"/>
    <n v="5"/>
    <n v="7"/>
    <n v="7"/>
    <x v="1"/>
    <s v="SP 25.2.4"/>
    <n v="8"/>
    <n v="40"/>
    <m/>
    <x v="0"/>
  </r>
  <r>
    <x v="0"/>
    <x v="7"/>
    <n v="5"/>
    <n v="7"/>
    <n v="7"/>
    <x v="1"/>
    <s v="SP 25.2.5"/>
    <n v="7"/>
    <n v="35"/>
    <m/>
    <x v="0"/>
  </r>
  <r>
    <x v="0"/>
    <x v="7"/>
    <n v="5"/>
    <n v="7"/>
    <n v="7"/>
    <x v="1"/>
    <s v="SP 25.2.6"/>
    <n v="3"/>
    <n v="15"/>
    <m/>
    <x v="0"/>
  </r>
  <r>
    <x v="2"/>
    <x v="7"/>
    <n v="8"/>
    <n v="7"/>
    <n v="7"/>
    <x v="2"/>
    <s v="SP 25.3.1"/>
    <n v="7"/>
    <n v="56"/>
    <m/>
    <x v="0"/>
  </r>
  <r>
    <x v="2"/>
    <x v="7"/>
    <n v="8"/>
    <n v="7"/>
    <n v="7"/>
    <x v="2"/>
    <s v="SP 25.3.2"/>
    <n v="8"/>
    <n v="64"/>
    <m/>
    <x v="0"/>
  </r>
  <r>
    <x v="2"/>
    <x v="7"/>
    <n v="8"/>
    <n v="7"/>
    <n v="7"/>
    <x v="2"/>
    <s v="SP 25.3.3"/>
    <n v="8"/>
    <n v="64"/>
    <m/>
    <x v="0"/>
  </r>
  <r>
    <x v="2"/>
    <x v="7"/>
    <n v="8"/>
    <n v="7"/>
    <n v="7"/>
    <x v="2"/>
    <s v="SP 25.3.4"/>
    <n v="13"/>
    <n v="104"/>
    <m/>
    <x v="0"/>
  </r>
  <r>
    <x v="2"/>
    <x v="7"/>
    <n v="8"/>
    <n v="7"/>
    <n v="7"/>
    <x v="2"/>
    <s v="SP 25.3.5"/>
    <n v="3"/>
    <n v="24"/>
    <m/>
    <x v="0"/>
  </r>
  <r>
    <x v="2"/>
    <x v="7"/>
    <n v="8"/>
    <n v="7"/>
    <n v="6"/>
    <x v="3"/>
    <s v="SP 25.4.1"/>
    <n v="13"/>
    <n v="89.142857142857139"/>
    <m/>
    <x v="0"/>
  </r>
  <r>
    <x v="2"/>
    <x v="7"/>
    <n v="8"/>
    <n v="7"/>
    <n v="6"/>
    <x v="3"/>
    <s v="SP 25.4.2"/>
    <n v="8"/>
    <n v="54.857142857142854"/>
    <m/>
    <x v="0"/>
  </r>
  <r>
    <x v="2"/>
    <x v="7"/>
    <n v="8"/>
    <n v="7"/>
    <n v="6"/>
    <x v="3"/>
    <s v="SP 25.4.3"/>
    <n v="8"/>
    <n v="54.857142857142854"/>
    <m/>
    <x v="0"/>
  </r>
  <r>
    <x v="2"/>
    <x v="7"/>
    <n v="8"/>
    <n v="7"/>
    <n v="6"/>
    <x v="3"/>
    <s v="SP 25.4.4"/>
    <n v="7"/>
    <n v="48"/>
    <m/>
    <x v="0"/>
  </r>
  <r>
    <x v="2"/>
    <x v="7"/>
    <n v="8"/>
    <n v="7"/>
    <n v="6"/>
    <x v="3"/>
    <s v="SP 25.4.5"/>
    <n v="8"/>
    <n v="54.857142857142854"/>
    <m/>
    <x v="0"/>
  </r>
  <r>
    <x v="2"/>
    <x v="7"/>
    <n v="8"/>
    <n v="7"/>
    <n v="6"/>
    <x v="3"/>
    <s v="SP 25.4.6"/>
    <n v="8"/>
    <n v="54.857142857142854"/>
    <m/>
    <x v="0"/>
  </r>
  <r>
    <x v="2"/>
    <x v="7"/>
    <n v="8"/>
    <n v="7"/>
    <n v="6"/>
    <x v="3"/>
    <s v="SP 25.4.6"/>
    <n v="8"/>
    <n v="54.857142857142854"/>
    <m/>
    <x v="0"/>
  </r>
  <r>
    <x v="0"/>
    <x v="8"/>
    <n v="7"/>
    <n v="6.4"/>
    <n v="7"/>
    <x v="0"/>
    <s v="SP 25.1.1"/>
    <n v="7"/>
    <n v="53.59375"/>
    <m/>
    <x v="0"/>
  </r>
  <r>
    <x v="0"/>
    <x v="8"/>
    <n v="7"/>
    <n v="6.4"/>
    <n v="7"/>
    <x v="0"/>
    <s v="SP 25.1.2"/>
    <n v="8"/>
    <n v="61.25"/>
    <m/>
    <x v="0"/>
  </r>
  <r>
    <x v="0"/>
    <x v="8"/>
    <n v="7"/>
    <n v="6.4"/>
    <n v="7"/>
    <x v="0"/>
    <s v="SP 25.1.3"/>
    <n v="8"/>
    <n v="61.25"/>
    <m/>
    <x v="0"/>
  </r>
  <r>
    <x v="0"/>
    <x v="8"/>
    <n v="7"/>
    <n v="6.4"/>
    <n v="7"/>
    <x v="0"/>
    <s v="SP 25.1.4"/>
    <n v="6"/>
    <n v="45.9375"/>
    <m/>
    <x v="0"/>
  </r>
  <r>
    <x v="0"/>
    <x v="8"/>
    <n v="7"/>
    <n v="6.4"/>
    <n v="7"/>
    <x v="0"/>
    <s v="SP 25.1.5"/>
    <n v="8"/>
    <n v="61.25"/>
    <m/>
    <x v="0"/>
  </r>
  <r>
    <x v="0"/>
    <x v="8"/>
    <n v="7"/>
    <n v="6.4"/>
    <n v="7"/>
    <x v="0"/>
    <s v="SP 25.1.6"/>
    <n v="3"/>
    <n v="22.96875"/>
    <m/>
    <x v="0"/>
  </r>
  <r>
    <x v="0"/>
    <x v="8"/>
    <n v="6"/>
    <n v="5.6"/>
    <n v="7"/>
    <x v="1"/>
    <s v="SP 25.2.1"/>
    <n v="6"/>
    <n v="45"/>
    <m/>
    <x v="0"/>
  </r>
  <r>
    <x v="0"/>
    <x v="8"/>
    <n v="6"/>
    <n v="5.6"/>
    <n v="7"/>
    <x v="1"/>
    <s v="SP 25.2.2"/>
    <n v="7"/>
    <n v="52.5"/>
    <m/>
    <x v="0"/>
  </r>
  <r>
    <x v="0"/>
    <x v="8"/>
    <n v="6"/>
    <n v="5.6"/>
    <n v="7"/>
    <x v="1"/>
    <s v="SP 25.2.3"/>
    <n v="8"/>
    <n v="60.000000000000007"/>
    <m/>
    <x v="0"/>
  </r>
  <r>
    <x v="0"/>
    <x v="8"/>
    <n v="6"/>
    <n v="5.6"/>
    <n v="7"/>
    <x v="1"/>
    <s v="SP 25.2.4"/>
    <n v="8"/>
    <n v="60.000000000000007"/>
    <m/>
    <x v="0"/>
  </r>
  <r>
    <x v="0"/>
    <x v="8"/>
    <n v="6"/>
    <n v="5.6"/>
    <n v="7"/>
    <x v="1"/>
    <s v="SP 25.2.5"/>
    <n v="7"/>
    <n v="52.5"/>
    <m/>
    <x v="0"/>
  </r>
  <r>
    <x v="0"/>
    <x v="8"/>
    <n v="6"/>
    <n v="5.6"/>
    <n v="7"/>
    <x v="1"/>
    <s v="SP 25.2.6"/>
    <n v="3"/>
    <n v="22.5"/>
    <m/>
    <x v="0"/>
  </r>
  <r>
    <x v="2"/>
    <x v="8"/>
    <n v="6"/>
    <n v="6"/>
    <n v="7"/>
    <x v="2"/>
    <s v="SP 25.3.1"/>
    <n v="7"/>
    <n v="49"/>
    <m/>
    <x v="0"/>
  </r>
  <r>
    <x v="2"/>
    <x v="8"/>
    <n v="6"/>
    <n v="6"/>
    <n v="7"/>
    <x v="2"/>
    <s v="SP 25.3.2"/>
    <n v="8"/>
    <n v="56"/>
    <m/>
    <x v="0"/>
  </r>
  <r>
    <x v="2"/>
    <x v="8"/>
    <n v="6"/>
    <n v="6"/>
    <n v="7"/>
    <x v="2"/>
    <s v="SP 25.3.3"/>
    <n v="8"/>
    <n v="56"/>
    <m/>
    <x v="0"/>
  </r>
  <r>
    <x v="2"/>
    <x v="8"/>
    <n v="6"/>
    <n v="6"/>
    <n v="7"/>
    <x v="2"/>
    <s v="SP 25.3.4"/>
    <n v="13"/>
    <n v="91"/>
    <m/>
    <x v="0"/>
  </r>
  <r>
    <x v="2"/>
    <x v="8"/>
    <n v="6"/>
    <n v="6"/>
    <n v="7"/>
    <x v="2"/>
    <s v="SP 25.3.5"/>
    <n v="3"/>
    <n v="21"/>
    <m/>
    <x v="0"/>
  </r>
  <r>
    <x v="2"/>
    <x v="8"/>
    <n v="6"/>
    <n v="6"/>
    <n v="7"/>
    <x v="3"/>
    <s v="SP 25.4.1"/>
    <n v="13"/>
    <n v="91"/>
    <m/>
    <x v="0"/>
  </r>
  <r>
    <x v="2"/>
    <x v="8"/>
    <n v="6"/>
    <n v="6"/>
    <n v="7"/>
    <x v="3"/>
    <s v="SP 25.4.2"/>
    <n v="8"/>
    <n v="56"/>
    <m/>
    <x v="0"/>
  </r>
  <r>
    <x v="2"/>
    <x v="8"/>
    <n v="6"/>
    <n v="6"/>
    <n v="7"/>
    <x v="3"/>
    <s v="SP 25.4.3"/>
    <n v="8"/>
    <n v="56"/>
    <m/>
    <x v="0"/>
  </r>
  <r>
    <x v="2"/>
    <x v="8"/>
    <n v="6"/>
    <n v="6"/>
    <n v="7"/>
    <x v="3"/>
    <s v="SP 25.4.4"/>
    <n v="7"/>
    <n v="49"/>
    <m/>
    <x v="0"/>
  </r>
  <r>
    <x v="2"/>
    <x v="8"/>
    <n v="6"/>
    <n v="6"/>
    <n v="7"/>
    <x v="3"/>
    <s v="SP 25.4.5"/>
    <n v="8"/>
    <n v="56"/>
    <m/>
    <x v="0"/>
  </r>
  <r>
    <x v="2"/>
    <x v="8"/>
    <n v="6"/>
    <n v="6"/>
    <n v="7"/>
    <x v="3"/>
    <s v="SP 25.4.6"/>
    <n v="8"/>
    <n v="56"/>
    <m/>
    <x v="0"/>
  </r>
  <r>
    <x v="0"/>
    <x v="9"/>
    <n v="4"/>
    <n v="6.7"/>
    <n v="7"/>
    <x v="0"/>
    <s v="SP 25.1.1"/>
    <n v="7"/>
    <n v="29.253731343283583"/>
    <m/>
    <x v="0"/>
  </r>
  <r>
    <x v="0"/>
    <x v="9"/>
    <n v="4"/>
    <n v="6.7"/>
    <n v="7"/>
    <x v="0"/>
    <s v="SP 25.1.2"/>
    <n v="8"/>
    <n v="33.432835820895519"/>
    <m/>
    <x v="0"/>
  </r>
  <r>
    <x v="0"/>
    <x v="9"/>
    <n v="4"/>
    <n v="6.7"/>
    <n v="7"/>
    <x v="0"/>
    <s v="SP 25.1.3"/>
    <n v="8"/>
    <n v="33.432835820895519"/>
    <m/>
    <x v="0"/>
  </r>
  <r>
    <x v="0"/>
    <x v="9"/>
    <n v="4"/>
    <n v="6.7"/>
    <n v="7"/>
    <x v="0"/>
    <s v="SP 25.1.4"/>
    <n v="6"/>
    <n v="25.07462686567164"/>
    <m/>
    <x v="0"/>
  </r>
  <r>
    <x v="0"/>
    <x v="9"/>
    <n v="4"/>
    <n v="6.7"/>
    <n v="7"/>
    <x v="0"/>
    <s v="SP 25.1.5"/>
    <n v="8"/>
    <n v="33.432835820895519"/>
    <m/>
    <x v="0"/>
  </r>
  <r>
    <x v="0"/>
    <x v="9"/>
    <n v="4"/>
    <n v="6.7"/>
    <n v="7"/>
    <x v="0"/>
    <s v="SP 25.1.6"/>
    <n v="3"/>
    <n v="12.53731343283582"/>
    <m/>
    <x v="0"/>
  </r>
  <r>
    <x v="0"/>
    <x v="9"/>
    <n v="5"/>
    <n v="6.7"/>
    <n v="7"/>
    <x v="1"/>
    <s v="SP 25.2.1"/>
    <n v="6"/>
    <n v="31.343283582089551"/>
    <m/>
    <x v="0"/>
  </r>
  <r>
    <x v="0"/>
    <x v="9"/>
    <n v="5"/>
    <n v="6.7"/>
    <n v="7"/>
    <x v="1"/>
    <s v="SP 25.2.2"/>
    <n v="7"/>
    <n v="36.567164179104473"/>
    <m/>
    <x v="0"/>
  </r>
  <r>
    <x v="0"/>
    <x v="9"/>
    <n v="5"/>
    <n v="6.7"/>
    <n v="7"/>
    <x v="1"/>
    <s v="SP 25.2.3"/>
    <n v="8"/>
    <n v="41.791044776119399"/>
    <m/>
    <x v="0"/>
  </r>
  <r>
    <x v="0"/>
    <x v="9"/>
    <n v="5"/>
    <n v="6.7"/>
    <n v="7"/>
    <x v="1"/>
    <s v="SP 25.2.4"/>
    <n v="8"/>
    <n v="41.791044776119399"/>
    <m/>
    <x v="0"/>
  </r>
  <r>
    <x v="0"/>
    <x v="9"/>
    <n v="5"/>
    <n v="6.7"/>
    <n v="7"/>
    <x v="1"/>
    <s v="SP 25.2.5"/>
    <n v="7"/>
    <n v="36.567164179104473"/>
    <m/>
    <x v="0"/>
  </r>
  <r>
    <x v="0"/>
    <x v="9"/>
    <n v="5"/>
    <n v="6.7"/>
    <n v="7"/>
    <x v="1"/>
    <s v="SP 25.2.6"/>
    <n v="3"/>
    <n v="15.671641791044776"/>
    <m/>
    <x v="0"/>
  </r>
  <r>
    <x v="2"/>
    <x v="9"/>
    <n v="5"/>
    <n v="7"/>
    <n v="7"/>
    <x v="2"/>
    <s v="SP 25.3.1"/>
    <n v="7"/>
    <n v="35"/>
    <m/>
    <x v="0"/>
  </r>
  <r>
    <x v="2"/>
    <x v="9"/>
    <n v="5"/>
    <n v="7"/>
    <n v="7"/>
    <x v="2"/>
    <s v="SP 25.3.2"/>
    <n v="8"/>
    <n v="40"/>
    <m/>
    <x v="0"/>
  </r>
  <r>
    <x v="2"/>
    <x v="9"/>
    <n v="5"/>
    <n v="7"/>
    <n v="7"/>
    <x v="2"/>
    <s v="SP 25.3.3"/>
    <n v="8"/>
    <n v="40"/>
    <m/>
    <x v="0"/>
  </r>
  <r>
    <x v="2"/>
    <x v="9"/>
    <n v="5"/>
    <n v="7"/>
    <n v="7"/>
    <x v="2"/>
    <s v="SP 25.3.4"/>
    <n v="13"/>
    <n v="65"/>
    <m/>
    <x v="0"/>
  </r>
  <r>
    <x v="2"/>
    <x v="9"/>
    <n v="5"/>
    <n v="7"/>
    <n v="7"/>
    <x v="2"/>
    <s v="SP 25.3.5"/>
    <n v="3"/>
    <n v="15"/>
    <m/>
    <x v="0"/>
  </r>
  <r>
    <x v="2"/>
    <x v="9"/>
    <n v="5"/>
    <n v="7"/>
    <n v="7"/>
    <x v="3"/>
    <s v="SP 25.4.1"/>
    <n v="13"/>
    <n v="65"/>
    <m/>
    <x v="0"/>
  </r>
  <r>
    <x v="2"/>
    <x v="9"/>
    <n v="5"/>
    <n v="7"/>
    <n v="7"/>
    <x v="3"/>
    <s v="SP 25.4.2"/>
    <n v="8"/>
    <n v="40"/>
    <m/>
    <x v="0"/>
  </r>
  <r>
    <x v="2"/>
    <x v="9"/>
    <n v="5"/>
    <n v="7"/>
    <n v="7"/>
    <x v="3"/>
    <s v="SP 25.4.3"/>
    <n v="8"/>
    <n v="40"/>
    <m/>
    <x v="0"/>
  </r>
  <r>
    <x v="2"/>
    <x v="9"/>
    <n v="5"/>
    <n v="7"/>
    <n v="7"/>
    <x v="3"/>
    <s v="SP 25.4.4"/>
    <n v="7"/>
    <n v="35"/>
    <m/>
    <x v="0"/>
  </r>
  <r>
    <x v="2"/>
    <x v="9"/>
    <n v="5"/>
    <n v="7"/>
    <n v="7"/>
    <x v="3"/>
    <s v="SP 25.4.5"/>
    <n v="8"/>
    <n v="40"/>
    <m/>
    <x v="0"/>
  </r>
  <r>
    <x v="2"/>
    <x v="9"/>
    <n v="5"/>
    <n v="7"/>
    <n v="7"/>
    <x v="3"/>
    <s v="SP 25.4.6"/>
    <n v="8"/>
    <n v="40"/>
    <m/>
    <x v="0"/>
  </r>
  <r>
    <x v="3"/>
    <x v="10"/>
    <n v="7"/>
    <n v="4.9000000000000004"/>
    <n v="7"/>
    <x v="0"/>
    <s v="SP 25.1.1"/>
    <n v="7"/>
    <n v="70"/>
    <n v="21"/>
    <x v="0"/>
  </r>
  <r>
    <x v="3"/>
    <x v="10"/>
    <n v="7"/>
    <n v="4.9000000000000004"/>
    <n v="7"/>
    <x v="0"/>
    <s v="SP 25.1.2"/>
    <n v="8"/>
    <n v="80"/>
    <n v="24"/>
    <x v="0"/>
  </r>
  <r>
    <x v="3"/>
    <x v="10"/>
    <n v="7"/>
    <n v="4.9000000000000004"/>
    <n v="7"/>
    <x v="0"/>
    <s v="SP 25.1.3"/>
    <n v="8"/>
    <n v="80"/>
    <n v="24"/>
    <x v="0"/>
  </r>
  <r>
    <x v="3"/>
    <x v="10"/>
    <n v="7"/>
    <n v="4.9000000000000004"/>
    <n v="7"/>
    <x v="0"/>
    <s v="SP 25.1.4"/>
    <n v="6"/>
    <n v="59.999999999999993"/>
    <n v="17.999999999999996"/>
    <x v="0"/>
  </r>
  <r>
    <x v="3"/>
    <x v="10"/>
    <n v="7"/>
    <n v="4.9000000000000004"/>
    <n v="7"/>
    <x v="0"/>
    <s v="SP 25.1.5"/>
    <n v="8"/>
    <n v="80"/>
    <n v="24"/>
    <x v="0"/>
  </r>
  <r>
    <x v="3"/>
    <x v="10"/>
    <n v="7"/>
    <n v="4.9000000000000004"/>
    <n v="7"/>
    <x v="0"/>
    <s v="SP 25.1.6"/>
    <n v="3"/>
    <n v="29.999999999999996"/>
    <n v="8.9999999999999982"/>
    <x v="0"/>
  </r>
  <r>
    <x v="3"/>
    <x v="10"/>
    <n v="4.5999999999999996"/>
    <n v="5.3"/>
    <n v="7"/>
    <x v="1"/>
    <s v="SP 25.2.1"/>
    <n v="6"/>
    <n v="36.452830188679243"/>
    <n v="5.4679245283018867"/>
    <x v="0"/>
  </r>
  <r>
    <x v="3"/>
    <x v="10"/>
    <n v="5"/>
    <n v="5.3"/>
    <n v="7"/>
    <x v="1"/>
    <s v="SP 25.2.2"/>
    <n v="7"/>
    <n v="46.226415094339622"/>
    <n v="6.9339622641509431"/>
    <x v="0"/>
  </r>
  <r>
    <x v="3"/>
    <x v="10"/>
    <n v="6"/>
    <n v="5.3"/>
    <n v="7"/>
    <x v="1"/>
    <s v="SP 25.2.3"/>
    <n v="8"/>
    <n v="63.39622641509434"/>
    <n v="9.5094339622641506"/>
    <x v="0"/>
  </r>
  <r>
    <x v="3"/>
    <x v="10"/>
    <n v="4"/>
    <n v="5.3"/>
    <n v="7"/>
    <x v="1"/>
    <s v="SP 25.2.4"/>
    <n v="8"/>
    <n v="42.264150943396231"/>
    <n v="6.3396226415094343"/>
    <x v="0"/>
  </r>
  <r>
    <x v="3"/>
    <x v="10"/>
    <n v="5"/>
    <n v="5.3"/>
    <n v="7"/>
    <x v="1"/>
    <s v="SP 25.2.5"/>
    <n v="7"/>
    <n v="46.226415094339622"/>
    <n v="6.9339622641509431"/>
    <x v="0"/>
  </r>
  <r>
    <x v="3"/>
    <x v="10"/>
    <n v="4"/>
    <n v="5.3"/>
    <n v="7"/>
    <x v="1"/>
    <s v="SP 25.2.6"/>
    <n v="3"/>
    <n v="15.849056603773585"/>
    <n v="2.3773584905660377"/>
    <x v="0"/>
  </r>
  <r>
    <x v="3"/>
    <x v="10"/>
    <n v="4.2"/>
    <n v="6.1"/>
    <n v="7"/>
    <x v="2"/>
    <s v="SP 25.3.1"/>
    <n v="7"/>
    <n v="33.73770491803279"/>
    <n v="7"/>
    <x v="1"/>
  </r>
  <r>
    <x v="3"/>
    <x v="10"/>
    <n v="3.5"/>
    <n v="6.1"/>
    <n v="7"/>
    <x v="2"/>
    <s v="SP 25.3.2"/>
    <n v="8"/>
    <n v="32.131147540983605"/>
    <n v="6"/>
    <x v="1"/>
  </r>
  <r>
    <x v="3"/>
    <x v="10"/>
    <n v="4.8"/>
    <n v="6.1"/>
    <n v="7"/>
    <x v="2"/>
    <s v="SP 25.3.3"/>
    <n v="8"/>
    <n v="44.06557377049181"/>
    <n v="10"/>
    <x v="1"/>
  </r>
  <r>
    <x v="3"/>
    <x v="10"/>
    <n v="4.3"/>
    <n v="6.1"/>
    <n v="7"/>
    <x v="2"/>
    <s v="SP 25.3.4"/>
    <n v="13"/>
    <n v="64.147540983606561"/>
    <n v="13"/>
    <x v="1"/>
  </r>
  <r>
    <x v="3"/>
    <x v="10"/>
    <n v="5"/>
    <n v="6.1"/>
    <n v="7"/>
    <x v="2"/>
    <s v="SP 25.3.5"/>
    <n v="3"/>
    <n v="17.213114754098363"/>
    <n v="5"/>
    <x v="1"/>
  </r>
  <r>
    <x v="3"/>
    <x v="10"/>
    <n v="5"/>
    <n v="6.1"/>
    <n v="7"/>
    <x v="3"/>
    <s v="SP 25.4.1"/>
    <n v="13"/>
    <n v="74.590163934426229"/>
    <n v="22.377049180327869"/>
    <x v="0"/>
  </r>
  <r>
    <x v="3"/>
    <x v="10"/>
    <n v="5"/>
    <n v="6.1"/>
    <n v="7"/>
    <x v="3"/>
    <s v="SP 25.4.2"/>
    <n v="8"/>
    <n v="45.9016393442623"/>
    <n v="13.77049180327869"/>
    <x v="0"/>
  </r>
  <r>
    <x v="3"/>
    <x v="10"/>
    <n v="5"/>
    <n v="6.1"/>
    <n v="7"/>
    <x v="3"/>
    <s v="SP 25.4.3"/>
    <n v="8"/>
    <n v="45.9016393442623"/>
    <n v="13.77049180327869"/>
    <x v="0"/>
  </r>
  <r>
    <x v="3"/>
    <x v="10"/>
    <n v="5"/>
    <n v="6.1"/>
    <n v="7"/>
    <x v="3"/>
    <s v="SP 25.4.4"/>
    <n v="7"/>
    <n v="40.16393442622951"/>
    <n v="12.049180327868852"/>
    <x v="0"/>
  </r>
  <r>
    <x v="3"/>
    <x v="10"/>
    <n v="5"/>
    <n v="6.1"/>
    <n v="7"/>
    <x v="3"/>
    <s v="SP 25.4.5"/>
    <n v="8"/>
    <n v="45.9016393442623"/>
    <n v="13.77049180327869"/>
    <x v="0"/>
  </r>
  <r>
    <x v="3"/>
    <x v="10"/>
    <n v="5"/>
    <n v="6.1"/>
    <n v="7"/>
    <x v="3"/>
    <s v="SP 25.4.6"/>
    <n v="8"/>
    <n v="45.9016393442623"/>
    <n v="13.77049180327869"/>
    <x v="0"/>
  </r>
  <r>
    <x v="3"/>
    <x v="11"/>
    <n v="6"/>
    <n v="4.4000000000000004"/>
    <n v="7"/>
    <x v="0"/>
    <s v="SP 25.1.1"/>
    <n v="7"/>
    <n v="66.818181818181813"/>
    <n v="20.045454545454543"/>
    <x v="0"/>
  </r>
  <r>
    <x v="3"/>
    <x v="11"/>
    <n v="10"/>
    <n v="4.4000000000000004"/>
    <n v="7"/>
    <x v="0"/>
    <s v="SP 25.1.2"/>
    <n v="8"/>
    <n v="127.27272727272727"/>
    <n v="38.18181818181818"/>
    <x v="0"/>
  </r>
  <r>
    <x v="3"/>
    <x v="11"/>
    <n v="7.5"/>
    <n v="4.4000000000000004"/>
    <n v="7"/>
    <x v="0"/>
    <s v="SP 25.1.3"/>
    <n v="8"/>
    <n v="95.454545454545453"/>
    <n v="28.636363636363637"/>
    <x v="0"/>
  </r>
  <r>
    <x v="3"/>
    <x v="11"/>
    <n v="7"/>
    <n v="4.4000000000000004"/>
    <n v="7"/>
    <x v="0"/>
    <s v="SP 25.1.4"/>
    <n v="6"/>
    <n v="66.818181818181813"/>
    <n v="20.045454545454543"/>
    <x v="0"/>
  </r>
  <r>
    <x v="3"/>
    <x v="11"/>
    <n v="7"/>
    <n v="4.4000000000000004"/>
    <n v="7"/>
    <x v="0"/>
    <s v="SP 25.1.5"/>
    <n v="8"/>
    <n v="89.090909090909079"/>
    <n v="26.727272727272723"/>
    <x v="0"/>
  </r>
  <r>
    <x v="3"/>
    <x v="11"/>
    <n v="7"/>
    <n v="4.4000000000000004"/>
    <n v="7"/>
    <x v="0"/>
    <s v="SP 25.1.6"/>
    <n v="3"/>
    <n v="33.409090909090907"/>
    <n v="10.022727272727272"/>
    <x v="0"/>
  </r>
  <r>
    <x v="3"/>
    <x v="11"/>
    <n v="4"/>
    <n v="4"/>
    <n v="7"/>
    <x v="1"/>
    <s v="SP 25.2.1"/>
    <n v="6"/>
    <n v="42"/>
    <n v="6.3"/>
    <x v="0"/>
  </r>
  <r>
    <x v="3"/>
    <x v="11"/>
    <n v="7"/>
    <n v="4"/>
    <n v="7"/>
    <x v="1"/>
    <s v="SP 25.2.2"/>
    <n v="7"/>
    <n v="85.75"/>
    <n v="12.862499999999999"/>
    <x v="0"/>
  </r>
  <r>
    <x v="3"/>
    <x v="11"/>
    <n v="8"/>
    <n v="4"/>
    <n v="7"/>
    <x v="1"/>
    <s v="SP 25.2.3"/>
    <n v="8"/>
    <n v="112"/>
    <n v="16.8"/>
    <x v="0"/>
  </r>
  <r>
    <x v="3"/>
    <x v="11"/>
    <n v="8"/>
    <n v="4"/>
    <n v="7"/>
    <x v="1"/>
    <s v="SP 25.2.4"/>
    <n v="8"/>
    <n v="112"/>
    <n v="16.8"/>
    <x v="0"/>
  </r>
  <r>
    <x v="3"/>
    <x v="11"/>
    <n v="8"/>
    <n v="4"/>
    <n v="7"/>
    <x v="1"/>
    <s v="SP 25.2.5"/>
    <n v="7"/>
    <n v="98"/>
    <n v="14.7"/>
    <x v="0"/>
  </r>
  <r>
    <x v="3"/>
    <x v="11"/>
    <n v="8"/>
    <n v="4"/>
    <n v="7"/>
    <x v="1"/>
    <s v="SP 25.2.6"/>
    <n v="3"/>
    <n v="42"/>
    <n v="6.3"/>
    <x v="0"/>
  </r>
  <r>
    <x v="3"/>
    <x v="11"/>
    <n v="4.5"/>
    <n v="4.4000000000000004"/>
    <n v="7"/>
    <x v="2"/>
    <s v="SP 25.3.1"/>
    <n v="7"/>
    <n v="50.11363636363636"/>
    <n v="16"/>
    <x v="1"/>
  </r>
  <r>
    <x v="3"/>
    <x v="11"/>
    <n v="3.5"/>
    <n v="4.4000000000000004"/>
    <n v="7"/>
    <x v="2"/>
    <s v="SP 25.3.2"/>
    <n v="8"/>
    <n v="44.54545454545454"/>
    <n v="21"/>
    <x v="1"/>
  </r>
  <r>
    <x v="3"/>
    <x v="11"/>
    <n v="5.5"/>
    <n v="4.4000000000000004"/>
    <n v="7"/>
    <x v="2"/>
    <s v="SP 25.3.3"/>
    <n v="8"/>
    <n v="70"/>
    <n v="25"/>
    <x v="1"/>
  </r>
  <r>
    <x v="3"/>
    <x v="11"/>
    <n v="5"/>
    <n v="4.4000000000000004"/>
    <n v="7"/>
    <x v="2"/>
    <s v="SP 25.3.4"/>
    <n v="13"/>
    <n v="103.40909090909091"/>
    <n v="30"/>
    <x v="1"/>
  </r>
  <r>
    <x v="3"/>
    <x v="11"/>
    <n v="4"/>
    <n v="4.4000000000000004"/>
    <n v="7"/>
    <x v="2"/>
    <s v="SP 25.3.5"/>
    <n v="3"/>
    <n v="19.09090909090909"/>
    <n v="10"/>
    <x v="1"/>
  </r>
  <r>
    <x v="3"/>
    <x v="11"/>
    <n v="6"/>
    <n v="4.2"/>
    <n v="7"/>
    <x v="3"/>
    <s v="SP 25.4.1"/>
    <n v="13"/>
    <n v="130"/>
    <n v="39"/>
    <x v="0"/>
  </r>
  <r>
    <x v="3"/>
    <x v="11"/>
    <n v="6"/>
    <n v="4.2"/>
    <n v="7"/>
    <x v="3"/>
    <s v="SP 25.4.2"/>
    <n v="8"/>
    <n v="80"/>
    <n v="24"/>
    <x v="0"/>
  </r>
  <r>
    <x v="3"/>
    <x v="11"/>
    <n v="6"/>
    <n v="4.2"/>
    <n v="7"/>
    <x v="3"/>
    <s v="SP 25.4.3"/>
    <n v="8"/>
    <n v="80"/>
    <n v="24"/>
    <x v="0"/>
  </r>
  <r>
    <x v="3"/>
    <x v="11"/>
    <n v="6"/>
    <n v="4.2"/>
    <n v="7"/>
    <x v="3"/>
    <s v="SP 25.4.4"/>
    <n v="7"/>
    <n v="70"/>
    <n v="21"/>
    <x v="0"/>
  </r>
  <r>
    <x v="3"/>
    <x v="11"/>
    <n v="6"/>
    <n v="4.2"/>
    <n v="7"/>
    <x v="3"/>
    <s v="SP 25.4.5"/>
    <n v="8"/>
    <n v="80"/>
    <n v="24"/>
    <x v="0"/>
  </r>
  <r>
    <x v="3"/>
    <x v="11"/>
    <n v="6"/>
    <n v="4.2"/>
    <n v="7"/>
    <x v="3"/>
    <s v="SP 25.4.6"/>
    <n v="8"/>
    <n v="80"/>
    <n v="24"/>
    <x v="0"/>
  </r>
  <r>
    <x v="3"/>
    <x v="12"/>
    <n v="5.5"/>
    <n v="4.5999999999999996"/>
    <n v="7"/>
    <x v="0"/>
    <s v="SP 25.1.1"/>
    <n v="7"/>
    <n v="58.586956521739133"/>
    <n v="8.7880434782608692"/>
    <x v="0"/>
  </r>
  <r>
    <x v="3"/>
    <x v="12"/>
    <n v="4.5"/>
    <n v="4.5999999999999996"/>
    <n v="7"/>
    <x v="0"/>
    <s v="SP 25.1.2"/>
    <n v="8"/>
    <n v="54.782608695652179"/>
    <n v="8.2173913043478262"/>
    <x v="0"/>
  </r>
  <r>
    <x v="3"/>
    <x v="12"/>
    <n v="5.5"/>
    <n v="4.5999999999999996"/>
    <n v="7"/>
    <x v="0"/>
    <s v="SP 25.1.3"/>
    <n v="8"/>
    <n v="66.956521739130437"/>
    <n v="10.043478260869565"/>
    <x v="0"/>
  </r>
  <r>
    <x v="3"/>
    <x v="12"/>
    <n v="6"/>
    <n v="4.5999999999999996"/>
    <n v="7"/>
    <x v="0"/>
    <s v="SP 25.1.4"/>
    <n v="6"/>
    <n v="54.782608695652179"/>
    <n v="8.2173913043478262"/>
    <x v="0"/>
  </r>
  <r>
    <x v="3"/>
    <x v="12"/>
    <n v="6"/>
    <n v="4.5999999999999996"/>
    <n v="7"/>
    <x v="0"/>
    <s v="SP 25.1.5"/>
    <n v="8"/>
    <n v="73.043478260869577"/>
    <n v="10.956521739130435"/>
    <x v="0"/>
  </r>
  <r>
    <x v="3"/>
    <x v="12"/>
    <n v="6"/>
    <n v="4.5999999999999996"/>
    <n v="7"/>
    <x v="0"/>
    <s v="SP 25.1.6"/>
    <n v="3"/>
    <n v="27.39130434782609"/>
    <n v="4.1086956521739131"/>
    <x v="0"/>
  </r>
  <r>
    <x v="3"/>
    <x v="12"/>
    <n v="5.2"/>
    <n v="4.8"/>
    <n v="7"/>
    <x v="1"/>
    <s v="SP 25.2.1"/>
    <n v="6"/>
    <n v="45.5"/>
    <n v="6.8250000000000002"/>
    <x v="0"/>
  </r>
  <r>
    <x v="3"/>
    <x v="12"/>
    <n v="5"/>
    <n v="4.8"/>
    <n v="7"/>
    <x v="1"/>
    <s v="SP 25.2.2"/>
    <n v="7"/>
    <n v="51.041666666666671"/>
    <n v="7.65625"/>
    <x v="0"/>
  </r>
  <r>
    <x v="3"/>
    <x v="12"/>
    <n v="5"/>
    <n v="4.8"/>
    <n v="7"/>
    <x v="1"/>
    <s v="SP 25.2.3"/>
    <n v="8"/>
    <n v="58.333333333333336"/>
    <n v="8.75"/>
    <x v="0"/>
  </r>
  <r>
    <x v="3"/>
    <x v="12"/>
    <n v="4"/>
    <n v="4.8"/>
    <n v="7"/>
    <x v="1"/>
    <s v="SP 25.2.4"/>
    <n v="8"/>
    <n v="46.666666666666671"/>
    <n v="7.0000000000000009"/>
    <x v="0"/>
  </r>
  <r>
    <x v="3"/>
    <x v="12"/>
    <n v="6"/>
    <n v="4.8"/>
    <n v="7"/>
    <x v="1"/>
    <s v="SP 25.2.5"/>
    <n v="7"/>
    <n v="61.25"/>
    <n v="9.1875"/>
    <x v="0"/>
  </r>
  <r>
    <x v="3"/>
    <x v="12"/>
    <n v="5"/>
    <n v="4.8"/>
    <n v="7"/>
    <x v="1"/>
    <s v="SP 25.2.6"/>
    <n v="3"/>
    <n v="21.875"/>
    <n v="3.28125"/>
    <x v="0"/>
  </r>
  <r>
    <x v="3"/>
    <x v="12"/>
    <n v="3.5"/>
    <n v="6"/>
    <n v="7"/>
    <x v="2"/>
    <s v="SP 25.3.1"/>
    <n v="7"/>
    <n v="28.583333333333332"/>
    <n v="7"/>
    <x v="1"/>
  </r>
  <r>
    <x v="3"/>
    <x v="12"/>
    <n v="3.5"/>
    <n v="6"/>
    <n v="7"/>
    <x v="2"/>
    <s v="SP 25.3.2"/>
    <n v="8"/>
    <n v="32.666666666666664"/>
    <n v="6"/>
    <x v="1"/>
  </r>
  <r>
    <x v="3"/>
    <x v="12"/>
    <n v="4.4000000000000004"/>
    <n v="6"/>
    <n v="7"/>
    <x v="2"/>
    <s v="SP 25.3.3"/>
    <n v="8"/>
    <n v="41.06666666666667"/>
    <n v="7"/>
    <x v="1"/>
  </r>
  <r>
    <x v="3"/>
    <x v="12"/>
    <n v="6.2"/>
    <n v="6"/>
    <n v="7"/>
    <x v="2"/>
    <s v="SP 25.3.4"/>
    <n v="13"/>
    <n v="94.033333333333346"/>
    <n v="13"/>
    <x v="1"/>
  </r>
  <r>
    <x v="3"/>
    <x v="12"/>
    <n v="7"/>
    <n v="6"/>
    <n v="7"/>
    <x v="2"/>
    <s v="SP 25.3.5"/>
    <n v="3"/>
    <n v="24.5"/>
    <n v="5"/>
    <x v="1"/>
  </r>
  <r>
    <x v="3"/>
    <x v="12"/>
    <n v="7"/>
    <n v="6"/>
    <n v="7"/>
    <x v="3"/>
    <s v="SP 25.4.1"/>
    <n v="13"/>
    <n v="106.16666666666667"/>
    <n v="15.925000000000001"/>
    <x v="0"/>
  </r>
  <r>
    <x v="3"/>
    <x v="12"/>
    <n v="7"/>
    <n v="6"/>
    <n v="7"/>
    <x v="3"/>
    <s v="SP 25.4.2"/>
    <n v="8"/>
    <n v="65.333333333333329"/>
    <n v="9.7999999999999989"/>
    <x v="0"/>
  </r>
  <r>
    <x v="3"/>
    <x v="12"/>
    <n v="7"/>
    <n v="6"/>
    <n v="7"/>
    <x v="3"/>
    <s v="SP 25.4.3"/>
    <n v="8"/>
    <n v="65.333333333333329"/>
    <n v="9.7999999999999989"/>
    <x v="0"/>
  </r>
  <r>
    <x v="3"/>
    <x v="12"/>
    <n v="7"/>
    <n v="6"/>
    <n v="7"/>
    <x v="3"/>
    <s v="SP 25.4.4"/>
    <n v="7"/>
    <n v="57.166666666666664"/>
    <n v="8.5749999999999993"/>
    <x v="0"/>
  </r>
  <r>
    <x v="3"/>
    <x v="12"/>
    <n v="7"/>
    <n v="6"/>
    <n v="7"/>
    <x v="3"/>
    <s v="SP 25.4.5"/>
    <n v="8"/>
    <n v="65.333333333333329"/>
    <n v="9.7999999999999989"/>
    <x v="0"/>
  </r>
  <r>
    <x v="3"/>
    <x v="12"/>
    <n v="7"/>
    <n v="6"/>
    <n v="7"/>
    <x v="3"/>
    <s v="SP 25.4.6"/>
    <n v="8"/>
    <n v="65.333333333333329"/>
    <n v="9.7999999999999989"/>
    <x v="0"/>
  </r>
  <r>
    <x v="4"/>
    <x v="13"/>
    <n v="5.5"/>
    <n v="4.4000000000000004"/>
    <n v="7"/>
    <x v="0"/>
    <s v="SP 25.1.1"/>
    <n v="7"/>
    <n v="61.249999999999993"/>
    <n v="9.1874999999999982"/>
    <x v="0"/>
  </r>
  <r>
    <x v="4"/>
    <x v="13"/>
    <n v="7"/>
    <n v="4.4000000000000004"/>
    <n v="7"/>
    <x v="0"/>
    <s v="SP 25.1.2"/>
    <n v="8"/>
    <n v="89.090909090909079"/>
    <n v="13.363636363636362"/>
    <x v="0"/>
  </r>
  <r>
    <x v="4"/>
    <x v="13"/>
    <n v="7"/>
    <n v="4.4000000000000004"/>
    <n v="7"/>
    <x v="0"/>
    <s v="SP 25.1.3"/>
    <n v="8"/>
    <n v="89.090909090909079"/>
    <n v="13.363636363636362"/>
    <x v="0"/>
  </r>
  <r>
    <x v="4"/>
    <x v="13"/>
    <n v="7"/>
    <n v="4.4000000000000004"/>
    <n v="7"/>
    <x v="0"/>
    <s v="SP 25.1.4"/>
    <n v="6"/>
    <n v="66.818181818181813"/>
    <n v="10.022727272727272"/>
    <x v="0"/>
  </r>
  <r>
    <x v="4"/>
    <x v="13"/>
    <n v="7"/>
    <n v="4.4000000000000004"/>
    <n v="7"/>
    <x v="0"/>
    <s v="SP 25.1.5"/>
    <n v="8"/>
    <n v="89.090909090909079"/>
    <n v="13.363636363636362"/>
    <x v="0"/>
  </r>
  <r>
    <x v="4"/>
    <x v="13"/>
    <n v="7"/>
    <n v="4.4000000000000004"/>
    <n v="7"/>
    <x v="0"/>
    <s v="SP 25.1.6"/>
    <n v="3"/>
    <n v="33.409090909090907"/>
    <n v="5.0113636363636358"/>
    <x v="0"/>
  </r>
  <r>
    <x v="4"/>
    <x v="13"/>
    <n v="7"/>
    <n v="4.8"/>
    <n v="7"/>
    <x v="1"/>
    <s v="SP 25.2.1"/>
    <n v="6"/>
    <n v="61.25"/>
    <n v="9.1875"/>
    <x v="0"/>
  </r>
  <r>
    <x v="4"/>
    <x v="13"/>
    <n v="7"/>
    <n v="4.8"/>
    <n v="7"/>
    <x v="1"/>
    <s v="SP 25.2.2"/>
    <n v="7"/>
    <n v="71.458333333333343"/>
    <n v="10.718750000000002"/>
    <x v="0"/>
  </r>
  <r>
    <x v="4"/>
    <x v="13"/>
    <n v="7"/>
    <n v="4.8"/>
    <n v="7"/>
    <x v="1"/>
    <s v="SP 25.2.3"/>
    <n v="8"/>
    <n v="81.666666666666671"/>
    <n v="12.25"/>
    <x v="0"/>
  </r>
  <r>
    <x v="4"/>
    <x v="13"/>
    <n v="7"/>
    <n v="4.8"/>
    <n v="7"/>
    <x v="1"/>
    <s v="SP 25.2.4"/>
    <n v="8"/>
    <n v="81.666666666666671"/>
    <n v="12.25"/>
    <x v="0"/>
  </r>
  <r>
    <x v="4"/>
    <x v="13"/>
    <n v="7"/>
    <n v="4.8"/>
    <n v="7"/>
    <x v="1"/>
    <s v="SP 25.2.5"/>
    <n v="7"/>
    <n v="71.458333333333343"/>
    <n v="10.718750000000002"/>
    <x v="0"/>
  </r>
  <r>
    <x v="4"/>
    <x v="13"/>
    <n v="7"/>
    <n v="4.8"/>
    <n v="7"/>
    <x v="1"/>
    <s v="SP 25.2.6"/>
    <n v="3"/>
    <n v="30.625"/>
    <n v="4.59375"/>
    <x v="0"/>
  </r>
  <r>
    <x v="4"/>
    <x v="13"/>
    <n v="7"/>
    <n v="5.2"/>
    <n v="7"/>
    <x v="2"/>
    <s v="SP 25.3.1"/>
    <n v="7"/>
    <n v="65.961538461538453"/>
    <n v="9.8942307692307683"/>
    <x v="0"/>
  </r>
  <r>
    <x v="4"/>
    <x v="13"/>
    <n v="7"/>
    <n v="5.2"/>
    <n v="7"/>
    <x v="2"/>
    <s v="SP 25.3.2"/>
    <n v="8"/>
    <n v="75.384615384615387"/>
    <n v="11.307692307692308"/>
    <x v="0"/>
  </r>
  <r>
    <x v="4"/>
    <x v="13"/>
    <n v="7"/>
    <n v="5.2"/>
    <n v="7"/>
    <x v="2"/>
    <s v="SP 25.3.3"/>
    <n v="8"/>
    <n v="75.384615384615387"/>
    <n v="11.307692307692308"/>
    <x v="0"/>
  </r>
  <r>
    <x v="4"/>
    <x v="13"/>
    <n v="7"/>
    <n v="5.2"/>
    <n v="7"/>
    <x v="2"/>
    <s v="SP 25.3.4"/>
    <n v="13"/>
    <n v="122.5"/>
    <n v="18.375"/>
    <x v="0"/>
  </r>
  <r>
    <x v="4"/>
    <x v="13"/>
    <n v="7"/>
    <n v="5.2"/>
    <n v="7"/>
    <x v="2"/>
    <s v="SP 25.3.5"/>
    <n v="3"/>
    <n v="28.269230769230766"/>
    <n v="4.240384615384615"/>
    <x v="0"/>
  </r>
  <r>
    <x v="4"/>
    <x v="13"/>
    <n v="7"/>
    <n v="6"/>
    <n v="7"/>
    <x v="3"/>
    <s v="SP 25.4.1"/>
    <n v="13"/>
    <n v="106.16666666666667"/>
    <n v="15.925000000000001"/>
    <x v="0"/>
  </r>
  <r>
    <x v="4"/>
    <x v="13"/>
    <n v="7"/>
    <n v="6"/>
    <n v="7"/>
    <x v="3"/>
    <s v="SP 25.4.2"/>
    <n v="8"/>
    <n v="65.333333333333329"/>
    <n v="9.7999999999999989"/>
    <x v="0"/>
  </r>
  <r>
    <x v="4"/>
    <x v="13"/>
    <n v="7"/>
    <n v="6"/>
    <n v="7"/>
    <x v="3"/>
    <s v="SP 25.4.3"/>
    <n v="8"/>
    <n v="65.333333333333329"/>
    <n v="9.7999999999999989"/>
    <x v="0"/>
  </r>
  <r>
    <x v="4"/>
    <x v="13"/>
    <n v="7"/>
    <n v="6"/>
    <n v="7"/>
    <x v="3"/>
    <s v="SP 25.4.4"/>
    <n v="7"/>
    <n v="57.166666666666664"/>
    <n v="8.5749999999999993"/>
    <x v="0"/>
  </r>
  <r>
    <x v="4"/>
    <x v="13"/>
    <n v="7"/>
    <n v="6"/>
    <n v="7"/>
    <x v="3"/>
    <s v="SP 25.4.5"/>
    <n v="8"/>
    <n v="65.333333333333329"/>
    <n v="9.7999999999999989"/>
    <x v="0"/>
  </r>
  <r>
    <x v="4"/>
    <x v="13"/>
    <n v="7"/>
    <n v="6"/>
    <n v="7"/>
    <x v="3"/>
    <s v="SP 25.4.6"/>
    <n v="8"/>
    <n v="65.333333333333329"/>
    <n v="9.7999999999999989"/>
    <x v="0"/>
  </r>
  <r>
    <x v="3"/>
    <x v="14"/>
    <n v="7"/>
    <n v="4.8"/>
    <n v="7"/>
    <x v="0"/>
    <s v="SP 25.1.1"/>
    <n v="7"/>
    <n v="71.458333333333343"/>
    <n v="25.010416666666668"/>
    <x v="0"/>
  </r>
  <r>
    <x v="3"/>
    <x v="14"/>
    <n v="6.7"/>
    <n v="4.8"/>
    <n v="7"/>
    <x v="0"/>
    <s v="SP 25.1.2"/>
    <n v="8"/>
    <n v="78.166666666666671"/>
    <n v="27.358333333333334"/>
    <x v="0"/>
  </r>
  <r>
    <x v="3"/>
    <x v="14"/>
    <n v="7"/>
    <n v="4.8"/>
    <n v="7"/>
    <x v="0"/>
    <s v="SP 25.1.3"/>
    <n v="8"/>
    <n v="81.666666666666671"/>
    <n v="28.583333333333332"/>
    <x v="0"/>
  </r>
  <r>
    <x v="3"/>
    <x v="14"/>
    <n v="6.9"/>
    <n v="4.8"/>
    <n v="7"/>
    <x v="0"/>
    <s v="SP 25.1.4"/>
    <n v="6"/>
    <n v="60.375000000000007"/>
    <n v="21.131250000000001"/>
    <x v="0"/>
  </r>
  <r>
    <x v="3"/>
    <x v="14"/>
    <n v="6.9"/>
    <n v="4.8"/>
    <n v="7"/>
    <x v="0"/>
    <s v="SP 25.1.5"/>
    <n v="8"/>
    <n v="80.500000000000014"/>
    <n v="28.175000000000004"/>
    <x v="0"/>
  </r>
  <r>
    <x v="3"/>
    <x v="14"/>
    <n v="7"/>
    <n v="4.8"/>
    <n v="7"/>
    <x v="0"/>
    <s v="SP 25.1.6"/>
    <n v="3"/>
    <n v="30.625"/>
    <n v="10.71875"/>
    <x v="0"/>
  </r>
  <r>
    <x v="3"/>
    <x v="14"/>
    <n v="6"/>
    <n v="4.7"/>
    <n v="7"/>
    <x v="1"/>
    <s v="SP 25.2.1"/>
    <n v="6"/>
    <n v="53.617021276595743"/>
    <n v="8.0425531914893611"/>
    <x v="0"/>
  </r>
  <r>
    <x v="3"/>
    <x v="14"/>
    <n v="6"/>
    <n v="4.7"/>
    <n v="7"/>
    <x v="1"/>
    <s v="SP 25.2.2"/>
    <n v="7"/>
    <n v="62.553191489361701"/>
    <n v="9.3829787234042552"/>
    <x v="0"/>
  </r>
  <r>
    <x v="3"/>
    <x v="14"/>
    <n v="5"/>
    <n v="4.7"/>
    <n v="7"/>
    <x v="1"/>
    <s v="SP 25.2.3"/>
    <n v="8"/>
    <n v="59.574468085106382"/>
    <n v="8.9361702127659566"/>
    <x v="0"/>
  </r>
  <r>
    <x v="3"/>
    <x v="14"/>
    <n v="6"/>
    <n v="4.7"/>
    <n v="7"/>
    <x v="1"/>
    <s v="SP 25.2.4"/>
    <n v="8"/>
    <n v="71.489361702127653"/>
    <n v="10.723404255319148"/>
    <x v="0"/>
  </r>
  <r>
    <x v="3"/>
    <x v="14"/>
    <n v="6"/>
    <n v="4.7"/>
    <n v="7"/>
    <x v="1"/>
    <s v="SP 25.2.5"/>
    <n v="7"/>
    <n v="62.553191489361701"/>
    <n v="9.3829787234042552"/>
    <x v="0"/>
  </r>
  <r>
    <x v="3"/>
    <x v="14"/>
    <n v="6"/>
    <n v="4.7"/>
    <n v="7"/>
    <x v="1"/>
    <s v="SP 25.2.6"/>
    <n v="3"/>
    <n v="26.808510638297872"/>
    <n v="4.0212765957446805"/>
    <x v="0"/>
  </r>
  <r>
    <x v="3"/>
    <x v="14"/>
    <n v="4"/>
    <n v="4.7"/>
    <n v="7"/>
    <x v="2"/>
    <s v="SP 25.3.1"/>
    <n v="7"/>
    <n v="41.702127659574465"/>
    <n v="20"/>
    <x v="1"/>
  </r>
  <r>
    <x v="3"/>
    <x v="14"/>
    <n v="2.5"/>
    <n v="4.7"/>
    <n v="7"/>
    <x v="2"/>
    <s v="SP 25.3.2"/>
    <n v="8"/>
    <n v="29.787234042553191"/>
    <n v="23"/>
    <x v="1"/>
  </r>
  <r>
    <x v="3"/>
    <x v="14"/>
    <n v="6"/>
    <n v="4.7"/>
    <n v="7"/>
    <x v="2"/>
    <s v="SP 25.3.3"/>
    <n v="8"/>
    <n v="71.489361702127653"/>
    <n v="23"/>
    <x v="1"/>
  </r>
  <r>
    <x v="3"/>
    <x v="14"/>
    <n v="5.5"/>
    <n v="4.7"/>
    <n v="7"/>
    <x v="2"/>
    <s v="SP 25.3.4"/>
    <n v="13"/>
    <n v="106.48936170212765"/>
    <n v="37"/>
    <x v="1"/>
  </r>
  <r>
    <x v="3"/>
    <x v="14"/>
    <n v="5.7"/>
    <n v="4.7"/>
    <n v="7"/>
    <x v="2"/>
    <s v="SP 25.3.5"/>
    <n v="3"/>
    <n v="25.468085106382979"/>
    <n v="9"/>
    <x v="1"/>
  </r>
  <r>
    <x v="3"/>
    <x v="14"/>
    <n v="6"/>
    <n v="4.7"/>
    <n v="7"/>
    <x v="3"/>
    <s v="SP 25.4.1"/>
    <n v="13"/>
    <n v="116.17021276595744"/>
    <n v="40.659574468085104"/>
    <x v="0"/>
  </r>
  <r>
    <x v="3"/>
    <x v="14"/>
    <n v="6"/>
    <n v="4.7"/>
    <n v="7"/>
    <x v="3"/>
    <s v="SP 25.4.2"/>
    <n v="8"/>
    <n v="71.489361702127653"/>
    <n v="25.021276595744677"/>
    <x v="0"/>
  </r>
  <r>
    <x v="3"/>
    <x v="14"/>
    <n v="6"/>
    <n v="4.7"/>
    <n v="7"/>
    <x v="3"/>
    <s v="SP 25.4.3"/>
    <n v="8"/>
    <n v="71.489361702127653"/>
    <n v="25.021276595744677"/>
    <x v="0"/>
  </r>
  <r>
    <x v="3"/>
    <x v="14"/>
    <n v="6"/>
    <n v="4.7"/>
    <n v="7"/>
    <x v="3"/>
    <s v="SP 25.4.4"/>
    <n v="7"/>
    <n v="62.553191489361701"/>
    <n v="21.893617021276594"/>
    <x v="0"/>
  </r>
  <r>
    <x v="3"/>
    <x v="14"/>
    <n v="6"/>
    <n v="4.7"/>
    <n v="7"/>
    <x v="3"/>
    <s v="SP 25.4.5"/>
    <n v="8"/>
    <n v="71.489361702127653"/>
    <n v="25.021276595744677"/>
    <x v="0"/>
  </r>
  <r>
    <x v="3"/>
    <x v="14"/>
    <n v="6"/>
    <n v="4.7"/>
    <n v="7"/>
    <x v="3"/>
    <s v="SP 25.4.6"/>
    <n v="8"/>
    <n v="71.489361702127653"/>
    <n v="25.021276595744677"/>
    <x v="0"/>
  </r>
  <r>
    <x v="3"/>
    <x v="15"/>
    <n v="4.5"/>
    <n v="3.7"/>
    <n v="7"/>
    <x v="0"/>
    <s v="SP 25.1.1"/>
    <n v="7"/>
    <n v="59.594594594594589"/>
    <n v="8.9391891891891877"/>
    <x v="0"/>
  </r>
  <r>
    <x v="3"/>
    <x v="15"/>
    <n v="5"/>
    <n v="3.7"/>
    <n v="7"/>
    <x v="0"/>
    <s v="SP 25.1.2"/>
    <n v="8"/>
    <n v="75.675675675675677"/>
    <n v="11.351351351351351"/>
    <x v="0"/>
  </r>
  <r>
    <x v="3"/>
    <x v="15"/>
    <n v="7"/>
    <n v="3.7"/>
    <n v="7"/>
    <x v="0"/>
    <s v="SP 25.1.3"/>
    <n v="8"/>
    <n v="105.94594594594594"/>
    <n v="15.891891891891889"/>
    <x v="0"/>
  </r>
  <r>
    <x v="3"/>
    <x v="15"/>
    <n v="6"/>
    <n v="3.7"/>
    <n v="7"/>
    <x v="0"/>
    <s v="SP 25.1.4"/>
    <n v="6"/>
    <n v="68.108108108108098"/>
    <n v="10.216216216216214"/>
    <x v="0"/>
  </r>
  <r>
    <x v="3"/>
    <x v="15"/>
    <n v="6"/>
    <n v="3.7"/>
    <n v="7"/>
    <x v="0"/>
    <s v="SP 25.1.5"/>
    <n v="8"/>
    <n v="90.810810810810807"/>
    <n v="13.621621621621621"/>
    <x v="0"/>
  </r>
  <r>
    <x v="3"/>
    <x v="15"/>
    <n v="5"/>
    <n v="3.7"/>
    <n v="7"/>
    <x v="0"/>
    <s v="SP 25.1.6"/>
    <n v="3"/>
    <n v="28.378378378378375"/>
    <n v="4.2567567567567561"/>
    <x v="0"/>
  </r>
  <r>
    <x v="3"/>
    <x v="15"/>
    <n v="4.3"/>
    <n v="3.7"/>
    <n v="7"/>
    <x v="1"/>
    <s v="SP 25.2.1"/>
    <n v="6"/>
    <n v="48.810810810810807"/>
    <n v="7.3216216216216203"/>
    <x v="0"/>
  </r>
  <r>
    <x v="3"/>
    <x v="15"/>
    <n v="6"/>
    <n v="3.7"/>
    <n v="7"/>
    <x v="1"/>
    <s v="SP 25.2.2"/>
    <n v="7"/>
    <n v="79.459459459459453"/>
    <n v="11.918918918918918"/>
    <x v="0"/>
  </r>
  <r>
    <x v="3"/>
    <x v="15"/>
    <n v="5.5"/>
    <n v="3.7"/>
    <n v="7"/>
    <x v="1"/>
    <s v="SP 25.2.3"/>
    <n v="8"/>
    <n v="83.243243243243242"/>
    <n v="12.486486486486486"/>
    <x v="0"/>
  </r>
  <r>
    <x v="3"/>
    <x v="15"/>
    <n v="6.5"/>
    <n v="3.7"/>
    <n v="7"/>
    <x v="1"/>
    <s v="SP 25.2.4"/>
    <n v="8"/>
    <n v="98.378378378378372"/>
    <n v="14.756756756756754"/>
    <x v="0"/>
  </r>
  <r>
    <x v="3"/>
    <x v="15"/>
    <n v="6.5"/>
    <n v="3.7"/>
    <n v="7"/>
    <x v="1"/>
    <s v="SP 25.2.5"/>
    <n v="7"/>
    <n v="86.081081081081081"/>
    <n v="12.912162162162161"/>
    <x v="0"/>
  </r>
  <r>
    <x v="3"/>
    <x v="15"/>
    <n v="6.5"/>
    <n v="3.7"/>
    <n v="7"/>
    <x v="1"/>
    <s v="SP 25.2.6"/>
    <n v="3"/>
    <n v="36.891891891891888"/>
    <n v="5.5337837837837833"/>
    <x v="0"/>
  </r>
  <r>
    <x v="3"/>
    <x v="15"/>
    <n v="3"/>
    <n v="4.0999999999999996"/>
    <n v="7"/>
    <x v="2"/>
    <s v="SP 25.3.1"/>
    <n v="7"/>
    <n v="35.853658536585371"/>
    <n v="5.3780487804878057"/>
    <x v="1"/>
  </r>
  <r>
    <x v="3"/>
    <x v="15"/>
    <n v="3"/>
    <n v="4.0999999999999996"/>
    <n v="7"/>
    <x v="2"/>
    <s v="SP 25.3.2"/>
    <n v="8"/>
    <n v="40.975609756097562"/>
    <n v="5"/>
    <x v="1"/>
  </r>
  <r>
    <x v="3"/>
    <x v="15"/>
    <n v="2.5"/>
    <n v="4.0999999999999996"/>
    <n v="7"/>
    <x v="2"/>
    <s v="SP 25.3.3"/>
    <n v="8"/>
    <n v="34.146341463414636"/>
    <n v="8"/>
    <x v="1"/>
  </r>
  <r>
    <x v="3"/>
    <x v="15"/>
    <n v="4.5"/>
    <n v="4.0999999999999996"/>
    <n v="7"/>
    <x v="2"/>
    <s v="SP 25.3.4"/>
    <n v="13"/>
    <n v="99.878048780487816"/>
    <n v="15"/>
    <x v="1"/>
  </r>
  <r>
    <x v="3"/>
    <x v="15"/>
    <n v="5"/>
    <n v="4.0999999999999996"/>
    <n v="7"/>
    <x v="2"/>
    <s v="SP 25.3.5"/>
    <n v="3"/>
    <n v="25.609756097560979"/>
    <n v="4"/>
    <x v="1"/>
  </r>
  <r>
    <x v="3"/>
    <x v="15"/>
    <n v="7"/>
    <n v="4.0999999999999996"/>
    <n v="7"/>
    <x v="3"/>
    <s v="SP 25.4.1"/>
    <n v="13"/>
    <n v="155.36585365853659"/>
    <n v="23.304878048780488"/>
    <x v="0"/>
  </r>
  <r>
    <x v="3"/>
    <x v="15"/>
    <n v="7"/>
    <n v="4.0999999999999996"/>
    <n v="7"/>
    <x v="3"/>
    <s v="SP 25.4.2"/>
    <n v="8"/>
    <n v="95.609756097560989"/>
    <n v="14.341463414634148"/>
    <x v="0"/>
  </r>
  <r>
    <x v="3"/>
    <x v="15"/>
    <n v="7"/>
    <n v="4.0999999999999996"/>
    <n v="7"/>
    <x v="3"/>
    <s v="SP 25.4.3"/>
    <n v="8"/>
    <n v="95.609756097560989"/>
    <n v="14.341463414634148"/>
    <x v="0"/>
  </r>
  <r>
    <x v="3"/>
    <x v="15"/>
    <n v="7"/>
    <n v="4.0999999999999996"/>
    <n v="7"/>
    <x v="3"/>
    <s v="SP 25.4.4"/>
    <n v="7"/>
    <n v="83.658536585365866"/>
    <n v="12.54878048780488"/>
    <x v="0"/>
  </r>
  <r>
    <x v="3"/>
    <x v="15"/>
    <n v="7"/>
    <n v="4.0999999999999996"/>
    <n v="7"/>
    <x v="3"/>
    <s v="SP 25.4.5"/>
    <n v="8"/>
    <n v="95.609756097560989"/>
    <n v="14.341463414634148"/>
    <x v="0"/>
  </r>
  <r>
    <x v="3"/>
    <x v="15"/>
    <n v="7"/>
    <n v="4.0999999999999996"/>
    <n v="7"/>
    <x v="3"/>
    <s v="SP 25.4.6"/>
    <n v="8"/>
    <n v="95.609756097560989"/>
    <n v="14.341463414634148"/>
    <x v="0"/>
  </r>
  <r>
    <x v="3"/>
    <x v="16"/>
    <n v="6"/>
    <n v="4.8"/>
    <n v="7"/>
    <x v="0"/>
    <s v="SP 25.1.1"/>
    <n v="7"/>
    <n v="61.25"/>
    <n v="18.375"/>
    <x v="0"/>
  </r>
  <r>
    <x v="3"/>
    <x v="16"/>
    <n v="6"/>
    <n v="4.8"/>
    <n v="7"/>
    <x v="0"/>
    <s v="SP 25.1.2"/>
    <n v="8"/>
    <n v="70"/>
    <n v="21"/>
    <x v="0"/>
  </r>
  <r>
    <x v="3"/>
    <x v="16"/>
    <n v="4"/>
    <n v="4.8"/>
    <n v="7"/>
    <x v="0"/>
    <s v="SP 25.1.3"/>
    <n v="8"/>
    <n v="46.666666666666671"/>
    <n v="14.000000000000002"/>
    <x v="0"/>
  </r>
  <r>
    <x v="3"/>
    <x v="16"/>
    <n v="4"/>
    <n v="4.8"/>
    <n v="7"/>
    <x v="0"/>
    <s v="SP 25.1.4"/>
    <n v="6"/>
    <n v="35"/>
    <n v="10.5"/>
    <x v="0"/>
  </r>
  <r>
    <x v="3"/>
    <x v="16"/>
    <n v="7"/>
    <n v="4.8"/>
    <n v="7"/>
    <x v="0"/>
    <s v="SP 25.1.5"/>
    <n v="8"/>
    <n v="81.666666666666671"/>
    <n v="24.5"/>
    <x v="0"/>
  </r>
  <r>
    <x v="3"/>
    <x v="16"/>
    <n v="7"/>
    <n v="4.8"/>
    <n v="7"/>
    <x v="0"/>
    <s v="SP 25.1.6"/>
    <n v="3"/>
    <n v="30.625"/>
    <n v="9.1875"/>
    <x v="0"/>
  </r>
  <r>
    <x v="3"/>
    <x v="16"/>
    <n v="5.5"/>
    <n v="5.2"/>
    <n v="7"/>
    <x v="1"/>
    <s v="SP 25.2.1"/>
    <n v="6"/>
    <n v="44.42307692307692"/>
    <n v="8.884615384615385"/>
    <x v="0"/>
  </r>
  <r>
    <x v="3"/>
    <x v="16"/>
    <n v="5"/>
    <n v="5.2"/>
    <n v="7"/>
    <x v="1"/>
    <s v="SP 25.2.2"/>
    <n v="7"/>
    <n v="47.115384615384613"/>
    <n v="9.4230769230769234"/>
    <x v="0"/>
  </r>
  <r>
    <x v="3"/>
    <x v="16"/>
    <n v="6"/>
    <n v="5.2"/>
    <n v="7"/>
    <x v="1"/>
    <s v="SP 25.2.3"/>
    <n v="8"/>
    <n v="64.615384615384613"/>
    <n v="12.923076923076923"/>
    <x v="0"/>
  </r>
  <r>
    <x v="3"/>
    <x v="16"/>
    <n v="5.5"/>
    <n v="5.2"/>
    <n v="7"/>
    <x v="1"/>
    <s v="SP 25.2.4"/>
    <n v="8"/>
    <n v="59.230769230769226"/>
    <n v="11.846153846153847"/>
    <x v="0"/>
  </r>
  <r>
    <x v="3"/>
    <x v="16"/>
    <n v="6"/>
    <n v="5.2"/>
    <n v="7"/>
    <x v="1"/>
    <s v="SP 25.2.5"/>
    <n v="7"/>
    <n v="56.538461538461533"/>
    <n v="11.307692307692307"/>
    <x v="0"/>
  </r>
  <r>
    <x v="3"/>
    <x v="16"/>
    <n v="5"/>
    <n v="5.2"/>
    <n v="7"/>
    <x v="1"/>
    <s v="SP 25.2.6"/>
    <n v="3"/>
    <n v="20.19230769230769"/>
    <n v="4.0384615384615383"/>
    <x v="0"/>
  </r>
  <r>
    <x v="3"/>
    <x v="16"/>
    <n v="7.3"/>
    <n v="5"/>
    <n v="7"/>
    <x v="2"/>
    <s v="SP 25.3.1"/>
    <n v="7"/>
    <n v="71.539999999999992"/>
    <n v="21.461999999999996"/>
    <x v="1"/>
  </r>
  <r>
    <x v="3"/>
    <x v="16"/>
    <n v="7.5"/>
    <n v="5"/>
    <n v="7"/>
    <x v="2"/>
    <s v="SP 25.3.2"/>
    <n v="8"/>
    <n v="84"/>
    <n v="25.2"/>
    <x v="1"/>
  </r>
  <r>
    <x v="3"/>
    <x v="16"/>
    <n v="5"/>
    <n v="5"/>
    <n v="7"/>
    <x v="2"/>
    <s v="SP 25.3.3"/>
    <n v="8"/>
    <n v="56"/>
    <n v="16.8"/>
    <x v="1"/>
  </r>
  <r>
    <x v="3"/>
    <x v="16"/>
    <n v="4.9000000000000004"/>
    <n v="5"/>
    <n v="7"/>
    <x v="2"/>
    <s v="SP 25.3.4"/>
    <n v="13"/>
    <n v="89.18"/>
    <n v="26.754000000000001"/>
    <x v="1"/>
  </r>
  <r>
    <x v="3"/>
    <x v="16"/>
    <n v="6"/>
    <n v="5"/>
    <n v="7"/>
    <x v="2"/>
    <s v="SP 25.3.5"/>
    <n v="3"/>
    <n v="25.2"/>
    <n v="7.56"/>
    <x v="1"/>
  </r>
  <r>
    <x v="3"/>
    <x v="16"/>
    <n v="6"/>
    <n v="5"/>
    <n v="7"/>
    <x v="3"/>
    <s v="SP 25.4.1"/>
    <n v="13"/>
    <n v="109.2"/>
    <n v="32.76"/>
    <x v="0"/>
  </r>
  <r>
    <x v="3"/>
    <x v="16"/>
    <n v="6"/>
    <n v="5"/>
    <n v="7"/>
    <x v="3"/>
    <s v="SP 25.4.2"/>
    <n v="8"/>
    <n v="67.2"/>
    <n v="20.16"/>
    <x v="0"/>
  </r>
  <r>
    <x v="3"/>
    <x v="16"/>
    <n v="6"/>
    <n v="5"/>
    <n v="7"/>
    <x v="3"/>
    <s v="SP 25.4.3"/>
    <n v="8"/>
    <n v="67.2"/>
    <n v="20.16"/>
    <x v="0"/>
  </r>
  <r>
    <x v="3"/>
    <x v="16"/>
    <n v="6"/>
    <n v="5"/>
    <n v="7"/>
    <x v="3"/>
    <s v="SP 25.4.4"/>
    <n v="7"/>
    <n v="58.8"/>
    <n v="17.639999999999997"/>
    <x v="0"/>
  </r>
  <r>
    <x v="3"/>
    <x v="16"/>
    <n v="6"/>
    <n v="5"/>
    <n v="7"/>
    <x v="3"/>
    <s v="SP 25.4.5"/>
    <n v="8"/>
    <n v="67.2"/>
    <n v="20.16"/>
    <x v="0"/>
  </r>
  <r>
    <x v="3"/>
    <x v="16"/>
    <n v="6"/>
    <n v="5"/>
    <n v="7"/>
    <x v="3"/>
    <s v="SP 25.4.6"/>
    <n v="8"/>
    <n v="67.2"/>
    <n v="2"/>
    <x v="0"/>
  </r>
  <r>
    <x v="5"/>
    <x v="17"/>
    <n v="4"/>
    <n v="4"/>
    <n v="7"/>
    <x v="0"/>
    <s v="SP 25.1.1"/>
    <n v="7"/>
    <n v="49"/>
    <n v="16.66"/>
    <x v="0"/>
  </r>
  <r>
    <x v="5"/>
    <x v="17"/>
    <n v="4"/>
    <n v="4"/>
    <n v="7"/>
    <x v="0"/>
    <s v="SP 25.1.2"/>
    <n v="8"/>
    <n v="56"/>
    <n v="19.040000000000003"/>
    <x v="0"/>
  </r>
  <r>
    <x v="5"/>
    <x v="17"/>
    <n v="4"/>
    <n v="4"/>
    <n v="7"/>
    <x v="0"/>
    <s v="SP 25.1.3"/>
    <n v="8"/>
    <n v="56"/>
    <n v="19.040000000000003"/>
    <x v="0"/>
  </r>
  <r>
    <x v="5"/>
    <x v="17"/>
    <n v="4"/>
    <n v="4"/>
    <n v="7"/>
    <x v="0"/>
    <s v="SP 25.1.4"/>
    <n v="6"/>
    <n v="42"/>
    <n v="14.280000000000001"/>
    <x v="0"/>
  </r>
  <r>
    <x v="5"/>
    <x v="17"/>
    <n v="4"/>
    <n v="4"/>
    <n v="7"/>
    <x v="0"/>
    <s v="SP 25.1.5"/>
    <n v="8"/>
    <n v="56"/>
    <n v="19.040000000000003"/>
    <x v="0"/>
  </r>
  <r>
    <x v="5"/>
    <x v="17"/>
    <n v="4"/>
    <n v="4"/>
    <n v="7"/>
    <x v="0"/>
    <s v="SP 25.1.6"/>
    <n v="3"/>
    <n v="21"/>
    <n v="7.1400000000000006"/>
    <x v="0"/>
  </r>
  <r>
    <x v="5"/>
    <x v="17"/>
    <n v="4"/>
    <n v="5.07"/>
    <n v="7"/>
    <x v="1"/>
    <s v="SP 25.2.1"/>
    <n v="6"/>
    <n v="33.136094674556212"/>
    <n v="11.266272189349113"/>
    <x v="0"/>
  </r>
  <r>
    <x v="5"/>
    <x v="17"/>
    <n v="4"/>
    <n v="5.07"/>
    <n v="7"/>
    <x v="1"/>
    <s v="SP 25.2.2"/>
    <n v="7"/>
    <n v="38.658777120315577"/>
    <n v="13.143984220907297"/>
    <x v="0"/>
  </r>
  <r>
    <x v="5"/>
    <x v="17"/>
    <n v="4"/>
    <n v="5.07"/>
    <n v="7"/>
    <x v="1"/>
    <s v="SP 25.2.3"/>
    <n v="8"/>
    <n v="44.181459566074949"/>
    <n v="15.021696252465484"/>
    <x v="0"/>
  </r>
  <r>
    <x v="5"/>
    <x v="17"/>
    <n v="4"/>
    <n v="5.07"/>
    <n v="7"/>
    <x v="1"/>
    <s v="SP 25.2.4"/>
    <n v="8"/>
    <n v="44.181459566074949"/>
    <n v="15.021696252465484"/>
    <x v="0"/>
  </r>
  <r>
    <x v="5"/>
    <x v="17"/>
    <n v="4"/>
    <n v="5.07"/>
    <n v="7"/>
    <x v="1"/>
    <s v="SP 25.2.5"/>
    <n v="7"/>
    <n v="38.658777120315577"/>
    <n v="13.143984220907297"/>
    <x v="0"/>
  </r>
  <r>
    <x v="5"/>
    <x v="17"/>
    <n v="4"/>
    <n v="5.07"/>
    <n v="7"/>
    <x v="1"/>
    <s v="SP 25.2.6"/>
    <n v="3"/>
    <n v="16.568047337278106"/>
    <n v="5.6331360946745566"/>
    <x v="0"/>
  </r>
  <r>
    <x v="5"/>
    <x v="17"/>
    <n v="2"/>
    <n v="6.1"/>
    <n v="7"/>
    <x v="2"/>
    <s v="SP 25.3.1"/>
    <n v="7"/>
    <n v="16.065573770491802"/>
    <n v="7"/>
    <x v="0"/>
  </r>
  <r>
    <x v="5"/>
    <x v="17"/>
    <n v="2"/>
    <n v="6.1"/>
    <n v="7"/>
    <x v="2"/>
    <s v="SP 25.3.2"/>
    <n v="8"/>
    <n v="18.360655737704921"/>
    <n v="8"/>
    <x v="0"/>
  </r>
  <r>
    <x v="5"/>
    <x v="17"/>
    <n v="3.5"/>
    <n v="6.1"/>
    <n v="7"/>
    <x v="2"/>
    <s v="SP 25.3.3"/>
    <n v="8"/>
    <n v="32.131147540983605"/>
    <n v="9"/>
    <x v="0"/>
  </r>
  <r>
    <x v="5"/>
    <x v="17"/>
    <n v="3.5"/>
    <n v="6.1"/>
    <n v="7"/>
    <x v="2"/>
    <s v="SP 25.3.4"/>
    <n v="13"/>
    <n v="52.213114754098363"/>
    <n v="11"/>
    <x v="0"/>
  </r>
  <r>
    <x v="5"/>
    <x v="17"/>
    <n v="3.5"/>
    <n v="6.1"/>
    <n v="7"/>
    <x v="2"/>
    <s v="SP 25.3.5"/>
    <n v="3"/>
    <n v="12.049180327868854"/>
    <n v="5"/>
    <x v="0"/>
  </r>
  <r>
    <x v="5"/>
    <x v="17"/>
    <n v="4"/>
    <n v="6.1"/>
    <n v="7"/>
    <x v="3"/>
    <s v="SP 25.4.1"/>
    <n v="13"/>
    <n v="59.672131147540988"/>
    <n v="20.288524590163938"/>
    <x v="0"/>
  </r>
  <r>
    <x v="5"/>
    <x v="17"/>
    <n v="4"/>
    <n v="6.1"/>
    <n v="7"/>
    <x v="3"/>
    <s v="SP 25.4.2"/>
    <n v="8"/>
    <n v="36.721311475409841"/>
    <n v="12.485245901639347"/>
    <x v="0"/>
  </r>
  <r>
    <x v="5"/>
    <x v="17"/>
    <n v="4"/>
    <n v="6.1"/>
    <n v="7"/>
    <x v="3"/>
    <s v="SP 25.4.3"/>
    <n v="8"/>
    <n v="36.721311475409841"/>
    <n v="12.485245901639347"/>
    <x v="0"/>
  </r>
  <r>
    <x v="5"/>
    <x v="17"/>
    <n v="3.5"/>
    <n v="6.1"/>
    <n v="7"/>
    <x v="3"/>
    <s v="SP 25.4.4"/>
    <n v="7"/>
    <n v="28.114754098360656"/>
    <n v="9.559016393442624"/>
    <x v="0"/>
  </r>
  <r>
    <x v="5"/>
    <x v="17"/>
    <n v="2.5"/>
    <n v="6.1"/>
    <n v="7"/>
    <x v="3"/>
    <s v="SP 25.4.5"/>
    <n v="8"/>
    <n v="22.95081967213115"/>
    <n v="7.8032786885245917"/>
    <x v="0"/>
  </r>
  <r>
    <x v="5"/>
    <x v="17"/>
    <n v="4"/>
    <n v="6.1"/>
    <n v="7"/>
    <x v="3"/>
    <s v="SP 25.4.6"/>
    <n v="8"/>
    <n v="36.721311475409841"/>
    <n v="12.485245901639347"/>
    <x v="0"/>
  </r>
  <r>
    <x v="5"/>
    <x v="18"/>
    <n v="4"/>
    <n v="6.4"/>
    <n v="7"/>
    <x v="0"/>
    <s v="SP 25.1.1"/>
    <n v="7"/>
    <n v="30.625"/>
    <n v="5.5125000000000002"/>
    <x v="0"/>
  </r>
  <r>
    <x v="5"/>
    <x v="18"/>
    <n v="4"/>
    <n v="6.4"/>
    <n v="7"/>
    <x v="0"/>
    <s v="SP 25.1.2"/>
    <n v="8"/>
    <n v="35"/>
    <n v="6.3"/>
    <x v="0"/>
  </r>
  <r>
    <x v="5"/>
    <x v="18"/>
    <n v="4"/>
    <n v="6.4"/>
    <n v="7"/>
    <x v="0"/>
    <s v="SP 25.1.3"/>
    <n v="8"/>
    <n v="35"/>
    <n v="6.3"/>
    <x v="0"/>
  </r>
  <r>
    <x v="5"/>
    <x v="18"/>
    <n v="4"/>
    <n v="6.4"/>
    <n v="7"/>
    <x v="0"/>
    <s v="SP 25.1.4"/>
    <n v="6"/>
    <n v="26.25"/>
    <n v="4.7249999999999996"/>
    <x v="0"/>
  </r>
  <r>
    <x v="5"/>
    <x v="18"/>
    <n v="4"/>
    <n v="6.4"/>
    <n v="7"/>
    <x v="0"/>
    <s v="SP 25.1.5"/>
    <n v="8"/>
    <n v="35"/>
    <n v="6.3"/>
    <x v="0"/>
  </r>
  <r>
    <x v="5"/>
    <x v="18"/>
    <n v="4"/>
    <n v="6.4"/>
    <n v="7"/>
    <x v="0"/>
    <s v="SP 25.1.6"/>
    <n v="3"/>
    <n v="13.125"/>
    <n v="2.3624999999999998"/>
    <x v="0"/>
  </r>
  <r>
    <x v="5"/>
    <x v="18"/>
    <n v="4"/>
    <n v="6.91"/>
    <n v="7"/>
    <x v="1"/>
    <s v="SP 25.2.1"/>
    <n v="6"/>
    <n v="24.31259044862518"/>
    <n v="4.3762662807525325"/>
    <x v="0"/>
  </r>
  <r>
    <x v="5"/>
    <x v="18"/>
    <n v="4"/>
    <n v="6.91"/>
    <n v="7"/>
    <x v="1"/>
    <s v="SP 25.2.2"/>
    <n v="7"/>
    <n v="28.364688856729376"/>
    <n v="5.1056439942112872"/>
    <x v="0"/>
  </r>
  <r>
    <x v="5"/>
    <x v="18"/>
    <n v="4"/>
    <n v="6.91"/>
    <n v="7"/>
    <x v="1"/>
    <s v="SP 25.2.3"/>
    <n v="8"/>
    <n v="32.416787264833573"/>
    <n v="5.8350217076700428"/>
    <x v="0"/>
  </r>
  <r>
    <x v="5"/>
    <x v="18"/>
    <n v="4"/>
    <n v="6.91"/>
    <n v="7"/>
    <x v="1"/>
    <s v="SP 25.2.4"/>
    <n v="8"/>
    <n v="32.416787264833573"/>
    <n v="5.8350217076700428"/>
    <x v="0"/>
  </r>
  <r>
    <x v="5"/>
    <x v="18"/>
    <n v="4"/>
    <n v="6.91"/>
    <n v="7"/>
    <x v="1"/>
    <s v="SP 25.2.5"/>
    <n v="7"/>
    <n v="28.364688856729376"/>
    <n v="5.1056439942112872"/>
    <x v="0"/>
  </r>
  <r>
    <x v="5"/>
    <x v="18"/>
    <n v="4"/>
    <n v="6.91"/>
    <n v="7"/>
    <x v="1"/>
    <s v="SP 25.2.6"/>
    <n v="3"/>
    <n v="12.15629522431259"/>
    <n v="2.1881331403762663"/>
    <x v="0"/>
  </r>
  <r>
    <x v="5"/>
    <x v="18"/>
    <n v="3"/>
    <n v="5.5"/>
    <n v="7"/>
    <x v="2"/>
    <s v="SP 25.3.1"/>
    <n v="7"/>
    <n v="26.727272727272727"/>
    <n v="3"/>
    <x v="0"/>
  </r>
  <r>
    <x v="5"/>
    <x v="18"/>
    <n v="3"/>
    <n v="5.5"/>
    <n v="7"/>
    <x v="2"/>
    <s v="SP 25.3.2"/>
    <n v="8"/>
    <n v="30.545454545454547"/>
    <n v="3"/>
    <x v="0"/>
  </r>
  <r>
    <x v="5"/>
    <x v="18"/>
    <n v="4"/>
    <n v="5.5"/>
    <n v="7"/>
    <x v="2"/>
    <s v="SP 25.3.3"/>
    <n v="8"/>
    <n v="40.727272727272727"/>
    <n v="3"/>
    <x v="0"/>
  </r>
  <r>
    <x v="5"/>
    <x v="18"/>
    <n v="4"/>
    <n v="5.5"/>
    <n v="7"/>
    <x v="2"/>
    <s v="SP 25.3.4"/>
    <n v="13"/>
    <n v="66.181818181818187"/>
    <n v="4"/>
    <x v="0"/>
  </r>
  <r>
    <x v="5"/>
    <x v="18"/>
    <n v="3"/>
    <n v="5.5"/>
    <n v="7"/>
    <x v="2"/>
    <s v="SP 25.3.5"/>
    <n v="3"/>
    <n v="11.454545454545455"/>
    <n v="1"/>
    <x v="0"/>
  </r>
  <r>
    <x v="5"/>
    <x v="18"/>
    <n v="4"/>
    <n v="5.5"/>
    <n v="7"/>
    <x v="3"/>
    <s v="SP 25.4.1"/>
    <n v="13"/>
    <n v="66.181818181818187"/>
    <n v="11.912727272727274"/>
    <x v="0"/>
  </r>
  <r>
    <x v="5"/>
    <x v="18"/>
    <n v="4"/>
    <n v="5.5"/>
    <n v="7"/>
    <x v="3"/>
    <s v="SP 25.4.2"/>
    <n v="8"/>
    <n v="40.727272727272727"/>
    <n v="7.3309090909090902"/>
    <x v="0"/>
  </r>
  <r>
    <x v="5"/>
    <x v="18"/>
    <n v="3.5"/>
    <n v="5.5"/>
    <n v="7"/>
    <x v="3"/>
    <s v="SP 25.4.3"/>
    <n v="8"/>
    <n v="35.636363636363633"/>
    <n v="6.4145454545454541"/>
    <x v="0"/>
  </r>
  <r>
    <x v="5"/>
    <x v="18"/>
    <n v="4"/>
    <n v="5.5"/>
    <n v="7"/>
    <x v="3"/>
    <s v="SP 25.4.4"/>
    <n v="7"/>
    <n v="35.636363636363633"/>
    <n v="6.4145454545454541"/>
    <x v="0"/>
  </r>
  <r>
    <x v="5"/>
    <x v="18"/>
    <n v="4"/>
    <n v="5.5"/>
    <n v="7"/>
    <x v="3"/>
    <s v="SP 25.4.5"/>
    <n v="8"/>
    <n v="40.727272727272727"/>
    <n v="7.3309090909090902"/>
    <x v="0"/>
  </r>
  <r>
    <x v="5"/>
    <x v="18"/>
    <n v="4"/>
    <n v="5.5"/>
    <n v="7"/>
    <x v="3"/>
    <s v="SP 25.4.6"/>
    <n v="8"/>
    <n v="40.727272727272727"/>
    <n v="7.3309090909090902"/>
    <x v="0"/>
  </r>
  <r>
    <x v="5"/>
    <x v="19"/>
    <n v="4"/>
    <n v="5"/>
    <n v="7"/>
    <x v="0"/>
    <s v="SP 25.1.1"/>
    <n v="7"/>
    <n v="39.200000000000003"/>
    <n v="14.896000000000001"/>
    <x v="0"/>
  </r>
  <r>
    <x v="5"/>
    <x v="19"/>
    <n v="4"/>
    <n v="5"/>
    <n v="7"/>
    <x v="0"/>
    <s v="SP 25.1.2"/>
    <n v="8"/>
    <n v="44.8"/>
    <n v="17.023999999999997"/>
    <x v="0"/>
  </r>
  <r>
    <x v="5"/>
    <x v="19"/>
    <n v="4"/>
    <n v="5"/>
    <n v="7"/>
    <x v="0"/>
    <s v="SP 25.1.3"/>
    <n v="8"/>
    <n v="44.8"/>
    <n v="17.023999999999997"/>
    <x v="0"/>
  </r>
  <r>
    <x v="5"/>
    <x v="19"/>
    <n v="4"/>
    <n v="5"/>
    <n v="7"/>
    <x v="0"/>
    <s v="SP 25.1.4"/>
    <n v="6"/>
    <n v="33.6"/>
    <n v="12.768000000000001"/>
    <x v="0"/>
  </r>
  <r>
    <x v="5"/>
    <x v="19"/>
    <n v="4"/>
    <n v="5"/>
    <n v="7"/>
    <x v="0"/>
    <s v="SP 25.1.5"/>
    <n v="8"/>
    <n v="44.8"/>
    <n v="17.023999999999997"/>
    <x v="0"/>
  </r>
  <r>
    <x v="5"/>
    <x v="19"/>
    <n v="4"/>
    <n v="5"/>
    <n v="7"/>
    <x v="0"/>
    <s v="SP 25.1.6"/>
    <n v="3"/>
    <n v="16.8"/>
    <n v="6.3840000000000003"/>
    <x v="0"/>
  </r>
  <r>
    <x v="5"/>
    <x v="19"/>
    <n v="3"/>
    <n v="5.65"/>
    <n v="7"/>
    <x v="1"/>
    <s v="SP 25.2.1"/>
    <n v="6"/>
    <n v="22.30088495575221"/>
    <n v="8.4743362831858402"/>
    <x v="0"/>
  </r>
  <r>
    <x v="5"/>
    <x v="19"/>
    <n v="3"/>
    <n v="5.65"/>
    <n v="7"/>
    <x v="1"/>
    <s v="SP 25.2.2"/>
    <n v="7"/>
    <n v="26.017699115044245"/>
    <n v="9.8867256637168133"/>
    <x v="0"/>
  </r>
  <r>
    <x v="5"/>
    <x v="19"/>
    <n v="3"/>
    <n v="5.65"/>
    <n v="7"/>
    <x v="1"/>
    <s v="SP 25.2.3"/>
    <n v="8"/>
    <n v="29.73451327433628"/>
    <n v="11.299115044247786"/>
    <x v="0"/>
  </r>
  <r>
    <x v="5"/>
    <x v="19"/>
    <n v="3"/>
    <n v="5.65"/>
    <n v="7"/>
    <x v="1"/>
    <s v="SP 25.2.4"/>
    <n v="8"/>
    <n v="29.73451327433628"/>
    <n v="11.299115044247786"/>
    <x v="0"/>
  </r>
  <r>
    <x v="5"/>
    <x v="19"/>
    <n v="3"/>
    <n v="5.65"/>
    <n v="7"/>
    <x v="1"/>
    <s v="SP 25.2.5"/>
    <n v="7"/>
    <n v="26.017699115044245"/>
    <n v="9.8867256637168133"/>
    <x v="0"/>
  </r>
  <r>
    <x v="5"/>
    <x v="19"/>
    <n v="3"/>
    <n v="5.65"/>
    <n v="7"/>
    <x v="1"/>
    <s v="SP 25.2.6"/>
    <n v="3"/>
    <n v="11.150442477876105"/>
    <n v="4.2371681415929201"/>
    <x v="0"/>
  </r>
  <r>
    <x v="5"/>
    <x v="20"/>
    <n v="6"/>
    <n v="6.8"/>
    <n v="7"/>
    <x v="2"/>
    <s v="SP 25.3.1"/>
    <n v="7"/>
    <n v="43.235294117647058"/>
    <n v="21"/>
    <x v="0"/>
  </r>
  <r>
    <x v="5"/>
    <x v="20"/>
    <n v="6.5"/>
    <n v="6.8"/>
    <n v="7"/>
    <x v="2"/>
    <s v="SP 25.3.2"/>
    <n v="8"/>
    <n v="53.529411764705884"/>
    <n v="21"/>
    <x v="0"/>
  </r>
  <r>
    <x v="5"/>
    <x v="20"/>
    <n v="6.3"/>
    <n v="6.8"/>
    <n v="7"/>
    <x v="2"/>
    <s v="SP 25.3.3"/>
    <n v="8"/>
    <n v="51.882352941176471"/>
    <n v="21"/>
    <x v="0"/>
  </r>
  <r>
    <x v="5"/>
    <x v="20"/>
    <n v="6.4"/>
    <n v="6.8"/>
    <n v="7"/>
    <x v="2"/>
    <s v="SP 25.3.4"/>
    <n v="13"/>
    <n v="85.647058823529406"/>
    <n v="21"/>
    <x v="0"/>
  </r>
  <r>
    <x v="5"/>
    <x v="20"/>
    <n v="7"/>
    <n v="6.8"/>
    <n v="7"/>
    <x v="2"/>
    <s v="SP 25.3.5"/>
    <n v="3"/>
    <n v="21.617647058823529"/>
    <n v="18"/>
    <x v="0"/>
  </r>
  <r>
    <x v="5"/>
    <x v="20"/>
    <n v="7"/>
    <n v="6.8"/>
    <n v="7"/>
    <x v="3"/>
    <s v="SP 25.4.1"/>
    <n v="13"/>
    <n v="93.67647058823529"/>
    <n v="35.597058823529409"/>
    <x v="0"/>
  </r>
  <r>
    <x v="5"/>
    <x v="20"/>
    <n v="7"/>
    <n v="6.8"/>
    <n v="7"/>
    <x v="3"/>
    <s v="SP 25.4.2"/>
    <n v="8"/>
    <n v="57.647058823529413"/>
    <n v="21.905882352941177"/>
    <x v="0"/>
  </r>
  <r>
    <x v="5"/>
    <x v="20"/>
    <n v="7"/>
    <n v="6.8"/>
    <n v="7"/>
    <x v="3"/>
    <s v="SP 25.4.3"/>
    <n v="8"/>
    <n v="57.647058823529413"/>
    <n v="21.905882352941177"/>
    <x v="0"/>
  </r>
  <r>
    <x v="5"/>
    <x v="20"/>
    <n v="7"/>
    <n v="6.8"/>
    <n v="7"/>
    <x v="3"/>
    <s v="SP 25.4.4"/>
    <n v="7"/>
    <n v="50.441176470588239"/>
    <n v="19.16764705882353"/>
    <x v="0"/>
  </r>
  <r>
    <x v="5"/>
    <x v="20"/>
    <n v="7"/>
    <n v="6.8"/>
    <n v="7"/>
    <x v="3"/>
    <s v="SP 25.4.5"/>
    <n v="8"/>
    <n v="57.647058823529413"/>
    <n v="21.905882352941177"/>
    <x v="0"/>
  </r>
  <r>
    <x v="5"/>
    <x v="20"/>
    <n v="7"/>
    <n v="6.8"/>
    <n v="7"/>
    <x v="3"/>
    <s v="SP 25.4.6"/>
    <n v="8"/>
    <n v="57.647058823529413"/>
    <n v="21.905882352941177"/>
    <x v="0"/>
  </r>
  <r>
    <x v="5"/>
    <x v="21"/>
    <n v="3"/>
    <n v="5"/>
    <n v="7"/>
    <x v="0"/>
    <s v="SP 25.1.1"/>
    <n v="7"/>
    <n v="29.4"/>
    <n v="7.6440000000000001"/>
    <x v="0"/>
  </r>
  <r>
    <x v="5"/>
    <x v="21"/>
    <n v="3"/>
    <n v="5"/>
    <n v="7"/>
    <x v="0"/>
    <s v="SP 25.1.2"/>
    <n v="8"/>
    <n v="33.6"/>
    <n v="8.7360000000000007"/>
    <x v="0"/>
  </r>
  <r>
    <x v="5"/>
    <x v="21"/>
    <n v="3"/>
    <n v="5"/>
    <n v="7"/>
    <x v="0"/>
    <s v="SP 25.1.3"/>
    <n v="8"/>
    <n v="33.6"/>
    <n v="8.7360000000000007"/>
    <x v="0"/>
  </r>
  <r>
    <x v="5"/>
    <x v="21"/>
    <n v="3"/>
    <n v="5"/>
    <n v="7"/>
    <x v="0"/>
    <s v="SP 25.1.4"/>
    <n v="6"/>
    <n v="25.2"/>
    <n v="6.5519999999999996"/>
    <x v="0"/>
  </r>
  <r>
    <x v="5"/>
    <x v="21"/>
    <n v="3"/>
    <n v="5"/>
    <n v="7"/>
    <x v="0"/>
    <s v="SP 25.1.5"/>
    <n v="8"/>
    <n v="33.6"/>
    <n v="8.7360000000000007"/>
    <x v="0"/>
  </r>
  <r>
    <x v="5"/>
    <x v="21"/>
    <n v="3"/>
    <n v="5"/>
    <n v="7"/>
    <x v="0"/>
    <s v="SP 25.1.6"/>
    <n v="3"/>
    <n v="12.6"/>
    <n v="3.2759999999999998"/>
    <x v="0"/>
  </r>
  <r>
    <x v="5"/>
    <x v="21"/>
    <n v="4"/>
    <n v="3.91"/>
    <n v="7"/>
    <x v="1"/>
    <s v="SP 25.2.1"/>
    <n v="6"/>
    <n v="42.966751918158565"/>
    <n v="11.171355498721228"/>
    <x v="0"/>
  </r>
  <r>
    <x v="5"/>
    <x v="21"/>
    <n v="4"/>
    <n v="3.91"/>
    <n v="7"/>
    <x v="1"/>
    <s v="SP 25.2.2"/>
    <n v="7"/>
    <n v="50.127877237851663"/>
    <n v="13.033248081841434"/>
    <x v="0"/>
  </r>
  <r>
    <x v="5"/>
    <x v="21"/>
    <n v="4"/>
    <n v="3.91"/>
    <n v="7"/>
    <x v="1"/>
    <s v="SP 25.2.3"/>
    <n v="8"/>
    <n v="57.289002557544755"/>
    <n v="14.895140664961637"/>
    <x v="0"/>
  </r>
  <r>
    <x v="5"/>
    <x v="21"/>
    <n v="4"/>
    <n v="3.91"/>
    <n v="7"/>
    <x v="1"/>
    <s v="SP 25.2.4"/>
    <n v="8"/>
    <n v="57.289002557544755"/>
    <n v="14.895140664961637"/>
    <x v="0"/>
  </r>
  <r>
    <x v="5"/>
    <x v="21"/>
    <n v="4"/>
    <n v="3.91"/>
    <n v="7"/>
    <x v="1"/>
    <s v="SP 25.2.5"/>
    <n v="7"/>
    <n v="50.127877237851663"/>
    <n v="13.033248081841434"/>
    <x v="0"/>
  </r>
  <r>
    <x v="5"/>
    <x v="21"/>
    <n v="4"/>
    <n v="3.91"/>
    <n v="7"/>
    <x v="1"/>
    <s v="SP 25.2.6"/>
    <n v="3"/>
    <n v="21.483375959079282"/>
    <n v="5.585677749360614"/>
    <x v="0"/>
  </r>
  <r>
    <x v="6"/>
    <x v="22"/>
    <n v="3"/>
    <n v="6.6"/>
    <n v="7"/>
    <x v="0"/>
    <s v="SP 25.1.1"/>
    <n v="7"/>
    <n v="22.272727272727273"/>
    <m/>
    <x v="0"/>
  </r>
  <r>
    <x v="6"/>
    <x v="22"/>
    <n v="3"/>
    <n v="6.6"/>
    <n v="7"/>
    <x v="0"/>
    <s v="SP 25.1.2"/>
    <n v="8"/>
    <n v="25.454545454545457"/>
    <m/>
    <x v="0"/>
  </r>
  <r>
    <x v="6"/>
    <x v="22"/>
    <n v="3"/>
    <n v="6.6"/>
    <n v="7"/>
    <x v="0"/>
    <s v="SP 25.1.3"/>
    <n v="8"/>
    <n v="25.454545454545457"/>
    <m/>
    <x v="0"/>
  </r>
  <r>
    <x v="6"/>
    <x v="22"/>
    <n v="3"/>
    <n v="6.6"/>
    <n v="7"/>
    <x v="0"/>
    <s v="SP 25.1.4"/>
    <n v="6"/>
    <n v="19.090909090909093"/>
    <m/>
    <x v="0"/>
  </r>
  <r>
    <x v="6"/>
    <x v="22"/>
    <n v="3"/>
    <n v="6.6"/>
    <n v="7"/>
    <x v="0"/>
    <s v="SP 25.1.5"/>
    <n v="8"/>
    <n v="25.454545454545457"/>
    <m/>
    <x v="0"/>
  </r>
  <r>
    <x v="6"/>
    <x v="22"/>
    <n v="3"/>
    <n v="6.6"/>
    <n v="7"/>
    <x v="0"/>
    <s v="SP 25.1.6"/>
    <n v="3"/>
    <n v="9.5454545454545467"/>
    <m/>
    <x v="0"/>
  </r>
  <r>
    <x v="6"/>
    <x v="23"/>
    <n v="7"/>
    <n v="7.4"/>
    <n v="7"/>
    <x v="0"/>
    <s v="SP 25.1.1"/>
    <n v="7"/>
    <n v="46.351351351351347"/>
    <m/>
    <x v="0"/>
  </r>
  <r>
    <x v="6"/>
    <x v="23"/>
    <n v="7"/>
    <n v="7.4"/>
    <n v="7"/>
    <x v="0"/>
    <s v="SP 25.1.2"/>
    <n v="8"/>
    <n v="52.972972972972968"/>
    <m/>
    <x v="0"/>
  </r>
  <r>
    <x v="6"/>
    <x v="23"/>
    <n v="7"/>
    <n v="7.4"/>
    <n v="7"/>
    <x v="0"/>
    <s v="SP 25.1.3"/>
    <n v="8"/>
    <n v="52.972972972972968"/>
    <m/>
    <x v="0"/>
  </r>
  <r>
    <x v="6"/>
    <x v="23"/>
    <n v="7.5"/>
    <n v="7.4"/>
    <n v="7"/>
    <x v="0"/>
    <s v="SP 25.1.4"/>
    <n v="6"/>
    <n v="42.567567567567565"/>
    <m/>
    <x v="0"/>
  </r>
  <r>
    <x v="6"/>
    <x v="23"/>
    <n v="7.5"/>
    <n v="7.4"/>
    <n v="7"/>
    <x v="0"/>
    <s v="SP 25.1.5"/>
    <n v="8"/>
    <n v="56.756756756756751"/>
    <m/>
    <x v="0"/>
  </r>
  <r>
    <x v="6"/>
    <x v="23"/>
    <n v="7.5"/>
    <n v="7.4"/>
    <n v="7"/>
    <x v="0"/>
    <s v="SP 25.1.6"/>
    <n v="3"/>
    <n v="21.283783783783782"/>
    <m/>
    <x v="0"/>
  </r>
  <r>
    <x v="6"/>
    <x v="23"/>
    <n v="5.5"/>
    <n v="10.1"/>
    <n v="7"/>
    <x v="1"/>
    <s v="SP 25.2.1"/>
    <n v="6"/>
    <n v="22.871287128712872"/>
    <m/>
    <x v="0"/>
  </r>
  <r>
    <x v="6"/>
    <x v="23"/>
    <n v="3.5"/>
    <n v="10.1"/>
    <n v="7"/>
    <x v="1"/>
    <s v="SP 25.2.2"/>
    <n v="7"/>
    <n v="16.980198019801982"/>
    <m/>
    <x v="0"/>
  </r>
  <r>
    <x v="6"/>
    <x v="23"/>
    <n v="4"/>
    <n v="10.1"/>
    <n v="7"/>
    <x v="1"/>
    <s v="SP 25.2.3"/>
    <n v="8"/>
    <n v="22.17821782178218"/>
    <m/>
    <x v="0"/>
  </r>
  <r>
    <x v="6"/>
    <x v="23"/>
    <n v="4.5"/>
    <n v="10.1"/>
    <n v="7"/>
    <x v="1"/>
    <s v="SP 25.2.4"/>
    <n v="8"/>
    <n v="24.950495049504951"/>
    <m/>
    <x v="0"/>
  </r>
  <r>
    <x v="6"/>
    <x v="23"/>
    <n v="5"/>
    <n v="10.1"/>
    <n v="7"/>
    <x v="1"/>
    <s v="SP 25.2.5"/>
    <n v="7"/>
    <n v="24.257425742574259"/>
    <m/>
    <x v="0"/>
  </r>
  <r>
    <x v="6"/>
    <x v="23"/>
    <n v="5.5"/>
    <n v="10.1"/>
    <n v="7"/>
    <x v="1"/>
    <s v="SP 25.2.6"/>
    <n v="3"/>
    <n v="11.435643564356436"/>
    <m/>
    <x v="0"/>
  </r>
  <r>
    <x v="6"/>
    <x v="23"/>
    <n v="5"/>
    <n v="9.5"/>
    <n v="7"/>
    <x v="2"/>
    <s v="SP 25.3.1"/>
    <n v="7"/>
    <n v="25.789473684210527"/>
    <m/>
    <x v="0"/>
  </r>
  <r>
    <x v="6"/>
    <x v="23"/>
    <n v="5"/>
    <n v="9.5"/>
    <n v="7"/>
    <x v="2"/>
    <s v="SP 25.3.2"/>
    <n v="8"/>
    <n v="29.473684210526315"/>
    <m/>
    <x v="0"/>
  </r>
  <r>
    <x v="6"/>
    <x v="23"/>
    <n v="5"/>
    <n v="9.5"/>
    <n v="7"/>
    <x v="2"/>
    <s v="SP 25.3.3"/>
    <n v="8"/>
    <n v="29.473684210526315"/>
    <m/>
    <x v="0"/>
  </r>
  <r>
    <x v="6"/>
    <x v="23"/>
    <n v="5"/>
    <n v="9.5"/>
    <n v="7"/>
    <x v="2"/>
    <s v="SP 25.3.4"/>
    <n v="13"/>
    <n v="47.89473684210526"/>
    <m/>
    <x v="0"/>
  </r>
  <r>
    <x v="6"/>
    <x v="23"/>
    <n v="4"/>
    <n v="9.5"/>
    <n v="7"/>
    <x v="2"/>
    <s v="SP 25.3.5"/>
    <n v="3"/>
    <n v="8.8421052631578956"/>
    <m/>
    <x v="0"/>
  </r>
  <r>
    <x v="6"/>
    <x v="23"/>
    <n v="5"/>
    <n v="9.5"/>
    <n v="7"/>
    <x v="3"/>
    <s v="SP 25.4.1"/>
    <n v="13"/>
    <n v="47.89473684210526"/>
    <m/>
    <x v="0"/>
  </r>
  <r>
    <x v="6"/>
    <x v="23"/>
    <n v="5"/>
    <n v="9.5"/>
    <n v="7"/>
    <x v="3"/>
    <s v="SP 25.4.2"/>
    <n v="8"/>
    <n v="29.473684210526315"/>
    <m/>
    <x v="0"/>
  </r>
  <r>
    <x v="6"/>
    <x v="23"/>
    <n v="5"/>
    <n v="9.5"/>
    <n v="7"/>
    <x v="3"/>
    <s v="SP 25.4.3"/>
    <n v="8"/>
    <n v="29.473684210526315"/>
    <m/>
    <x v="0"/>
  </r>
  <r>
    <x v="6"/>
    <x v="23"/>
    <n v="5"/>
    <n v="9.5"/>
    <n v="7"/>
    <x v="3"/>
    <s v="SP 25.4.4"/>
    <n v="7"/>
    <n v="25.789473684210527"/>
    <m/>
    <x v="0"/>
  </r>
  <r>
    <x v="6"/>
    <x v="23"/>
    <n v="5"/>
    <n v="9.5"/>
    <n v="7"/>
    <x v="3"/>
    <s v="SP 25.4.5"/>
    <n v="8"/>
    <n v="29.473684210526315"/>
    <m/>
    <x v="0"/>
  </r>
  <r>
    <x v="6"/>
    <x v="23"/>
    <n v="5"/>
    <n v="9.5"/>
    <n v="7"/>
    <x v="3"/>
    <s v="SP 25.4.6"/>
    <n v="8"/>
    <n v="29.473684210526315"/>
    <m/>
    <x v="0"/>
  </r>
  <r>
    <x v="6"/>
    <x v="24"/>
    <n v="7.6"/>
    <n v="6.6"/>
    <n v="7"/>
    <x v="0"/>
    <s v="SP 25.1.1"/>
    <n v="7"/>
    <n v="56.424242424242422"/>
    <m/>
    <x v="0"/>
  </r>
  <r>
    <x v="6"/>
    <x v="24"/>
    <n v="7"/>
    <n v="6.6"/>
    <n v="7"/>
    <x v="0"/>
    <s v="SP 25.1.2"/>
    <n v="8"/>
    <n v="59.393939393939398"/>
    <m/>
    <x v="0"/>
  </r>
  <r>
    <x v="6"/>
    <x v="24"/>
    <n v="7"/>
    <n v="6.6"/>
    <n v="7"/>
    <x v="0"/>
    <s v="SP 25.1.3"/>
    <n v="8"/>
    <n v="59.393939393939398"/>
    <m/>
    <x v="0"/>
  </r>
  <r>
    <x v="6"/>
    <x v="24"/>
    <n v="6"/>
    <n v="6.6"/>
    <n v="7"/>
    <x v="0"/>
    <s v="SP 25.1.4"/>
    <n v="6"/>
    <n v="38.181818181818187"/>
    <m/>
    <x v="0"/>
  </r>
  <r>
    <x v="6"/>
    <x v="24"/>
    <n v="7"/>
    <n v="6.6"/>
    <n v="7"/>
    <x v="0"/>
    <s v="SP 25.1.5"/>
    <n v="8"/>
    <n v="59.393939393939398"/>
    <m/>
    <x v="0"/>
  </r>
  <r>
    <x v="6"/>
    <x v="24"/>
    <n v="7"/>
    <n v="6.6"/>
    <n v="7"/>
    <x v="0"/>
    <s v="SP 25.1.6"/>
    <n v="3"/>
    <n v="22.272727272727273"/>
    <m/>
    <x v="0"/>
  </r>
  <r>
    <x v="6"/>
    <x v="24"/>
    <n v="6"/>
    <n v="6.9"/>
    <n v="7"/>
    <x v="1"/>
    <s v="SP 25.2.1"/>
    <n v="6"/>
    <n v="36.521739130434781"/>
    <m/>
    <x v="0"/>
  </r>
  <r>
    <x v="6"/>
    <x v="24"/>
    <n v="6"/>
    <n v="6.9"/>
    <n v="7"/>
    <x v="1"/>
    <s v="SP 25.2.2"/>
    <n v="7"/>
    <n v="42.608695652173914"/>
    <m/>
    <x v="0"/>
  </r>
  <r>
    <x v="6"/>
    <x v="24"/>
    <n v="6"/>
    <n v="6.9"/>
    <n v="7"/>
    <x v="1"/>
    <s v="SP 25.2.3"/>
    <n v="8"/>
    <n v="48.695652173913039"/>
    <m/>
    <x v="0"/>
  </r>
  <r>
    <x v="6"/>
    <x v="24"/>
    <n v="6"/>
    <n v="6.9"/>
    <n v="7"/>
    <x v="1"/>
    <s v="SP 25.2.4"/>
    <n v="8"/>
    <n v="48.695652173913039"/>
    <m/>
    <x v="0"/>
  </r>
  <r>
    <x v="6"/>
    <x v="24"/>
    <n v="6"/>
    <n v="6.9"/>
    <n v="7"/>
    <x v="1"/>
    <s v="SP 25.2.5"/>
    <n v="6"/>
    <n v="36.521739130434781"/>
    <m/>
    <x v="0"/>
  </r>
  <r>
    <x v="6"/>
    <x v="24"/>
    <n v="6"/>
    <n v="6.9"/>
    <n v="7"/>
    <x v="1"/>
    <s v="SP 25.2.6"/>
    <n v="3"/>
    <n v="18.260869565217391"/>
    <m/>
    <x v="0"/>
  </r>
  <r>
    <x v="6"/>
    <x v="24"/>
    <n v="6"/>
    <n v="6.5"/>
    <n v="7"/>
    <x v="2"/>
    <s v="SP 25.3.1"/>
    <n v="7"/>
    <n v="45.230769230769234"/>
    <m/>
    <x v="0"/>
  </r>
  <r>
    <x v="6"/>
    <x v="24"/>
    <n v="5"/>
    <n v="6.5"/>
    <n v="7"/>
    <x v="2"/>
    <s v="SP 25.3.2"/>
    <n v="8"/>
    <n v="43.07692307692308"/>
    <m/>
    <x v="0"/>
  </r>
  <r>
    <x v="6"/>
    <x v="24"/>
    <n v="7"/>
    <n v="6.5"/>
    <n v="7"/>
    <x v="2"/>
    <s v="SP 25.3.3"/>
    <n v="8"/>
    <n v="60.307692307692307"/>
    <m/>
    <x v="0"/>
  </r>
  <r>
    <x v="6"/>
    <x v="24"/>
    <n v="7"/>
    <n v="6.5"/>
    <n v="7"/>
    <x v="2"/>
    <s v="SP 25.3.4"/>
    <n v="13"/>
    <n v="98"/>
    <m/>
    <x v="0"/>
  </r>
  <r>
    <x v="6"/>
    <x v="24"/>
    <n v="7"/>
    <n v="6.5"/>
    <n v="7"/>
    <x v="2"/>
    <s v="SP 25.3.5"/>
    <n v="3"/>
    <n v="22.615384615384617"/>
    <m/>
    <x v="0"/>
  </r>
  <r>
    <x v="6"/>
    <x v="24"/>
    <n v="7"/>
    <n v="6.5"/>
    <n v="7"/>
    <x v="3"/>
    <s v="SP 25.4.1"/>
    <n v="13"/>
    <n v="98"/>
    <m/>
    <x v="0"/>
  </r>
  <r>
    <x v="6"/>
    <x v="24"/>
    <n v="7"/>
    <n v="6.5"/>
    <n v="7"/>
    <x v="3"/>
    <s v="SP 25.4.2"/>
    <n v="8"/>
    <n v="60.307692307692307"/>
    <m/>
    <x v="0"/>
  </r>
  <r>
    <x v="6"/>
    <x v="24"/>
    <n v="7"/>
    <n v="6.5"/>
    <n v="7"/>
    <x v="3"/>
    <s v="SP 25.4.3"/>
    <n v="8"/>
    <n v="60.307692307692307"/>
    <m/>
    <x v="0"/>
  </r>
  <r>
    <x v="6"/>
    <x v="24"/>
    <n v="7"/>
    <n v="6.5"/>
    <n v="7"/>
    <x v="3"/>
    <s v="SP 25.4.4"/>
    <n v="7"/>
    <n v="52.769230769230766"/>
    <m/>
    <x v="0"/>
  </r>
  <r>
    <x v="6"/>
    <x v="24"/>
    <n v="7"/>
    <n v="6.5"/>
    <n v="7"/>
    <x v="3"/>
    <s v="SP 25.4.5"/>
    <n v="8"/>
    <n v="60.307692307692307"/>
    <m/>
    <x v="0"/>
  </r>
  <r>
    <x v="6"/>
    <x v="24"/>
    <n v="7"/>
    <n v="6.5"/>
    <n v="7"/>
    <x v="3"/>
    <s v="SP 25.4.6"/>
    <n v="8"/>
    <n v="60.307692307692307"/>
    <m/>
    <x v="0"/>
  </r>
  <r>
    <x v="6"/>
    <x v="25"/>
    <n v="6"/>
    <n v="9.6999999999999993"/>
    <n v="7"/>
    <x v="0"/>
    <s v="SP 25.1.1"/>
    <n v="7"/>
    <n v="30.309278350515466"/>
    <m/>
    <x v="0"/>
  </r>
  <r>
    <x v="6"/>
    <x v="25"/>
    <n v="6"/>
    <n v="9.6999999999999993"/>
    <n v="7"/>
    <x v="0"/>
    <s v="SP 25.1.2"/>
    <n v="8"/>
    <n v="34.639175257731964"/>
    <m/>
    <x v="0"/>
  </r>
  <r>
    <x v="6"/>
    <x v="25"/>
    <n v="6"/>
    <n v="9.6999999999999993"/>
    <n v="7"/>
    <x v="0"/>
    <s v="SP 25.1.3"/>
    <n v="8"/>
    <n v="34.639175257731964"/>
    <m/>
    <x v="0"/>
  </r>
  <r>
    <x v="6"/>
    <x v="25"/>
    <n v="5.5"/>
    <n v="9.6999999999999993"/>
    <n v="7"/>
    <x v="0"/>
    <s v="SP 25.1.4"/>
    <n v="6"/>
    <n v="23.814432989690722"/>
    <m/>
    <x v="0"/>
  </r>
  <r>
    <x v="6"/>
    <x v="25"/>
    <n v="8"/>
    <n v="9.6999999999999993"/>
    <n v="7"/>
    <x v="0"/>
    <s v="SP 25.1.5"/>
    <n v="8"/>
    <n v="46.185567010309285"/>
    <m/>
    <x v="0"/>
  </r>
  <r>
    <x v="6"/>
    <x v="25"/>
    <n v="9"/>
    <n v="9.6999999999999993"/>
    <n v="7"/>
    <x v="0"/>
    <s v="SP 25.1.6"/>
    <n v="3"/>
    <n v="19.484536082474229"/>
    <m/>
    <x v="0"/>
  </r>
  <r>
    <x v="6"/>
    <x v="25"/>
    <n v="5"/>
    <n v="9.3000000000000007"/>
    <n v="7"/>
    <x v="1"/>
    <s v="SP 25.2.1"/>
    <n v="6"/>
    <n v="22.58064516129032"/>
    <m/>
    <x v="0"/>
  </r>
  <r>
    <x v="6"/>
    <x v="25"/>
    <n v="5"/>
    <n v="9.3000000000000007"/>
    <n v="7"/>
    <x v="1"/>
    <s v="SP 25.2.2"/>
    <n v="7"/>
    <n v="26.344086021505376"/>
    <m/>
    <x v="0"/>
  </r>
  <r>
    <x v="6"/>
    <x v="25"/>
    <n v="4.5"/>
    <n v="9.3000000000000007"/>
    <n v="7"/>
    <x v="1"/>
    <s v="SP 25.2.3"/>
    <n v="8"/>
    <n v="27.096774193548384"/>
    <m/>
    <x v="0"/>
  </r>
  <r>
    <x v="6"/>
    <x v="25"/>
    <n v="4.4000000000000004"/>
    <n v="9.3000000000000007"/>
    <n v="7"/>
    <x v="1"/>
    <s v="SP 25.2.4"/>
    <n v="8"/>
    <n v="26.49462365591398"/>
    <m/>
    <x v="0"/>
  </r>
  <r>
    <x v="6"/>
    <x v="25"/>
    <n v="5"/>
    <n v="9.3000000000000007"/>
    <n v="7"/>
    <x v="1"/>
    <s v="SP 25.2.5"/>
    <n v="6"/>
    <n v="22.58064516129032"/>
    <m/>
    <x v="0"/>
  </r>
  <r>
    <x v="6"/>
    <x v="25"/>
    <n v="5"/>
    <n v="9.3000000000000007"/>
    <n v="7"/>
    <x v="1"/>
    <s v="SP 25.2.6"/>
    <n v="3"/>
    <n v="11.29032258064516"/>
    <m/>
    <x v="0"/>
  </r>
  <r>
    <x v="6"/>
    <x v="25"/>
    <n v="5"/>
    <n v="7.2"/>
    <n v="7"/>
    <x v="2"/>
    <s v="SP 25.3.1"/>
    <n v="7"/>
    <n v="34.027777777777779"/>
    <m/>
    <x v="0"/>
  </r>
  <r>
    <x v="6"/>
    <x v="25"/>
    <n v="5.5"/>
    <n v="7.2"/>
    <n v="7"/>
    <x v="2"/>
    <s v="SP 25.3.2"/>
    <n v="8"/>
    <n v="42.777777777777779"/>
    <m/>
    <x v="0"/>
  </r>
  <r>
    <x v="6"/>
    <x v="25"/>
    <n v="6"/>
    <n v="7.2"/>
    <n v="7"/>
    <x v="2"/>
    <s v="SP 25.3.3"/>
    <n v="8"/>
    <n v="46.666666666666664"/>
    <m/>
    <x v="0"/>
  </r>
  <r>
    <x v="6"/>
    <x v="25"/>
    <n v="5.6920000000000002"/>
    <n v="7.2"/>
    <n v="7"/>
    <x v="2"/>
    <s v="SP 25.3.4"/>
    <n v="13"/>
    <n v="71.940555555555548"/>
    <m/>
    <x v="0"/>
  </r>
  <r>
    <x v="6"/>
    <x v="25"/>
    <n v="6"/>
    <n v="7.2"/>
    <n v="7"/>
    <x v="2"/>
    <s v="SP 25.3.5"/>
    <n v="3"/>
    <n v="17.5"/>
    <m/>
    <x v="0"/>
  </r>
  <r>
    <x v="6"/>
    <x v="25"/>
    <n v="7"/>
    <n v="7.2"/>
    <n v="7"/>
    <x v="3"/>
    <s v="SP 25.4.1"/>
    <n v="13"/>
    <n v="88.472222222222214"/>
    <m/>
    <x v="0"/>
  </r>
  <r>
    <x v="6"/>
    <x v="25"/>
    <n v="7"/>
    <n v="7.2"/>
    <n v="7"/>
    <x v="3"/>
    <s v="SP 25.4.2"/>
    <n v="8"/>
    <n v="54.444444444444443"/>
    <m/>
    <x v="0"/>
  </r>
  <r>
    <x v="6"/>
    <x v="25"/>
    <n v="7"/>
    <n v="7.2"/>
    <n v="7"/>
    <x v="3"/>
    <s v="SP 25.4.3"/>
    <n v="8"/>
    <n v="54.444444444444443"/>
    <m/>
    <x v="0"/>
  </r>
  <r>
    <x v="6"/>
    <x v="25"/>
    <n v="7"/>
    <n v="7.2"/>
    <n v="7"/>
    <x v="3"/>
    <s v="SP 25.4.4"/>
    <n v="7"/>
    <n v="47.638888888888886"/>
    <m/>
    <x v="0"/>
  </r>
  <r>
    <x v="6"/>
    <x v="25"/>
    <n v="7"/>
    <n v="7.2"/>
    <n v="7"/>
    <x v="3"/>
    <s v="SP 25.4.5"/>
    <n v="8"/>
    <n v="54.444444444444443"/>
    <m/>
    <x v="0"/>
  </r>
  <r>
    <x v="6"/>
    <x v="25"/>
    <n v="7"/>
    <n v="7.2"/>
    <n v="7"/>
    <x v="3"/>
    <s v="SP 25.4.6"/>
    <n v="8"/>
    <n v="54.444444444444443"/>
    <m/>
    <x v="0"/>
  </r>
  <r>
    <x v="6"/>
    <x v="26"/>
    <n v="4"/>
    <n v="5.6"/>
    <n v="7"/>
    <x v="0"/>
    <s v="SP 25.1.1"/>
    <n v="7"/>
    <n v="35"/>
    <m/>
    <x v="0"/>
  </r>
  <r>
    <x v="6"/>
    <x v="26"/>
    <n v="4"/>
    <n v="5.6"/>
    <n v="7"/>
    <x v="0"/>
    <s v="SP 25.1.2"/>
    <n v="8"/>
    <n v="40"/>
    <m/>
    <x v="0"/>
  </r>
  <r>
    <x v="6"/>
    <x v="26"/>
    <n v="5"/>
    <n v="5.6"/>
    <n v="7"/>
    <x v="0"/>
    <s v="SP 25.1.3"/>
    <n v="8"/>
    <n v="50"/>
    <m/>
    <x v="0"/>
  </r>
  <r>
    <x v="6"/>
    <x v="26"/>
    <n v="5"/>
    <n v="5.6"/>
    <n v="7"/>
    <x v="0"/>
    <s v="SP 25.1.4"/>
    <n v="6"/>
    <n v="37.5"/>
    <m/>
    <x v="0"/>
  </r>
  <r>
    <x v="6"/>
    <x v="26"/>
    <n v="5"/>
    <n v="5.6"/>
    <n v="7"/>
    <x v="0"/>
    <s v="SP 25.1.5"/>
    <n v="8"/>
    <n v="50"/>
    <m/>
    <x v="0"/>
  </r>
  <r>
    <x v="6"/>
    <x v="26"/>
    <n v="5"/>
    <n v="5.6"/>
    <n v="7"/>
    <x v="0"/>
    <s v="SP 25.1.6"/>
    <n v="3"/>
    <n v="18.75"/>
    <m/>
    <x v="0"/>
  </r>
  <r>
    <x v="6"/>
    <x v="26"/>
    <n v="2.9"/>
    <n v="5.6"/>
    <n v="7"/>
    <x v="1"/>
    <s v="SP 25.2.1"/>
    <n v="6"/>
    <n v="21.75"/>
    <m/>
    <x v="0"/>
  </r>
  <r>
    <x v="6"/>
    <x v="26"/>
    <n v="4"/>
    <n v="5.6"/>
    <n v="7"/>
    <x v="1"/>
    <s v="SP 25.2.2"/>
    <n v="7"/>
    <n v="35"/>
    <m/>
    <x v="0"/>
  </r>
  <r>
    <x v="6"/>
    <x v="26"/>
    <n v="4.0999999999999996"/>
    <n v="5.6"/>
    <n v="7"/>
    <x v="1"/>
    <s v="SP 25.2.3"/>
    <n v="8"/>
    <n v="41"/>
    <m/>
    <x v="0"/>
  </r>
  <r>
    <x v="6"/>
    <x v="26"/>
    <n v="5.9"/>
    <n v="5.6"/>
    <n v="7"/>
    <x v="1"/>
    <s v="SP 25.2.4"/>
    <n v="8"/>
    <n v="59.000000000000007"/>
    <m/>
    <x v="0"/>
  </r>
  <r>
    <x v="6"/>
    <x v="26"/>
    <n v="5.6"/>
    <n v="5.6"/>
    <n v="7"/>
    <x v="1"/>
    <s v="SP 25.2.5"/>
    <n v="7"/>
    <n v="49"/>
    <m/>
    <x v="0"/>
  </r>
  <r>
    <x v="6"/>
    <x v="26"/>
    <n v="5"/>
    <n v="5.6"/>
    <n v="7"/>
    <x v="1"/>
    <s v="SP 25.2.6"/>
    <n v="3"/>
    <n v="18.75"/>
    <m/>
    <x v="0"/>
  </r>
  <r>
    <x v="6"/>
    <x v="26"/>
    <n v="3.6"/>
    <n v="6.8"/>
    <n v="7"/>
    <x v="2"/>
    <s v="SP 25.3.1"/>
    <n v="7"/>
    <n v="25.941176470588236"/>
    <m/>
    <x v="0"/>
  </r>
  <r>
    <x v="6"/>
    <x v="26"/>
    <n v="4.5"/>
    <n v="6.8"/>
    <n v="7"/>
    <x v="2"/>
    <s v="SP 25.3.2"/>
    <n v="8"/>
    <n v="37.058823529411768"/>
    <m/>
    <x v="0"/>
  </r>
  <r>
    <x v="6"/>
    <x v="26"/>
    <n v="5.9"/>
    <n v="6.8"/>
    <n v="7"/>
    <x v="2"/>
    <s v="SP 25.3.3"/>
    <n v="8"/>
    <n v="48.588235294117652"/>
    <m/>
    <x v="0"/>
  </r>
  <r>
    <x v="6"/>
    <x v="26"/>
    <n v="6"/>
    <n v="6.8"/>
    <n v="7"/>
    <x v="2"/>
    <s v="SP 25.3.4"/>
    <n v="13"/>
    <n v="80.294117647058826"/>
    <m/>
    <x v="0"/>
  </r>
  <r>
    <x v="6"/>
    <x v="26"/>
    <n v="6"/>
    <n v="6.8"/>
    <n v="7"/>
    <x v="2"/>
    <s v="SP 25.3.5"/>
    <n v="3"/>
    <n v="18.529411764705884"/>
    <m/>
    <x v="0"/>
  </r>
  <r>
    <x v="6"/>
    <x v="26"/>
    <n v="7"/>
    <n v="6.8"/>
    <n v="7"/>
    <x v="3"/>
    <s v="SP 25.4.1"/>
    <n v="13"/>
    <n v="93.67647058823529"/>
    <m/>
    <x v="0"/>
  </r>
  <r>
    <x v="6"/>
    <x v="26"/>
    <n v="7"/>
    <n v="6.8"/>
    <n v="7"/>
    <x v="3"/>
    <s v="SP 25.4.2"/>
    <n v="8"/>
    <n v="57.647058823529413"/>
    <m/>
    <x v="0"/>
  </r>
  <r>
    <x v="6"/>
    <x v="26"/>
    <n v="7"/>
    <n v="6.8"/>
    <n v="7"/>
    <x v="3"/>
    <s v="SP 25.4.3"/>
    <n v="8"/>
    <n v="57.647058823529413"/>
    <m/>
    <x v="0"/>
  </r>
  <r>
    <x v="6"/>
    <x v="26"/>
    <n v="7"/>
    <n v="6.8"/>
    <n v="7"/>
    <x v="3"/>
    <s v="SP 25.4.4"/>
    <n v="7"/>
    <n v="50.441176470588239"/>
    <m/>
    <x v="0"/>
  </r>
  <r>
    <x v="6"/>
    <x v="26"/>
    <n v="7"/>
    <n v="6.8"/>
    <n v="7"/>
    <x v="3"/>
    <s v="SP 25.4.5"/>
    <n v="8"/>
    <n v="57.647058823529413"/>
    <m/>
    <x v="0"/>
  </r>
  <r>
    <x v="6"/>
    <x v="26"/>
    <n v="7"/>
    <n v="6.8"/>
    <n v="7"/>
    <x v="3"/>
    <s v="SP 25.4.6"/>
    <n v="8"/>
    <n v="57.647058823529413"/>
    <m/>
    <x v="0"/>
  </r>
  <r>
    <x v="6"/>
    <x v="27"/>
    <n v="3"/>
    <n v="7.1"/>
    <n v="7"/>
    <x v="0"/>
    <s v="SP 25.1.1"/>
    <n v="7"/>
    <n v="20.704225352112676"/>
    <m/>
    <x v="0"/>
  </r>
  <r>
    <x v="6"/>
    <x v="27"/>
    <n v="3"/>
    <n v="7.1"/>
    <n v="7"/>
    <x v="0"/>
    <s v="SP 25.1.2"/>
    <n v="8"/>
    <n v="23.661971830985916"/>
    <m/>
    <x v="0"/>
  </r>
  <r>
    <x v="6"/>
    <x v="27"/>
    <n v="3"/>
    <n v="7.1"/>
    <n v="7"/>
    <x v="0"/>
    <s v="SP 25.1.3"/>
    <n v="8"/>
    <n v="23.661971830985916"/>
    <m/>
    <x v="0"/>
  </r>
  <r>
    <x v="6"/>
    <x v="27"/>
    <n v="3"/>
    <n v="7.1"/>
    <n v="7"/>
    <x v="0"/>
    <s v="SP 25.1.4"/>
    <n v="6"/>
    <n v="17.746478873239436"/>
    <m/>
    <x v="0"/>
  </r>
  <r>
    <x v="6"/>
    <x v="27"/>
    <n v="3"/>
    <n v="7.1"/>
    <n v="7"/>
    <x v="0"/>
    <s v="SP 25.1.5"/>
    <n v="8"/>
    <n v="23.661971830985916"/>
    <m/>
    <x v="0"/>
  </r>
  <r>
    <x v="6"/>
    <x v="27"/>
    <n v="3"/>
    <n v="7.1"/>
    <n v="7"/>
    <x v="0"/>
    <s v="SP 25.1.6"/>
    <n v="3"/>
    <n v="8.873239436619718"/>
    <m/>
    <x v="0"/>
  </r>
  <r>
    <x v="6"/>
    <x v="27"/>
    <n v="2"/>
    <n v="7.2"/>
    <n v="7"/>
    <x v="1"/>
    <s v="SP 25.2.1"/>
    <n v="6"/>
    <n v="11.666666666666666"/>
    <m/>
    <x v="0"/>
  </r>
  <r>
    <x v="6"/>
    <x v="27"/>
    <n v="2"/>
    <n v="7.2"/>
    <n v="7"/>
    <x v="1"/>
    <s v="SP 25.2.2"/>
    <n v="7"/>
    <n v="13.611111111111111"/>
    <m/>
    <x v="0"/>
  </r>
  <r>
    <x v="6"/>
    <x v="27"/>
    <n v="2"/>
    <n v="7.2"/>
    <n v="7"/>
    <x v="1"/>
    <s v="SP 25.2.3"/>
    <n v="8"/>
    <n v="15.555555555555555"/>
    <m/>
    <x v="0"/>
  </r>
  <r>
    <x v="6"/>
    <x v="27"/>
    <n v="2"/>
    <n v="7.2"/>
    <n v="7"/>
    <x v="1"/>
    <s v="SP 25.2.4"/>
    <n v="8"/>
    <n v="15.555555555555555"/>
    <m/>
    <x v="0"/>
  </r>
  <r>
    <x v="6"/>
    <x v="27"/>
    <n v="2"/>
    <n v="7.2"/>
    <n v="7"/>
    <x v="1"/>
    <s v="SP 25.2.5"/>
    <n v="7"/>
    <n v="13.611111111111111"/>
    <m/>
    <x v="0"/>
  </r>
  <r>
    <x v="6"/>
    <x v="27"/>
    <n v="2"/>
    <n v="7.2"/>
    <n v="7"/>
    <x v="1"/>
    <s v="SP 25.2.6"/>
    <n v="3"/>
    <n v="5.833333333333333"/>
    <m/>
    <x v="0"/>
  </r>
  <r>
    <x v="6"/>
    <x v="27"/>
    <n v="2"/>
    <n v="6.9"/>
    <n v="7"/>
    <x v="2"/>
    <s v="SP 25.3.1"/>
    <n v="7"/>
    <n v="14.202898550724637"/>
    <m/>
    <x v="0"/>
  </r>
  <r>
    <x v="6"/>
    <x v="27"/>
    <n v="2"/>
    <n v="6.9"/>
    <n v="7"/>
    <x v="2"/>
    <s v="SP 25.3.2"/>
    <n v="8"/>
    <n v="16.231884057971012"/>
    <m/>
    <x v="0"/>
  </r>
  <r>
    <x v="6"/>
    <x v="27"/>
    <n v="2"/>
    <n v="6.9"/>
    <n v="7"/>
    <x v="2"/>
    <s v="SP 25.3.3"/>
    <n v="8"/>
    <n v="16.231884057971012"/>
    <m/>
    <x v="0"/>
  </r>
  <r>
    <x v="6"/>
    <x v="27"/>
    <n v="2"/>
    <n v="6.9"/>
    <n v="7"/>
    <x v="2"/>
    <s v="SP 25.3.4"/>
    <n v="13"/>
    <n v="26.376811594202898"/>
    <m/>
    <x v="0"/>
  </r>
  <r>
    <x v="6"/>
    <x v="27"/>
    <n v="2"/>
    <n v="6.9"/>
    <n v="7"/>
    <x v="2"/>
    <s v="SP 25.3.5"/>
    <n v="3"/>
    <n v="6.0869565217391299"/>
    <m/>
    <x v="0"/>
  </r>
  <r>
    <x v="6"/>
    <x v="27"/>
    <n v="2"/>
    <n v="6.9"/>
    <n v="7"/>
    <x v="3"/>
    <s v="SP 25.4.1"/>
    <n v="13"/>
    <n v="26.376811594202898"/>
    <m/>
    <x v="0"/>
  </r>
  <r>
    <x v="6"/>
    <x v="27"/>
    <n v="2"/>
    <n v="6.9"/>
    <n v="7"/>
    <x v="3"/>
    <s v="SP 25.4.2"/>
    <n v="8"/>
    <n v="16.231884057971012"/>
    <m/>
    <x v="0"/>
  </r>
  <r>
    <x v="6"/>
    <x v="27"/>
    <n v="2"/>
    <n v="6.9"/>
    <n v="7"/>
    <x v="3"/>
    <s v="SP 25.4.3"/>
    <n v="8"/>
    <n v="16.231884057971012"/>
    <m/>
    <x v="0"/>
  </r>
  <r>
    <x v="6"/>
    <x v="27"/>
    <n v="2"/>
    <n v="6.9"/>
    <n v="7"/>
    <x v="3"/>
    <s v="SP 25.4.4"/>
    <n v="7"/>
    <n v="14.202898550724637"/>
    <m/>
    <x v="0"/>
  </r>
  <r>
    <x v="6"/>
    <x v="27"/>
    <n v="2"/>
    <n v="6.9"/>
    <n v="7"/>
    <x v="3"/>
    <s v="SP 25.4.5"/>
    <n v="8"/>
    <n v="16.231884057971012"/>
    <m/>
    <x v="0"/>
  </r>
  <r>
    <x v="6"/>
    <x v="27"/>
    <n v="2"/>
    <n v="6.9"/>
    <n v="7"/>
    <x v="3"/>
    <s v="SP 25.4.6"/>
    <n v="8"/>
    <n v="16.231884057971012"/>
    <m/>
    <x v="0"/>
  </r>
  <r>
    <x v="6"/>
    <x v="28"/>
    <n v="9"/>
    <n v="6.3"/>
    <n v="7"/>
    <x v="0"/>
    <s v="SP 25.1.1"/>
    <n v="7"/>
    <n v="70"/>
    <m/>
    <x v="0"/>
  </r>
  <r>
    <x v="6"/>
    <x v="28"/>
    <n v="9"/>
    <n v="6.3"/>
    <n v="7"/>
    <x v="0"/>
    <s v="SP 25.1.2"/>
    <n v="8"/>
    <n v="80"/>
    <m/>
    <x v="0"/>
  </r>
  <r>
    <x v="6"/>
    <x v="28"/>
    <n v="9"/>
    <n v="6.3"/>
    <n v="7"/>
    <x v="0"/>
    <s v="SP 25.1.3"/>
    <n v="8"/>
    <n v="80"/>
    <m/>
    <x v="0"/>
  </r>
  <r>
    <x v="6"/>
    <x v="28"/>
    <n v="9"/>
    <n v="6.3"/>
    <n v="7"/>
    <x v="0"/>
    <s v="SP 25.1.4"/>
    <n v="6"/>
    <n v="60"/>
    <m/>
    <x v="0"/>
  </r>
  <r>
    <x v="6"/>
    <x v="28"/>
    <n v="9"/>
    <n v="6.3"/>
    <n v="7"/>
    <x v="0"/>
    <s v="SP 25.1.5"/>
    <n v="8"/>
    <n v="80"/>
    <m/>
    <x v="0"/>
  </r>
  <r>
    <x v="6"/>
    <x v="28"/>
    <n v="9"/>
    <n v="6.3"/>
    <n v="7"/>
    <x v="0"/>
    <s v="SP 25.1.6"/>
    <n v="3"/>
    <n v="30"/>
    <m/>
    <x v="0"/>
  </r>
  <r>
    <x v="6"/>
    <x v="28"/>
    <n v="5.5"/>
    <n v="6.8"/>
    <n v="7"/>
    <x v="1"/>
    <s v="SP 25.2.1"/>
    <n v="6"/>
    <n v="33.970588235294116"/>
    <m/>
    <x v="0"/>
  </r>
  <r>
    <x v="6"/>
    <x v="28"/>
    <n v="5.5"/>
    <n v="6.8"/>
    <n v="7"/>
    <x v="1"/>
    <s v="SP 25.2.2"/>
    <n v="7"/>
    <n v="39.632352941176471"/>
    <m/>
    <x v="0"/>
  </r>
  <r>
    <x v="6"/>
    <x v="28"/>
    <n v="5"/>
    <n v="6.8"/>
    <n v="7"/>
    <x v="1"/>
    <s v="SP 25.2.3"/>
    <n v="8"/>
    <n v="41.176470588235297"/>
    <m/>
    <x v="0"/>
  </r>
  <r>
    <x v="6"/>
    <x v="28"/>
    <n v="6"/>
    <n v="6.8"/>
    <n v="7"/>
    <x v="1"/>
    <s v="SP 25.2.4"/>
    <n v="8"/>
    <n v="49.411764705882355"/>
    <m/>
    <x v="0"/>
  </r>
  <r>
    <x v="6"/>
    <x v="28"/>
    <n v="6"/>
    <n v="6.8"/>
    <n v="7"/>
    <x v="1"/>
    <s v="SP 25.2.5"/>
    <n v="7"/>
    <n v="43.235294117647058"/>
    <m/>
    <x v="0"/>
  </r>
  <r>
    <x v="6"/>
    <x v="28"/>
    <n v="5.5"/>
    <n v="6.8"/>
    <n v="7"/>
    <x v="1"/>
    <s v="SP 25.2.6"/>
    <n v="3"/>
    <n v="16.985294117647058"/>
    <m/>
    <x v="0"/>
  </r>
  <r>
    <x v="6"/>
    <x v="28"/>
    <n v="6"/>
    <n v="5.9"/>
    <n v="7"/>
    <x v="2"/>
    <s v="SP 25.3.1"/>
    <n v="7"/>
    <n v="49.83050847457627"/>
    <m/>
    <x v="0"/>
  </r>
  <r>
    <x v="6"/>
    <x v="28"/>
    <n v="5"/>
    <n v="5.9"/>
    <n v="7"/>
    <x v="2"/>
    <s v="SP 25.3.2"/>
    <n v="8"/>
    <n v="47.457627118644062"/>
    <m/>
    <x v="0"/>
  </r>
  <r>
    <x v="6"/>
    <x v="28"/>
    <n v="5"/>
    <n v="5.9"/>
    <n v="7"/>
    <x v="2"/>
    <s v="SP 25.3.3"/>
    <n v="8"/>
    <n v="47.457627118644062"/>
    <m/>
    <x v="0"/>
  </r>
  <r>
    <x v="6"/>
    <x v="28"/>
    <n v="6"/>
    <n v="5.9"/>
    <n v="7"/>
    <x v="2"/>
    <s v="SP 25.3.4"/>
    <n v="13"/>
    <n v="92.542372881355931"/>
    <m/>
    <x v="0"/>
  </r>
  <r>
    <x v="6"/>
    <x v="28"/>
    <n v="6"/>
    <n v="5.9"/>
    <n v="7"/>
    <x v="2"/>
    <s v="SP 25.3.5"/>
    <n v="3"/>
    <n v="21.35593220338983"/>
    <m/>
    <x v="0"/>
  </r>
  <r>
    <x v="6"/>
    <x v="28"/>
    <n v="6"/>
    <n v="5.9"/>
    <n v="7"/>
    <x v="3"/>
    <s v="SP 25.4.1"/>
    <n v="13"/>
    <n v="92.542372881355931"/>
    <m/>
    <x v="0"/>
  </r>
  <r>
    <x v="6"/>
    <x v="28"/>
    <n v="6"/>
    <n v="5.9"/>
    <n v="7"/>
    <x v="3"/>
    <s v="SP 25.4.2"/>
    <n v="8"/>
    <n v="56.949152542372879"/>
    <m/>
    <x v="0"/>
  </r>
  <r>
    <x v="6"/>
    <x v="28"/>
    <n v="6"/>
    <n v="5.9"/>
    <n v="7"/>
    <x v="3"/>
    <s v="SP 25.4.3"/>
    <n v="8"/>
    <n v="56.949152542372879"/>
    <m/>
    <x v="0"/>
  </r>
  <r>
    <x v="6"/>
    <x v="28"/>
    <n v="6"/>
    <n v="5.9"/>
    <n v="7"/>
    <x v="3"/>
    <s v="SP 25.4.4"/>
    <n v="7"/>
    <n v="49.83050847457627"/>
    <m/>
    <x v="0"/>
  </r>
  <r>
    <x v="6"/>
    <x v="28"/>
    <n v="6"/>
    <n v="5.9"/>
    <n v="7"/>
    <x v="3"/>
    <s v="SP 25.4.5"/>
    <n v="8"/>
    <n v="56.949152542372879"/>
    <m/>
    <x v="0"/>
  </r>
  <r>
    <x v="6"/>
    <x v="28"/>
    <n v="6"/>
    <n v="5.9"/>
    <n v="7"/>
    <x v="3"/>
    <s v="SP 25.4.6"/>
    <n v="8"/>
    <n v="56.949152542372879"/>
    <m/>
    <x v="0"/>
  </r>
  <r>
    <x v="4"/>
    <x v="29"/>
    <n v="5"/>
    <n v="7.3"/>
    <n v="7"/>
    <x v="0"/>
    <s v="SP 25.1.1"/>
    <n v="7"/>
    <n v="33.561643835616437"/>
    <n v="11.075342465753424"/>
    <x v="0"/>
  </r>
  <r>
    <x v="4"/>
    <x v="29"/>
    <n v="6"/>
    <n v="7.3"/>
    <n v="7"/>
    <x v="0"/>
    <s v="SP 25.1.2"/>
    <n v="8"/>
    <n v="46.027397260273972"/>
    <n v="15.189041095890412"/>
    <x v="0"/>
  </r>
  <r>
    <x v="4"/>
    <x v="29"/>
    <n v="6"/>
    <n v="7.3"/>
    <n v="7"/>
    <x v="0"/>
    <s v="SP 25.1.3"/>
    <n v="8"/>
    <n v="46.027397260273972"/>
    <n v="15.189041095890412"/>
    <x v="0"/>
  </r>
  <r>
    <x v="4"/>
    <x v="29"/>
    <n v="6"/>
    <n v="7.3"/>
    <n v="7"/>
    <x v="0"/>
    <s v="SP 25.1.4"/>
    <n v="6"/>
    <n v="34.520547945205479"/>
    <n v="11.391780821917809"/>
    <x v="0"/>
  </r>
  <r>
    <x v="4"/>
    <x v="29"/>
    <n v="6"/>
    <n v="7.3"/>
    <n v="7"/>
    <x v="0"/>
    <s v="SP 25.1.5"/>
    <n v="8"/>
    <n v="46.027397260273972"/>
    <n v="15.189041095890412"/>
    <x v="0"/>
  </r>
  <r>
    <x v="4"/>
    <x v="29"/>
    <n v="6"/>
    <n v="7.3"/>
    <n v="7"/>
    <x v="0"/>
    <s v="SP 25.1.6"/>
    <n v="3"/>
    <n v="17.260273972602739"/>
    <n v="5.6958904109589046"/>
    <x v="0"/>
  </r>
  <r>
    <x v="4"/>
    <x v="29"/>
    <n v="5"/>
    <n v="7.4"/>
    <n v="7"/>
    <x v="1"/>
    <s v="SP 25.2.1"/>
    <n v="6"/>
    <n v="28.378378378378375"/>
    <n v="9.3648648648648649"/>
    <x v="0"/>
  </r>
  <r>
    <x v="4"/>
    <x v="29"/>
    <n v="5"/>
    <n v="7.4"/>
    <n v="7"/>
    <x v="1"/>
    <s v="SP 25.2.2"/>
    <n v="7"/>
    <n v="33.108108108108105"/>
    <n v="10.925675675675675"/>
    <x v="0"/>
  </r>
  <r>
    <x v="4"/>
    <x v="29"/>
    <n v="5"/>
    <n v="7.4"/>
    <n v="7"/>
    <x v="1"/>
    <s v="SP 25.2.3"/>
    <n v="8"/>
    <n v="37.837837837837839"/>
    <n v="12.486486486486488"/>
    <x v="0"/>
  </r>
  <r>
    <x v="4"/>
    <x v="29"/>
    <n v="5"/>
    <n v="7.4"/>
    <n v="7"/>
    <x v="1"/>
    <s v="SP 25.2.4"/>
    <n v="8"/>
    <n v="37.837837837837839"/>
    <n v="12.486486486486488"/>
    <x v="0"/>
  </r>
  <r>
    <x v="4"/>
    <x v="29"/>
    <n v="5"/>
    <n v="7.4"/>
    <n v="7"/>
    <x v="1"/>
    <s v="SP 25.2.5"/>
    <n v="7"/>
    <n v="33.108108108108105"/>
    <n v="10.925675675675675"/>
    <x v="0"/>
  </r>
  <r>
    <x v="4"/>
    <x v="29"/>
    <n v="5"/>
    <n v="7.4"/>
    <n v="7"/>
    <x v="1"/>
    <s v="SP 25.2.6"/>
    <n v="3"/>
    <n v="14.189189189189188"/>
    <n v="4.6824324324324325"/>
    <x v="0"/>
  </r>
  <r>
    <x v="4"/>
    <x v="29"/>
    <n v="4"/>
    <n v="6.6"/>
    <n v="7"/>
    <x v="2"/>
    <s v="SP 25.3.1"/>
    <n v="7"/>
    <n v="29.696969696969699"/>
    <n v="9.8000000000000007"/>
    <x v="0"/>
  </r>
  <r>
    <x v="4"/>
    <x v="29"/>
    <n v="4"/>
    <n v="6.6"/>
    <n v="7"/>
    <x v="2"/>
    <s v="SP 25.3.2"/>
    <n v="8"/>
    <n v="33.939393939393938"/>
    <n v="11.2"/>
    <x v="0"/>
  </r>
  <r>
    <x v="4"/>
    <x v="29"/>
    <n v="4"/>
    <n v="6.6"/>
    <n v="7"/>
    <x v="2"/>
    <s v="SP 25.3.3"/>
    <n v="8"/>
    <n v="33.939393939393938"/>
    <n v="11.2"/>
    <x v="0"/>
  </r>
  <r>
    <x v="4"/>
    <x v="29"/>
    <n v="4"/>
    <n v="6.6"/>
    <n v="7"/>
    <x v="2"/>
    <s v="SP 25.3.4"/>
    <n v="13"/>
    <n v="55.151515151515156"/>
    <n v="18.200000000000003"/>
    <x v="0"/>
  </r>
  <r>
    <x v="4"/>
    <x v="29"/>
    <n v="4"/>
    <n v="6.6"/>
    <n v="7"/>
    <x v="2"/>
    <s v="SP 25.3.5"/>
    <n v="3"/>
    <n v="12.727272727272728"/>
    <n v="4.2"/>
    <x v="0"/>
  </r>
  <r>
    <x v="4"/>
    <x v="29"/>
    <n v="5"/>
    <n v="7"/>
    <n v="7"/>
    <x v="3"/>
    <s v="SP 25.4.1"/>
    <n v="13"/>
    <n v="65"/>
    <n v="21.45"/>
    <x v="0"/>
  </r>
  <r>
    <x v="4"/>
    <x v="29"/>
    <n v="5"/>
    <n v="7"/>
    <n v="7"/>
    <x v="3"/>
    <s v="SP 25.4.2"/>
    <n v="8"/>
    <n v="40"/>
    <n v="13.200000000000001"/>
    <x v="0"/>
  </r>
  <r>
    <x v="4"/>
    <x v="29"/>
    <n v="5"/>
    <n v="7"/>
    <n v="7"/>
    <x v="3"/>
    <s v="SP 25.4.3"/>
    <n v="8"/>
    <n v="40"/>
    <n v="13.200000000000001"/>
    <x v="0"/>
  </r>
  <r>
    <x v="4"/>
    <x v="29"/>
    <n v="5"/>
    <n v="7"/>
    <n v="7"/>
    <x v="3"/>
    <s v="SP 25.4.4"/>
    <n v="7"/>
    <n v="35"/>
    <n v="11.55"/>
    <x v="0"/>
  </r>
  <r>
    <x v="4"/>
    <x v="29"/>
    <n v="5"/>
    <n v="7"/>
    <n v="7"/>
    <x v="3"/>
    <s v="SP 25.4.5"/>
    <n v="8"/>
    <n v="40"/>
    <n v="13.200000000000001"/>
    <x v="0"/>
  </r>
  <r>
    <x v="4"/>
    <x v="29"/>
    <n v="5"/>
    <n v="7"/>
    <n v="7"/>
    <x v="3"/>
    <s v="SP 25.4.6"/>
    <n v="8"/>
    <n v="40"/>
    <n v="6"/>
    <x v="0"/>
  </r>
  <r>
    <x v="4"/>
    <x v="30"/>
    <n v="3"/>
    <n v="4.5999999999999996"/>
    <n v="7"/>
    <x v="0"/>
    <s v="SP 25.1.1"/>
    <n v="7"/>
    <n v="31.956521739130437"/>
    <n v="7.0304347826086966"/>
    <x v="0"/>
  </r>
  <r>
    <x v="4"/>
    <x v="30"/>
    <n v="4"/>
    <n v="4.5999999999999996"/>
    <n v="7"/>
    <x v="0"/>
    <s v="SP 25.1.2"/>
    <n v="8"/>
    <n v="48.695652173913047"/>
    <n v="10.71304347826087"/>
    <x v="0"/>
  </r>
  <r>
    <x v="4"/>
    <x v="30"/>
    <n v="4"/>
    <n v="4.5999999999999996"/>
    <n v="7"/>
    <x v="0"/>
    <s v="SP 25.1.3"/>
    <n v="8"/>
    <n v="48.695652173913047"/>
    <n v="10.71304347826087"/>
    <x v="0"/>
  </r>
  <r>
    <x v="4"/>
    <x v="30"/>
    <n v="4"/>
    <n v="4.5999999999999996"/>
    <n v="7"/>
    <x v="0"/>
    <s v="SP 25.1.4"/>
    <n v="6"/>
    <n v="36.521739130434788"/>
    <n v="8.0347826086956537"/>
    <x v="0"/>
  </r>
  <r>
    <x v="4"/>
    <x v="30"/>
    <n v="4"/>
    <n v="4.5999999999999996"/>
    <n v="7"/>
    <x v="0"/>
    <s v="SP 25.1.5"/>
    <n v="8"/>
    <n v="48.695652173913047"/>
    <n v="10.71304347826087"/>
    <x v="0"/>
  </r>
  <r>
    <x v="4"/>
    <x v="30"/>
    <n v="3"/>
    <n v="4.5999999999999996"/>
    <n v="7"/>
    <x v="0"/>
    <s v="SP 25.1.6"/>
    <n v="3"/>
    <n v="13.695652173913045"/>
    <n v="3.0130434782608697"/>
    <x v="0"/>
  </r>
  <r>
    <x v="4"/>
    <x v="30"/>
    <n v="3"/>
    <n v="5.4"/>
    <n v="7"/>
    <x v="1"/>
    <s v="SP 25.2.1"/>
    <n v="6"/>
    <n v="23.333333333333332"/>
    <n v="5.1333333333333329"/>
    <x v="0"/>
  </r>
  <r>
    <x v="4"/>
    <x v="30"/>
    <n v="3"/>
    <n v="5.4"/>
    <n v="7"/>
    <x v="1"/>
    <s v="SP 25.2.2"/>
    <n v="7"/>
    <n v="27.222222222222221"/>
    <n v="5.9888888888888889"/>
    <x v="0"/>
  </r>
  <r>
    <x v="4"/>
    <x v="30"/>
    <n v="3"/>
    <n v="5.4"/>
    <n v="7"/>
    <x v="1"/>
    <s v="SP 25.2.3"/>
    <n v="8"/>
    <n v="31.111111111111111"/>
    <n v="6.8444444444444441"/>
    <x v="0"/>
  </r>
  <r>
    <x v="4"/>
    <x v="30"/>
    <n v="3"/>
    <n v="5.4"/>
    <n v="7"/>
    <x v="1"/>
    <s v="SP 25.2.4"/>
    <n v="8"/>
    <n v="31.111111111111111"/>
    <n v="6.8444444444444441"/>
    <x v="0"/>
  </r>
  <r>
    <x v="4"/>
    <x v="30"/>
    <n v="3"/>
    <n v="5.4"/>
    <n v="7"/>
    <x v="1"/>
    <s v="SP 25.2.5"/>
    <n v="7"/>
    <n v="27.222222222222221"/>
    <n v="5.9888888888888889"/>
    <x v="0"/>
  </r>
  <r>
    <x v="4"/>
    <x v="30"/>
    <n v="3"/>
    <n v="5.4"/>
    <n v="7"/>
    <x v="1"/>
    <s v="SP 25.2.6"/>
    <n v="3"/>
    <n v="11.666666666666666"/>
    <n v="2.5666666666666664"/>
    <x v="0"/>
  </r>
  <r>
    <x v="4"/>
    <x v="30"/>
    <n v="3"/>
    <n v="5.4"/>
    <n v="7"/>
    <x v="2"/>
    <s v="SP 25.3.1"/>
    <n v="7"/>
    <n v="27.222222222222221"/>
    <n v="5.9888888888888889"/>
    <x v="0"/>
  </r>
  <r>
    <x v="4"/>
    <x v="30"/>
    <n v="3"/>
    <n v="5.4"/>
    <n v="7"/>
    <x v="2"/>
    <s v="SP 25.3.2"/>
    <n v="8"/>
    <n v="31.111111111111111"/>
    <n v="6.8444444444444441"/>
    <x v="0"/>
  </r>
  <r>
    <x v="4"/>
    <x v="30"/>
    <n v="3"/>
    <n v="5.4"/>
    <n v="7"/>
    <x v="2"/>
    <s v="SP 25.3.3"/>
    <n v="8"/>
    <n v="31.111111111111111"/>
    <n v="6.8444444444444441"/>
    <x v="0"/>
  </r>
  <r>
    <x v="4"/>
    <x v="30"/>
    <n v="3"/>
    <n v="5.4"/>
    <n v="7"/>
    <x v="2"/>
    <s v="SP 25.3.4"/>
    <n v="13"/>
    <n v="50.55555555555555"/>
    <n v="11.122222222222222"/>
    <x v="0"/>
  </r>
  <r>
    <x v="4"/>
    <x v="30"/>
    <n v="3"/>
    <n v="5.4"/>
    <n v="7"/>
    <x v="2"/>
    <s v="SP 25.3.5"/>
    <n v="3"/>
    <n v="11.666666666666666"/>
    <n v="2.5666666666666664"/>
    <x v="0"/>
  </r>
  <r>
    <x v="4"/>
    <x v="30"/>
    <n v="3"/>
    <n v="4.9000000000000004"/>
    <n v="7"/>
    <x v="3"/>
    <s v="SP 25.4.1"/>
    <n v="13"/>
    <n v="55.714285714285708"/>
    <n v="12.257142857142856"/>
    <x v="0"/>
  </r>
  <r>
    <x v="4"/>
    <x v="30"/>
    <n v="3"/>
    <n v="4.9000000000000004"/>
    <n v="7"/>
    <x v="3"/>
    <s v="SP 25.4.2"/>
    <n v="8"/>
    <n v="34.285714285714285"/>
    <n v="7.5428571428571427"/>
    <x v="0"/>
  </r>
  <r>
    <x v="4"/>
    <x v="30"/>
    <n v="3"/>
    <n v="4.9000000000000004"/>
    <n v="7"/>
    <x v="3"/>
    <s v="SP 25.4.3"/>
    <n v="8"/>
    <n v="34.285714285714285"/>
    <n v="7.5428571428571427"/>
    <x v="0"/>
  </r>
  <r>
    <x v="4"/>
    <x v="30"/>
    <n v="3"/>
    <n v="4.9000000000000004"/>
    <n v="7"/>
    <x v="3"/>
    <s v="SP 25.4.4"/>
    <n v="7"/>
    <n v="29.999999999999996"/>
    <n v="6.6"/>
    <x v="0"/>
  </r>
  <r>
    <x v="4"/>
    <x v="30"/>
    <n v="3"/>
    <n v="4.9000000000000004"/>
    <n v="7"/>
    <x v="3"/>
    <s v="SP 25.4.5"/>
    <n v="8"/>
    <n v="34.285714285714285"/>
    <n v="12"/>
    <x v="0"/>
  </r>
  <r>
    <x v="4"/>
    <x v="30"/>
    <n v="3"/>
    <n v="4.9000000000000004"/>
    <n v="7"/>
    <x v="3"/>
    <s v="SP 25.4.6"/>
    <n v="8"/>
    <n v="34.285714285714285"/>
    <n v="11"/>
    <x v="0"/>
  </r>
  <r>
    <x v="4"/>
    <x v="31"/>
    <n v="2"/>
    <n v="5"/>
    <n v="7"/>
    <x v="0"/>
    <s v="SP 25.1.1"/>
    <n v="7"/>
    <n v="19.600000000000001"/>
    <n v="10.976000000000003"/>
    <x v="0"/>
  </r>
  <r>
    <x v="4"/>
    <x v="31"/>
    <n v="2"/>
    <n v="5"/>
    <n v="7"/>
    <x v="0"/>
    <s v="SP 25.1.2"/>
    <n v="8"/>
    <n v="22.4"/>
    <n v="12.544"/>
    <x v="0"/>
  </r>
  <r>
    <x v="4"/>
    <x v="31"/>
    <n v="2"/>
    <n v="5"/>
    <n v="7"/>
    <x v="0"/>
    <s v="SP 25.1.3"/>
    <n v="8"/>
    <n v="22.4"/>
    <n v="12.544"/>
    <x v="0"/>
  </r>
  <r>
    <x v="4"/>
    <x v="31"/>
    <n v="2"/>
    <n v="5"/>
    <n v="7"/>
    <x v="0"/>
    <s v="SP 25.1.4"/>
    <n v="6"/>
    <n v="16.8"/>
    <n v="9.4080000000000013"/>
    <x v="0"/>
  </r>
  <r>
    <x v="4"/>
    <x v="31"/>
    <n v="2"/>
    <n v="5"/>
    <n v="7"/>
    <x v="0"/>
    <s v="SP 25.1.5"/>
    <n v="8"/>
    <n v="22.4"/>
    <n v="12.544"/>
    <x v="0"/>
  </r>
  <r>
    <x v="4"/>
    <x v="31"/>
    <n v="2"/>
    <n v="5"/>
    <n v="7"/>
    <x v="0"/>
    <s v="SP 25.1.6"/>
    <n v="3"/>
    <n v="8.4"/>
    <n v="4.7040000000000006"/>
    <x v="0"/>
  </r>
  <r>
    <x v="4"/>
    <x v="31"/>
    <n v="2"/>
    <n v="5.0999999999999996"/>
    <n v="7"/>
    <x v="1"/>
    <s v="SP 25.2.1"/>
    <n v="6"/>
    <n v="16.47058823529412"/>
    <n v="9.2235294117647086"/>
    <x v="0"/>
  </r>
  <r>
    <x v="4"/>
    <x v="31"/>
    <n v="2"/>
    <n v="5.0999999999999996"/>
    <n v="7"/>
    <x v="1"/>
    <s v="SP 25.2.2"/>
    <n v="7"/>
    <n v="19.215686274509807"/>
    <n v="10.760784313725493"/>
    <x v="0"/>
  </r>
  <r>
    <x v="4"/>
    <x v="31"/>
    <n v="2"/>
    <n v="5.0999999999999996"/>
    <n v="7"/>
    <x v="1"/>
    <s v="SP 25.2.3"/>
    <n v="8"/>
    <n v="21.96078431372549"/>
    <n v="12.298039215686275"/>
    <x v="0"/>
  </r>
  <r>
    <x v="4"/>
    <x v="31"/>
    <n v="2"/>
    <n v="5.0999999999999996"/>
    <n v="7"/>
    <x v="1"/>
    <s v="SP 25.2.4"/>
    <n v="8"/>
    <n v="21.96078431372549"/>
    <n v="12.298039215686275"/>
    <x v="0"/>
  </r>
  <r>
    <x v="4"/>
    <x v="31"/>
    <n v="2"/>
    <n v="5.0999999999999996"/>
    <n v="7"/>
    <x v="1"/>
    <s v="SP 25.2.5"/>
    <n v="7"/>
    <n v="19.215686274509807"/>
    <n v="10.760784313725493"/>
    <x v="0"/>
  </r>
  <r>
    <x v="4"/>
    <x v="31"/>
    <n v="2"/>
    <n v="5.0999999999999996"/>
    <n v="7"/>
    <x v="1"/>
    <s v="SP 25.2.6"/>
    <n v="3"/>
    <n v="8.2352941176470598"/>
    <n v="4.6117647058823543"/>
    <x v="0"/>
  </r>
  <r>
    <x v="4"/>
    <x v="31"/>
    <n v="2"/>
    <n v="4.2"/>
    <n v="7"/>
    <x v="2"/>
    <s v="SP 25.3.1"/>
    <n v="7"/>
    <n v="23.333333333333332"/>
    <n v="13.066666666666666"/>
    <x v="0"/>
  </r>
  <r>
    <x v="4"/>
    <x v="31"/>
    <n v="2"/>
    <n v="4.2"/>
    <n v="7"/>
    <x v="2"/>
    <s v="SP 25.3.2"/>
    <n v="8"/>
    <n v="26.666666666666664"/>
    <n v="14.933333333333334"/>
    <x v="0"/>
  </r>
  <r>
    <x v="4"/>
    <x v="31"/>
    <n v="2"/>
    <n v="4.2"/>
    <n v="7"/>
    <x v="2"/>
    <s v="SP 25.3.3"/>
    <n v="8"/>
    <n v="26.666666666666664"/>
    <n v="14.933333333333334"/>
    <x v="0"/>
  </r>
  <r>
    <x v="4"/>
    <x v="31"/>
    <n v="2"/>
    <n v="4.2"/>
    <n v="7"/>
    <x v="2"/>
    <s v="SP 25.3.4"/>
    <n v="13"/>
    <n v="43.333333333333329"/>
    <n v="24.266666666666666"/>
    <x v="0"/>
  </r>
  <r>
    <x v="4"/>
    <x v="31"/>
    <n v="2"/>
    <n v="4.2"/>
    <n v="7"/>
    <x v="2"/>
    <s v="SP 25.3.5"/>
    <n v="3"/>
    <n v="10"/>
    <n v="5.6000000000000005"/>
    <x v="0"/>
  </r>
  <r>
    <x v="4"/>
    <x v="31"/>
    <n v="2"/>
    <n v="5.2"/>
    <n v="7"/>
    <x v="3"/>
    <s v="SP 25.4.1"/>
    <n v="13"/>
    <n v="35"/>
    <n v="19.600000000000001"/>
    <x v="0"/>
  </r>
  <r>
    <x v="4"/>
    <x v="31"/>
    <n v="2"/>
    <n v="5.2"/>
    <n v="7"/>
    <x v="3"/>
    <s v="SP 25.4.2"/>
    <n v="8"/>
    <n v="21.538461538461537"/>
    <n v="12.061538461538461"/>
    <x v="0"/>
  </r>
  <r>
    <x v="4"/>
    <x v="31"/>
    <n v="2"/>
    <n v="5.2"/>
    <n v="7"/>
    <x v="3"/>
    <s v="SP 25.4.3"/>
    <n v="8"/>
    <n v="21.538461538461537"/>
    <n v="12.061538461538461"/>
    <x v="0"/>
  </r>
  <r>
    <x v="4"/>
    <x v="31"/>
    <n v="2"/>
    <n v="5.2"/>
    <n v="7"/>
    <x v="3"/>
    <s v="SP 25.4.4"/>
    <n v="7"/>
    <n v="18.846153846153847"/>
    <n v="10.553846153846155"/>
    <x v="0"/>
  </r>
  <r>
    <x v="4"/>
    <x v="31"/>
    <n v="2"/>
    <n v="5.2"/>
    <n v="7"/>
    <x v="3"/>
    <s v="SP 25.4.5"/>
    <n v="8"/>
    <n v="21.538461538461537"/>
    <n v="12.061538461538461"/>
    <x v="0"/>
  </r>
  <r>
    <x v="4"/>
    <x v="31"/>
    <n v="2"/>
    <n v="5.2"/>
    <n v="7"/>
    <x v="3"/>
    <s v="SP 25.4.6"/>
    <n v="8"/>
    <n v="21.538461538461537"/>
    <n v="11"/>
    <x v="0"/>
  </r>
  <r>
    <x v="7"/>
    <x v="32"/>
    <n v="6.8"/>
    <n v="7.2"/>
    <n v="7"/>
    <x v="0"/>
    <s v="SP 25.1.1"/>
    <n v="8"/>
    <n v="52.888888888888886"/>
    <m/>
    <x v="0"/>
  </r>
  <r>
    <x v="7"/>
    <x v="32"/>
    <n v="7"/>
    <n v="7.2"/>
    <n v="7"/>
    <x v="0"/>
    <s v="SP 25.1.2"/>
    <n v="8"/>
    <n v="54.444444444444443"/>
    <m/>
    <x v="0"/>
  </r>
  <r>
    <x v="7"/>
    <x v="32"/>
    <n v="6"/>
    <n v="7.2"/>
    <n v="7"/>
    <x v="0"/>
    <s v="SP 25.1.3"/>
    <n v="8"/>
    <n v="46.666666666666664"/>
    <m/>
    <x v="0"/>
  </r>
  <r>
    <x v="7"/>
    <x v="32"/>
    <n v="6"/>
    <n v="7.2"/>
    <n v="7"/>
    <x v="0"/>
    <s v="SP 25.1.4"/>
    <n v="6"/>
    <n v="35"/>
    <m/>
    <x v="0"/>
  </r>
  <r>
    <x v="7"/>
    <x v="32"/>
    <n v="6"/>
    <n v="7.2"/>
    <n v="7"/>
    <x v="0"/>
    <s v="SP 25.1.5"/>
    <n v="8"/>
    <n v="46.666666666666664"/>
    <m/>
    <x v="0"/>
  </r>
  <r>
    <x v="7"/>
    <x v="32"/>
    <n v="6"/>
    <n v="7.2"/>
    <n v="7"/>
    <x v="0"/>
    <s v="SP 25.1.6"/>
    <n v="3"/>
    <n v="17.5"/>
    <m/>
    <x v="0"/>
  </r>
  <r>
    <x v="7"/>
    <x v="32"/>
    <n v="5"/>
    <n v="6.8"/>
    <n v="7"/>
    <x v="1"/>
    <s v="SP 25.2.1"/>
    <n v="6"/>
    <n v="30.882352941176471"/>
    <m/>
    <x v="0"/>
  </r>
  <r>
    <x v="7"/>
    <x v="32"/>
    <n v="5"/>
    <n v="6.8"/>
    <n v="7"/>
    <x v="1"/>
    <s v="SP 25.2.2"/>
    <n v="7"/>
    <n v="36.029411764705884"/>
    <m/>
    <x v="0"/>
  </r>
  <r>
    <x v="7"/>
    <x v="32"/>
    <n v="4.5"/>
    <n v="6.8"/>
    <n v="7"/>
    <x v="1"/>
    <s v="SP 25.2.3"/>
    <n v="8"/>
    <n v="37.058823529411768"/>
    <m/>
    <x v="0"/>
  </r>
  <r>
    <x v="7"/>
    <x v="32"/>
    <n v="5"/>
    <n v="6.8"/>
    <n v="7"/>
    <x v="1"/>
    <s v="SP 25.2.4"/>
    <n v="8"/>
    <n v="41.176470588235297"/>
    <m/>
    <x v="0"/>
  </r>
  <r>
    <x v="7"/>
    <x v="32"/>
    <n v="4"/>
    <n v="6.8"/>
    <n v="7"/>
    <x v="1"/>
    <s v="SP 25.2.5"/>
    <n v="7"/>
    <n v="28.823529411764707"/>
    <m/>
    <x v="0"/>
  </r>
  <r>
    <x v="7"/>
    <x v="32"/>
    <n v="4"/>
    <n v="6.8"/>
    <n v="7"/>
    <x v="1"/>
    <s v="SP 25.2.6"/>
    <n v="3"/>
    <n v="12.352941176470589"/>
    <m/>
    <x v="0"/>
  </r>
  <r>
    <x v="7"/>
    <x v="32"/>
    <n v="5"/>
    <n v="5.8"/>
    <n v="7"/>
    <x v="2"/>
    <s v="SP 25.3.1"/>
    <n v="7"/>
    <n v="42.241379310344826"/>
    <m/>
    <x v="0"/>
  </r>
  <r>
    <x v="7"/>
    <x v="32"/>
    <n v="5"/>
    <n v="5.8"/>
    <n v="7"/>
    <x v="2"/>
    <s v="SP 25.3.2"/>
    <n v="8"/>
    <n v="48.275862068965516"/>
    <m/>
    <x v="0"/>
  </r>
  <r>
    <x v="7"/>
    <x v="32"/>
    <n v="5"/>
    <n v="5.8"/>
    <n v="7"/>
    <x v="2"/>
    <s v="SP 25.3.3"/>
    <n v="8"/>
    <n v="48.275862068965516"/>
    <m/>
    <x v="0"/>
  </r>
  <r>
    <x v="7"/>
    <x v="32"/>
    <n v="5"/>
    <n v="5.8"/>
    <n v="7"/>
    <x v="2"/>
    <s v="SP 25.3.4"/>
    <n v="13"/>
    <n v="78.448275862068968"/>
    <m/>
    <x v="0"/>
  </r>
  <r>
    <x v="7"/>
    <x v="32"/>
    <n v="5"/>
    <n v="5.8"/>
    <n v="7"/>
    <x v="2"/>
    <s v="SP 25.3.5"/>
    <n v="3"/>
    <n v="18.103448275862071"/>
    <m/>
    <x v="0"/>
  </r>
  <r>
    <x v="7"/>
    <x v="32"/>
    <n v="6"/>
    <n v="5.8"/>
    <n v="7"/>
    <x v="3"/>
    <s v="SP 25.4.1"/>
    <n v="13"/>
    <n v="94.137931034482762"/>
    <m/>
    <x v="0"/>
  </r>
  <r>
    <x v="7"/>
    <x v="32"/>
    <n v="6"/>
    <n v="5.8"/>
    <n v="7"/>
    <x v="3"/>
    <s v="SP 25.4.2"/>
    <n v="8"/>
    <n v="57.931034482758619"/>
    <m/>
    <x v="0"/>
  </r>
  <r>
    <x v="7"/>
    <x v="32"/>
    <n v="6"/>
    <n v="5.8"/>
    <n v="7"/>
    <x v="3"/>
    <s v="SP 25.4.3"/>
    <n v="8"/>
    <n v="57.931034482758619"/>
    <m/>
    <x v="0"/>
  </r>
  <r>
    <x v="7"/>
    <x v="32"/>
    <n v="6"/>
    <n v="5.8"/>
    <n v="7"/>
    <x v="3"/>
    <s v="SP 25.4.4"/>
    <n v="7"/>
    <n v="50.689655172413794"/>
    <m/>
    <x v="0"/>
  </r>
  <r>
    <x v="7"/>
    <x v="32"/>
    <n v="6"/>
    <n v="5.8"/>
    <n v="7"/>
    <x v="3"/>
    <s v="SP 25.4.5"/>
    <n v="8"/>
    <n v="57.931034482758619"/>
    <m/>
    <x v="0"/>
  </r>
  <r>
    <x v="7"/>
    <x v="32"/>
    <n v="6"/>
    <n v="5.8"/>
    <n v="7"/>
    <x v="3"/>
    <s v="SP 25.4.6"/>
    <n v="8"/>
    <n v="57.931034482758619"/>
    <m/>
    <x v="0"/>
  </r>
  <r>
    <x v="8"/>
    <x v="33"/>
    <n v="7"/>
    <n v="7.5"/>
    <n v="7"/>
    <x v="0"/>
    <s v="SP 25.1.1"/>
    <n v="8"/>
    <n v="52.266666666666666"/>
    <m/>
    <x v="0"/>
  </r>
  <r>
    <x v="8"/>
    <x v="33"/>
    <n v="7"/>
    <n v="7.5"/>
    <n v="7"/>
    <x v="0"/>
    <s v="SP 25.1.2"/>
    <n v="8"/>
    <n v="52.266666666666666"/>
    <m/>
    <x v="0"/>
  </r>
  <r>
    <x v="8"/>
    <x v="33"/>
    <n v="7"/>
    <n v="7.5"/>
    <n v="7"/>
    <x v="0"/>
    <s v="SP 25.1.3"/>
    <n v="8"/>
    <n v="52.266666666666666"/>
    <m/>
    <x v="0"/>
  </r>
  <r>
    <x v="8"/>
    <x v="33"/>
    <n v="7"/>
    <n v="7.5"/>
    <n v="7"/>
    <x v="0"/>
    <s v="SP 25.1.4"/>
    <n v="6"/>
    <n v="39.200000000000003"/>
    <m/>
    <x v="0"/>
  </r>
  <r>
    <x v="8"/>
    <x v="33"/>
    <n v="6.5"/>
    <n v="7.5"/>
    <n v="7"/>
    <x v="0"/>
    <s v="SP 25.1.5"/>
    <n v="8"/>
    <n v="48.533333333333331"/>
    <m/>
    <x v="0"/>
  </r>
  <r>
    <x v="8"/>
    <x v="33"/>
    <n v="7"/>
    <n v="7.5"/>
    <n v="7"/>
    <x v="0"/>
    <s v="SP 25.1.6"/>
    <n v="3"/>
    <n v="19.600000000000001"/>
    <m/>
    <x v="0"/>
  </r>
  <r>
    <x v="8"/>
    <x v="33"/>
    <n v="7.5"/>
    <n v="7.4"/>
    <n v="7"/>
    <x v="1"/>
    <s v="SP 25.2.1"/>
    <n v="6"/>
    <n v="42.567567567567565"/>
    <m/>
    <x v="0"/>
  </r>
  <r>
    <x v="8"/>
    <x v="33"/>
    <n v="8"/>
    <n v="7.4"/>
    <n v="7"/>
    <x v="1"/>
    <s v="SP 25.2.2"/>
    <n v="7"/>
    <n v="52.972972972972968"/>
    <m/>
    <x v="0"/>
  </r>
  <r>
    <x v="8"/>
    <x v="33"/>
    <n v="8"/>
    <n v="7.4"/>
    <n v="7"/>
    <x v="1"/>
    <s v="SP 25.2.3"/>
    <n v="8"/>
    <n v="60.54054054054054"/>
    <m/>
    <x v="0"/>
  </r>
  <r>
    <x v="8"/>
    <x v="33"/>
    <n v="8"/>
    <n v="7.4"/>
    <n v="7"/>
    <x v="1"/>
    <s v="SP 25.2.4"/>
    <n v="8"/>
    <n v="60.54054054054054"/>
    <m/>
    <x v="0"/>
  </r>
  <r>
    <x v="8"/>
    <x v="33"/>
    <n v="8"/>
    <n v="7.4"/>
    <n v="7"/>
    <x v="1"/>
    <s v="SP 25.2.5"/>
    <n v="7"/>
    <n v="52.972972972972968"/>
    <m/>
    <x v="0"/>
  </r>
  <r>
    <x v="8"/>
    <x v="33"/>
    <n v="8"/>
    <n v="7.4"/>
    <n v="7"/>
    <x v="1"/>
    <s v="SP 25.2.6"/>
    <n v="3"/>
    <n v="22.702702702702702"/>
    <m/>
    <x v="0"/>
  </r>
  <r>
    <x v="8"/>
    <x v="33"/>
    <n v="6.5"/>
    <n v="6.9"/>
    <n v="7"/>
    <x v="2"/>
    <s v="SP 25.3.1"/>
    <n v="7"/>
    <n v="46.159420289855071"/>
    <m/>
    <x v="0"/>
  </r>
  <r>
    <x v="8"/>
    <x v="33"/>
    <n v="7"/>
    <n v="6.9"/>
    <n v="7"/>
    <x v="2"/>
    <s v="SP 25.3.2"/>
    <n v="8"/>
    <n v="56.811594202898547"/>
    <m/>
    <x v="0"/>
  </r>
  <r>
    <x v="8"/>
    <x v="33"/>
    <n v="6"/>
    <n v="6.9"/>
    <n v="7"/>
    <x v="2"/>
    <s v="SP 25.3.3"/>
    <n v="8"/>
    <n v="48.695652173913039"/>
    <m/>
    <x v="0"/>
  </r>
  <r>
    <x v="8"/>
    <x v="33"/>
    <n v="7"/>
    <n v="6.9"/>
    <n v="7"/>
    <x v="2"/>
    <s v="SP 25.3.4"/>
    <n v="13"/>
    <n v="92.318840579710141"/>
    <m/>
    <x v="0"/>
  </r>
  <r>
    <x v="8"/>
    <x v="33"/>
    <n v="8"/>
    <n v="6.9"/>
    <n v="7"/>
    <x v="2"/>
    <s v="SP 25.3.5"/>
    <n v="3"/>
    <n v="24.34782608695652"/>
    <m/>
    <x v="0"/>
  </r>
  <r>
    <x v="8"/>
    <x v="33"/>
    <n v="8.5"/>
    <n v="7"/>
    <n v="7"/>
    <x v="3"/>
    <s v="SP 25.4.1"/>
    <n v="13"/>
    <n v="110.5"/>
    <m/>
    <x v="0"/>
  </r>
  <r>
    <x v="8"/>
    <x v="33"/>
    <n v="8.5"/>
    <n v="7"/>
    <n v="7"/>
    <x v="3"/>
    <s v="SP 25.4.2"/>
    <n v="8"/>
    <n v="68"/>
    <m/>
    <x v="0"/>
  </r>
  <r>
    <x v="8"/>
    <x v="33"/>
    <n v="8.5"/>
    <n v="7"/>
    <n v="7"/>
    <x v="3"/>
    <s v="SP 25.4.3"/>
    <n v="8"/>
    <n v="68"/>
    <m/>
    <x v="0"/>
  </r>
  <r>
    <x v="8"/>
    <x v="33"/>
    <n v="8.5"/>
    <n v="7"/>
    <n v="7"/>
    <x v="3"/>
    <s v="SP 25.4.4"/>
    <n v="7"/>
    <n v="59.5"/>
    <m/>
    <x v="0"/>
  </r>
  <r>
    <x v="8"/>
    <x v="33"/>
    <n v="8.5"/>
    <n v="7"/>
    <n v="7"/>
    <x v="3"/>
    <s v="SP 25.4.5"/>
    <n v="8"/>
    <n v="68"/>
    <m/>
    <x v="0"/>
  </r>
  <r>
    <x v="8"/>
    <x v="33"/>
    <n v="8.5"/>
    <n v="7"/>
    <n v="7"/>
    <x v="3"/>
    <s v="SP 25.4.6"/>
    <n v="8"/>
    <n v="68"/>
    <m/>
    <x v="0"/>
  </r>
  <r>
    <x v="7"/>
    <x v="34"/>
    <n v="6"/>
    <n v="7.5"/>
    <n v="7"/>
    <x v="0"/>
    <s v="SP 25.1.1"/>
    <n v="8"/>
    <n v="44.8"/>
    <m/>
    <x v="0"/>
  </r>
  <r>
    <x v="7"/>
    <x v="34"/>
    <n v="6"/>
    <n v="7.5"/>
    <n v="7"/>
    <x v="0"/>
    <s v="SP 25.1.2"/>
    <n v="8"/>
    <n v="44.8"/>
    <m/>
    <x v="0"/>
  </r>
  <r>
    <x v="7"/>
    <x v="34"/>
    <n v="6"/>
    <n v="7.5"/>
    <n v="7"/>
    <x v="0"/>
    <s v="SP 25.1.3"/>
    <n v="8"/>
    <n v="44.8"/>
    <m/>
    <x v="0"/>
  </r>
  <r>
    <x v="7"/>
    <x v="34"/>
    <n v="6"/>
    <n v="7.5"/>
    <n v="7"/>
    <x v="0"/>
    <s v="SP 25.1.4"/>
    <n v="6"/>
    <n v="33.6"/>
    <m/>
    <x v="0"/>
  </r>
  <r>
    <x v="7"/>
    <x v="34"/>
    <n v="6"/>
    <n v="7.5"/>
    <n v="7"/>
    <x v="0"/>
    <s v="SP 25.1.5"/>
    <n v="8"/>
    <n v="44.8"/>
    <m/>
    <x v="0"/>
  </r>
  <r>
    <x v="7"/>
    <x v="34"/>
    <n v="6"/>
    <n v="7.5"/>
    <n v="7"/>
    <x v="0"/>
    <s v="SP 25.1.6"/>
    <n v="3"/>
    <n v="16.8"/>
    <m/>
    <x v="0"/>
  </r>
  <r>
    <x v="7"/>
    <x v="34"/>
    <n v="0"/>
    <n v="0"/>
    <n v="7"/>
    <x v="1"/>
    <s v="SP 25.2.1"/>
    <n v="6"/>
    <s v=""/>
    <m/>
    <x v="2"/>
  </r>
  <r>
    <x v="7"/>
    <x v="34"/>
    <n v="0"/>
    <n v="0"/>
    <n v="7"/>
    <x v="1"/>
    <s v="SP 25.2.2"/>
    <n v="7"/>
    <s v=""/>
    <m/>
    <x v="2"/>
  </r>
  <r>
    <x v="7"/>
    <x v="34"/>
    <n v="0"/>
    <n v="0"/>
    <n v="7"/>
    <x v="1"/>
    <s v="SP 25.2.3"/>
    <n v="8"/>
    <s v=""/>
    <m/>
    <x v="2"/>
  </r>
  <r>
    <x v="7"/>
    <x v="34"/>
    <n v="0"/>
    <n v="0"/>
    <n v="7"/>
    <x v="1"/>
    <s v="SP 25.2.4"/>
    <n v="8"/>
    <s v=""/>
    <m/>
    <x v="2"/>
  </r>
  <r>
    <x v="7"/>
    <x v="34"/>
    <n v="0"/>
    <n v="0"/>
    <n v="7"/>
    <x v="1"/>
    <s v="SP 25.2.5"/>
    <n v="7"/>
    <s v=""/>
    <m/>
    <x v="2"/>
  </r>
  <r>
    <x v="7"/>
    <x v="34"/>
    <n v="0"/>
    <n v="0"/>
    <n v="7"/>
    <x v="1"/>
    <s v="SP 25.2.6"/>
    <n v="3"/>
    <s v=""/>
    <m/>
    <x v="2"/>
  </r>
  <r>
    <x v="7"/>
    <x v="34"/>
    <n v="0"/>
    <n v="0"/>
    <n v="7"/>
    <x v="2"/>
    <s v="SP 25.3.1"/>
    <n v="7"/>
    <s v=""/>
    <m/>
    <x v="2"/>
  </r>
  <r>
    <x v="7"/>
    <x v="34"/>
    <n v="0"/>
    <n v="0"/>
    <n v="7"/>
    <x v="2"/>
    <s v="SP 25.3.2"/>
    <n v="8"/>
    <s v=""/>
    <m/>
    <x v="2"/>
  </r>
  <r>
    <x v="7"/>
    <x v="34"/>
    <n v="0"/>
    <n v="0"/>
    <n v="7"/>
    <x v="2"/>
    <s v="SP 25.3.3"/>
    <n v="8"/>
    <s v=""/>
    <m/>
    <x v="2"/>
  </r>
  <r>
    <x v="7"/>
    <x v="34"/>
    <n v="0"/>
    <n v="0"/>
    <n v="7"/>
    <x v="2"/>
    <s v="SP 25.3.4"/>
    <n v="13"/>
    <s v=""/>
    <m/>
    <x v="2"/>
  </r>
  <r>
    <x v="7"/>
    <x v="34"/>
    <n v="0"/>
    <n v="0"/>
    <n v="7"/>
    <x v="2"/>
    <s v="SP 25.3.5"/>
    <n v="3"/>
    <s v=""/>
    <m/>
    <x v="2"/>
  </r>
  <r>
    <x v="7"/>
    <x v="34"/>
    <n v="0"/>
    <n v="0"/>
    <n v="7"/>
    <x v="3"/>
    <s v="SP 25.4.1"/>
    <n v="13"/>
    <s v=""/>
    <m/>
    <x v="2"/>
  </r>
  <r>
    <x v="7"/>
    <x v="34"/>
    <n v="0"/>
    <n v="0"/>
    <n v="7"/>
    <x v="3"/>
    <s v="SP 25.4.2"/>
    <n v="8"/>
    <s v=""/>
    <m/>
    <x v="2"/>
  </r>
  <r>
    <x v="7"/>
    <x v="34"/>
    <n v="0"/>
    <n v="0"/>
    <n v="7"/>
    <x v="3"/>
    <s v="SP 25.4.3"/>
    <n v="8"/>
    <s v=""/>
    <m/>
    <x v="2"/>
  </r>
  <r>
    <x v="7"/>
    <x v="34"/>
    <n v="0"/>
    <n v="0"/>
    <n v="7"/>
    <x v="3"/>
    <s v="SP 25.4.4"/>
    <n v="7"/>
    <s v=""/>
    <m/>
    <x v="2"/>
  </r>
  <r>
    <x v="7"/>
    <x v="34"/>
    <n v="0"/>
    <n v="0"/>
    <n v="7"/>
    <x v="3"/>
    <s v="SP 25.4.5"/>
    <n v="8"/>
    <s v=""/>
    <m/>
    <x v="2"/>
  </r>
  <r>
    <x v="7"/>
    <x v="34"/>
    <n v="0"/>
    <n v="0"/>
    <n v="7"/>
    <x v="3"/>
    <s v="SP 25.4.6"/>
    <n v="8"/>
    <s v=""/>
    <m/>
    <x v="2"/>
  </r>
  <r>
    <x v="7"/>
    <x v="35"/>
    <n v="5"/>
    <n v="5.3"/>
    <n v="7"/>
    <x v="0"/>
    <s v="SP 25.1.1"/>
    <n v="8"/>
    <n v="52.830188679245282"/>
    <m/>
    <x v="0"/>
  </r>
  <r>
    <x v="7"/>
    <x v="35"/>
    <n v="5"/>
    <n v="5.3"/>
    <n v="7"/>
    <x v="0"/>
    <s v="SP 25.1.2"/>
    <n v="8"/>
    <n v="52.830188679245282"/>
    <m/>
    <x v="0"/>
  </r>
  <r>
    <x v="7"/>
    <x v="35"/>
    <n v="5"/>
    <n v="5.3"/>
    <n v="7"/>
    <x v="0"/>
    <s v="SP 25.1.3"/>
    <n v="8"/>
    <n v="52.830188679245282"/>
    <m/>
    <x v="0"/>
  </r>
  <r>
    <x v="7"/>
    <x v="35"/>
    <n v="5"/>
    <n v="5.3"/>
    <n v="7"/>
    <x v="0"/>
    <s v="SP 25.1.4"/>
    <n v="6"/>
    <n v="39.622641509433961"/>
    <m/>
    <x v="0"/>
  </r>
  <r>
    <x v="7"/>
    <x v="35"/>
    <n v="5"/>
    <n v="5.3"/>
    <n v="7"/>
    <x v="0"/>
    <s v="SP 25.1.5"/>
    <n v="8"/>
    <n v="52.830188679245282"/>
    <m/>
    <x v="0"/>
  </r>
  <r>
    <x v="7"/>
    <x v="35"/>
    <n v="5"/>
    <n v="5.3"/>
    <n v="7"/>
    <x v="0"/>
    <s v="SP 25.1.6"/>
    <n v="3"/>
    <n v="19.811320754716981"/>
    <m/>
    <x v="0"/>
  </r>
  <r>
    <x v="7"/>
    <x v="35"/>
    <n v="7.5"/>
    <n v="7.8"/>
    <n v="7"/>
    <x v="1"/>
    <s v="SP 25.2.1"/>
    <n v="6"/>
    <n v="40.384615384615387"/>
    <m/>
    <x v="0"/>
  </r>
  <r>
    <x v="7"/>
    <x v="35"/>
    <n v="7.5"/>
    <n v="7.8"/>
    <n v="7"/>
    <x v="1"/>
    <s v="SP 25.2.2"/>
    <n v="7"/>
    <n v="47.115384615384613"/>
    <m/>
    <x v="0"/>
  </r>
  <r>
    <x v="7"/>
    <x v="35"/>
    <n v="7.5"/>
    <n v="7.8"/>
    <n v="7"/>
    <x v="1"/>
    <s v="SP 25.2.3"/>
    <n v="8"/>
    <n v="53.846153846153847"/>
    <m/>
    <x v="0"/>
  </r>
  <r>
    <x v="7"/>
    <x v="35"/>
    <n v="8"/>
    <n v="7.8"/>
    <n v="7"/>
    <x v="1"/>
    <s v="SP 25.2.4"/>
    <n v="8"/>
    <n v="57.435897435897438"/>
    <m/>
    <x v="0"/>
  </r>
  <r>
    <x v="7"/>
    <x v="35"/>
    <n v="8"/>
    <n v="7.8"/>
    <n v="7"/>
    <x v="1"/>
    <s v="SP 25.2.5"/>
    <n v="7"/>
    <n v="50.256410256410255"/>
    <m/>
    <x v="0"/>
  </r>
  <r>
    <x v="7"/>
    <x v="35"/>
    <n v="8"/>
    <n v="7.8"/>
    <n v="7"/>
    <x v="1"/>
    <s v="SP 25.2.6"/>
    <n v="3"/>
    <n v="21.53846153846154"/>
    <m/>
    <x v="0"/>
  </r>
  <r>
    <x v="7"/>
    <x v="35"/>
    <n v="7"/>
    <n v="7.3"/>
    <n v="7"/>
    <x v="2"/>
    <s v="SP 25.3.1"/>
    <n v="7"/>
    <n v="46.986301369863014"/>
    <m/>
    <x v="0"/>
  </r>
  <r>
    <x v="7"/>
    <x v="35"/>
    <n v="7"/>
    <n v="7.3"/>
    <n v="7"/>
    <x v="2"/>
    <s v="SP 25.3.2"/>
    <n v="8"/>
    <n v="53.698630136986303"/>
    <m/>
    <x v="0"/>
  </r>
  <r>
    <x v="7"/>
    <x v="35"/>
    <n v="7"/>
    <n v="7.3"/>
    <n v="7"/>
    <x v="2"/>
    <s v="SP 25.3.3"/>
    <n v="8"/>
    <n v="53.698630136986303"/>
    <m/>
    <x v="0"/>
  </r>
  <r>
    <x v="7"/>
    <x v="35"/>
    <n v="7"/>
    <n v="7.3"/>
    <n v="7"/>
    <x v="2"/>
    <s v="SP 25.3.4"/>
    <n v="13"/>
    <n v="87.260273972602747"/>
    <m/>
    <x v="0"/>
  </r>
  <r>
    <x v="7"/>
    <x v="35"/>
    <n v="7"/>
    <n v="7.3"/>
    <n v="7"/>
    <x v="2"/>
    <s v="SP 25.3.5"/>
    <n v="3"/>
    <n v="20.136986301369863"/>
    <m/>
    <x v="0"/>
  </r>
  <r>
    <x v="7"/>
    <x v="35"/>
    <n v="5"/>
    <n v="7"/>
    <n v="7"/>
    <x v="3"/>
    <s v="SP 25.4.1"/>
    <n v="13"/>
    <n v="65"/>
    <m/>
    <x v="0"/>
  </r>
  <r>
    <x v="7"/>
    <x v="35"/>
    <n v="5"/>
    <n v="7"/>
    <n v="7"/>
    <x v="3"/>
    <s v="SP 25.4.2"/>
    <n v="8"/>
    <n v="40"/>
    <m/>
    <x v="0"/>
  </r>
  <r>
    <x v="7"/>
    <x v="35"/>
    <n v="5"/>
    <n v="7"/>
    <n v="7"/>
    <x v="3"/>
    <s v="SP 25.4.3"/>
    <n v="8"/>
    <n v="40"/>
    <m/>
    <x v="0"/>
  </r>
  <r>
    <x v="7"/>
    <x v="35"/>
    <n v="5"/>
    <n v="7"/>
    <n v="7"/>
    <x v="3"/>
    <s v="SP 25.4.4"/>
    <n v="7"/>
    <n v="35"/>
    <m/>
    <x v="0"/>
  </r>
  <r>
    <x v="7"/>
    <x v="35"/>
    <n v="5"/>
    <n v="7"/>
    <n v="7"/>
    <x v="3"/>
    <s v="SP 25.4.5"/>
    <n v="8"/>
    <n v="40"/>
    <m/>
    <x v="0"/>
  </r>
  <r>
    <x v="7"/>
    <x v="35"/>
    <n v="5"/>
    <n v="7"/>
    <n v="7"/>
    <x v="3"/>
    <s v="SP 25.4.6"/>
    <n v="8"/>
    <n v="40"/>
    <m/>
    <x v="0"/>
  </r>
  <r>
    <x v="8"/>
    <x v="36"/>
    <n v="4"/>
    <n v="8"/>
    <n v="7"/>
    <x v="0"/>
    <s v="SP 25.1.1"/>
    <n v="8"/>
    <n v="28"/>
    <m/>
    <x v="0"/>
  </r>
  <r>
    <x v="8"/>
    <x v="36"/>
    <n v="3"/>
    <n v="8"/>
    <n v="7"/>
    <x v="0"/>
    <s v="SP 25.1.2"/>
    <n v="8"/>
    <n v="21"/>
    <m/>
    <x v="0"/>
  </r>
  <r>
    <x v="8"/>
    <x v="36"/>
    <n v="4"/>
    <n v="8"/>
    <n v="7"/>
    <x v="0"/>
    <s v="SP 25.1.3"/>
    <n v="8"/>
    <n v="28"/>
    <m/>
    <x v="0"/>
  </r>
  <r>
    <x v="8"/>
    <x v="36"/>
    <n v="3.5"/>
    <n v="8"/>
    <n v="7"/>
    <x v="0"/>
    <s v="SP 25.1.4"/>
    <n v="6"/>
    <n v="18.375"/>
    <m/>
    <x v="0"/>
  </r>
  <r>
    <x v="8"/>
    <x v="36"/>
    <n v="4"/>
    <n v="8"/>
    <n v="7"/>
    <x v="0"/>
    <s v="SP 25.1.5"/>
    <n v="8"/>
    <n v="28"/>
    <m/>
    <x v="0"/>
  </r>
  <r>
    <x v="8"/>
    <x v="36"/>
    <n v="4"/>
    <n v="8"/>
    <n v="7"/>
    <x v="0"/>
    <s v="SP 25.1.6"/>
    <n v="3"/>
    <n v="10.5"/>
    <m/>
    <x v="0"/>
  </r>
  <r>
    <x v="8"/>
    <x v="36"/>
    <n v="3.5"/>
    <n v="7.1"/>
    <n v="7"/>
    <x v="1"/>
    <s v="SP 25.2.1"/>
    <n v="6"/>
    <n v="20.704225352112676"/>
    <m/>
    <x v="0"/>
  </r>
  <r>
    <x v="8"/>
    <x v="36"/>
    <n v="3.5"/>
    <n v="7.1"/>
    <n v="7"/>
    <x v="1"/>
    <s v="SP 25.2.2"/>
    <n v="7"/>
    <n v="24.154929577464792"/>
    <m/>
    <x v="0"/>
  </r>
  <r>
    <x v="8"/>
    <x v="36"/>
    <n v="3.5"/>
    <n v="7.1"/>
    <n v="7"/>
    <x v="1"/>
    <s v="SP 25.2.3"/>
    <n v="8"/>
    <n v="27.605633802816904"/>
    <m/>
    <x v="0"/>
  </r>
  <r>
    <x v="8"/>
    <x v="36"/>
    <n v="3.5"/>
    <n v="7.1"/>
    <n v="7"/>
    <x v="1"/>
    <s v="SP 25.2.4"/>
    <n v="8"/>
    <n v="27.605633802816904"/>
    <m/>
    <x v="0"/>
  </r>
  <r>
    <x v="8"/>
    <x v="36"/>
    <n v="3.5"/>
    <n v="7.1"/>
    <n v="7"/>
    <x v="1"/>
    <s v="SP 25.2.5"/>
    <n v="7"/>
    <n v="24.154929577464792"/>
    <m/>
    <x v="0"/>
  </r>
  <r>
    <x v="8"/>
    <x v="36"/>
    <n v="3.5"/>
    <n v="7.1"/>
    <n v="7"/>
    <x v="1"/>
    <s v="SP 25.2.6"/>
    <n v="3"/>
    <n v="10.352112676056338"/>
    <m/>
    <x v="0"/>
  </r>
  <r>
    <x v="8"/>
    <x v="36"/>
    <n v="4"/>
    <n v="7.8"/>
    <n v="7"/>
    <x v="2"/>
    <s v="SP 25.3.1"/>
    <n v="7"/>
    <n v="25.128205128205128"/>
    <m/>
    <x v="0"/>
  </r>
  <r>
    <x v="8"/>
    <x v="36"/>
    <n v="4"/>
    <n v="7.8"/>
    <n v="7"/>
    <x v="2"/>
    <s v="SP 25.3.2"/>
    <n v="8"/>
    <n v="28.717948717948719"/>
    <m/>
    <x v="0"/>
  </r>
  <r>
    <x v="8"/>
    <x v="36"/>
    <n v="4"/>
    <n v="7.8"/>
    <n v="7"/>
    <x v="2"/>
    <s v="SP 25.3.3"/>
    <n v="8"/>
    <n v="28.717948717948719"/>
    <m/>
    <x v="0"/>
  </r>
  <r>
    <x v="8"/>
    <x v="36"/>
    <n v="4"/>
    <n v="7.8"/>
    <n v="7"/>
    <x v="2"/>
    <s v="SP 25.3.4"/>
    <n v="13"/>
    <n v="46.666666666666664"/>
    <m/>
    <x v="0"/>
  </r>
  <r>
    <x v="8"/>
    <x v="36"/>
    <n v="4"/>
    <n v="7.8"/>
    <n v="7"/>
    <x v="2"/>
    <s v="SP 25.3.5"/>
    <n v="3"/>
    <n v="10.76923076923077"/>
    <m/>
    <x v="0"/>
  </r>
  <r>
    <x v="8"/>
    <x v="36"/>
    <n v="4"/>
    <n v="8"/>
    <n v="7"/>
    <x v="3"/>
    <s v="SP 25.4.1"/>
    <n v="13"/>
    <n v="45.5"/>
    <m/>
    <x v="0"/>
  </r>
  <r>
    <x v="8"/>
    <x v="36"/>
    <n v="4"/>
    <n v="8"/>
    <n v="7"/>
    <x v="3"/>
    <s v="SP 25.4.2"/>
    <n v="8"/>
    <n v="28"/>
    <m/>
    <x v="0"/>
  </r>
  <r>
    <x v="8"/>
    <x v="36"/>
    <n v="4"/>
    <n v="8"/>
    <n v="7"/>
    <x v="3"/>
    <s v="SP 25.4.3"/>
    <n v="8"/>
    <n v="28"/>
    <m/>
    <x v="0"/>
  </r>
  <r>
    <x v="8"/>
    <x v="36"/>
    <n v="3"/>
    <n v="8"/>
    <n v="7"/>
    <x v="3"/>
    <s v="SP 25.4.4"/>
    <n v="7"/>
    <n v="18.375"/>
    <m/>
    <x v="0"/>
  </r>
  <r>
    <x v="8"/>
    <x v="36"/>
    <n v="3.5"/>
    <n v="8"/>
    <n v="7"/>
    <x v="3"/>
    <s v="SP 25.4.5"/>
    <n v="8"/>
    <n v="24.5"/>
    <m/>
    <x v="0"/>
  </r>
  <r>
    <x v="8"/>
    <x v="37"/>
    <n v="4"/>
    <n v="8"/>
    <n v="7"/>
    <x v="3"/>
    <s v="SP 25.4.6"/>
    <n v="8"/>
    <n v="28"/>
    <m/>
    <x v="0"/>
  </r>
  <r>
    <x v="8"/>
    <x v="38"/>
    <n v="2.5"/>
    <n v="7"/>
    <n v="7"/>
    <x v="3"/>
    <s v="SP 25.4.1"/>
    <n v="13"/>
    <n v="32.5"/>
    <m/>
    <x v="0"/>
  </r>
  <r>
    <x v="8"/>
    <x v="38"/>
    <n v="2.5"/>
    <n v="7"/>
    <n v="7"/>
    <x v="3"/>
    <s v="SP 25.4.2"/>
    <n v="8"/>
    <n v="20"/>
    <m/>
    <x v="0"/>
  </r>
  <r>
    <x v="8"/>
    <x v="38"/>
    <n v="2.5"/>
    <n v="7"/>
    <n v="7"/>
    <x v="3"/>
    <s v="SP 25.4.3"/>
    <n v="8"/>
    <n v="20"/>
    <m/>
    <x v="0"/>
  </r>
  <r>
    <x v="8"/>
    <x v="38"/>
    <n v="2.5"/>
    <n v="7"/>
    <n v="7"/>
    <x v="3"/>
    <s v="SP 25.4.4"/>
    <n v="7"/>
    <n v="17.5"/>
    <m/>
    <x v="0"/>
  </r>
  <r>
    <x v="8"/>
    <x v="38"/>
    <n v="2.5"/>
    <n v="7"/>
    <n v="7"/>
    <x v="3"/>
    <s v="SP 25.4.5"/>
    <n v="8"/>
    <n v="20"/>
    <m/>
    <x v="0"/>
  </r>
  <r>
    <x v="8"/>
    <x v="38"/>
    <n v="2.5"/>
    <n v="7"/>
    <n v="7"/>
    <x v="3"/>
    <s v="SP 25.4.6"/>
    <n v="8"/>
    <n v="20"/>
    <m/>
    <x v="0"/>
  </r>
  <r>
    <x v="9"/>
    <x v="39"/>
    <n v="5.4"/>
    <n v="6.9"/>
    <n v="7"/>
    <x v="0"/>
    <s v="SP 25.1.1"/>
    <n v="8"/>
    <n v="43.826086956521742"/>
    <n v="8.7652173913043487"/>
    <x v="3"/>
  </r>
  <r>
    <x v="9"/>
    <x v="39"/>
    <n v="5.9"/>
    <n v="6.9"/>
    <n v="7"/>
    <x v="0"/>
    <s v="SP 25.1.2"/>
    <n v="8"/>
    <n v="47.884057971014492"/>
    <n v="9.5768115942028995"/>
    <x v="3"/>
  </r>
  <r>
    <x v="9"/>
    <x v="39"/>
    <n v="4.5"/>
    <n v="6.9"/>
    <n v="7"/>
    <x v="0"/>
    <s v="SP 25.1.3"/>
    <n v="8"/>
    <n v="36.521739130434781"/>
    <n v="7.304347826086957"/>
    <x v="3"/>
  </r>
  <r>
    <x v="9"/>
    <x v="39"/>
    <n v="6"/>
    <n v="6.9"/>
    <n v="7"/>
    <x v="0"/>
    <s v="SP 25.1.4"/>
    <n v="6"/>
    <n v="36.521739130434781"/>
    <n v="7.304347826086957"/>
    <x v="3"/>
  </r>
  <r>
    <x v="9"/>
    <x v="39"/>
    <n v="6"/>
    <n v="6.9"/>
    <n v="7"/>
    <x v="0"/>
    <s v="SP 25.1.5"/>
    <n v="8"/>
    <n v="48.695652173913039"/>
    <n v="9.7391304347826093"/>
    <x v="3"/>
  </r>
  <r>
    <x v="9"/>
    <x v="39"/>
    <n v="6"/>
    <n v="6.9"/>
    <n v="7"/>
    <x v="0"/>
    <s v="SP 25.1.6"/>
    <n v="3"/>
    <n v="18.260869565217391"/>
    <n v="3.6521739130434785"/>
    <x v="3"/>
  </r>
  <r>
    <x v="9"/>
    <x v="39"/>
    <n v="4"/>
    <n v="5.3"/>
    <n v="7"/>
    <x v="1"/>
    <s v="SP 25.2.1"/>
    <n v="6"/>
    <n v="31.69811320754717"/>
    <n v="6.3396226415094343"/>
    <x v="3"/>
  </r>
  <r>
    <x v="9"/>
    <x v="39"/>
    <n v="5"/>
    <n v="5.3"/>
    <n v="7"/>
    <x v="1"/>
    <s v="SP 25.2.2"/>
    <n v="7"/>
    <n v="46.226415094339622"/>
    <n v="9.2452830188679247"/>
    <x v="3"/>
  </r>
  <r>
    <x v="9"/>
    <x v="39"/>
    <n v="6"/>
    <n v="5.3"/>
    <n v="7"/>
    <x v="1"/>
    <s v="SP 25.2.3"/>
    <n v="8"/>
    <n v="63.39622641509434"/>
    <n v="12.679245283018869"/>
    <x v="3"/>
  </r>
  <r>
    <x v="9"/>
    <x v="39"/>
    <n v="6"/>
    <n v="5.3"/>
    <n v="7"/>
    <x v="1"/>
    <s v="SP 25.2.4"/>
    <n v="8"/>
    <n v="63.39622641509434"/>
    <n v="12.679245283018869"/>
    <x v="3"/>
  </r>
  <r>
    <x v="9"/>
    <x v="39"/>
    <n v="6"/>
    <n v="5.3"/>
    <n v="7"/>
    <x v="1"/>
    <s v="SP 25.2.5"/>
    <n v="7"/>
    <n v="55.471698113207552"/>
    <n v="11.094339622641511"/>
    <x v="3"/>
  </r>
  <r>
    <x v="9"/>
    <x v="39"/>
    <n v="6"/>
    <n v="5.7"/>
    <n v="7"/>
    <x v="1"/>
    <s v="SP 25.2.6"/>
    <n v="3"/>
    <n v="22.105263157894736"/>
    <n v="4.4210526315789478"/>
    <x v="3"/>
  </r>
  <r>
    <x v="9"/>
    <x v="39"/>
    <n v="6"/>
    <n v="5.6"/>
    <n v="7"/>
    <x v="2"/>
    <s v="SP 25.3.1"/>
    <n v="7"/>
    <n v="52.5"/>
    <n v="10.5"/>
    <x v="3"/>
  </r>
  <r>
    <x v="9"/>
    <x v="39"/>
    <n v="7"/>
    <n v="5.6"/>
    <n v="7"/>
    <x v="2"/>
    <s v="SP 25.3.2"/>
    <n v="8"/>
    <n v="70"/>
    <n v="15.4"/>
    <x v="3"/>
  </r>
  <r>
    <x v="9"/>
    <x v="39"/>
    <n v="7"/>
    <n v="5.6"/>
    <n v="7"/>
    <x v="2"/>
    <s v="SP 25.3.3"/>
    <n v="8"/>
    <n v="70"/>
    <n v="21"/>
    <x v="3"/>
  </r>
  <r>
    <x v="9"/>
    <x v="39"/>
    <n v="7"/>
    <n v="5.6"/>
    <n v="7"/>
    <x v="2"/>
    <s v="SP 25.3.4"/>
    <n v="13"/>
    <n v="113.75000000000001"/>
    <n v="29.006250000000005"/>
    <x v="3"/>
  </r>
  <r>
    <x v="9"/>
    <x v="39"/>
    <n v="7"/>
    <n v="5.6"/>
    <n v="7"/>
    <x v="2"/>
    <s v="SP 25.3.5"/>
    <n v="3"/>
    <n v="26.25"/>
    <n v="12.6"/>
    <x v="3"/>
  </r>
  <r>
    <x v="9"/>
    <x v="39"/>
    <n v="6"/>
    <n v="5.6"/>
    <n v="7"/>
    <x v="3"/>
    <s v="SP 25.4.1"/>
    <n v="13"/>
    <n v="97.5"/>
    <n v="14.625"/>
    <x v="3"/>
  </r>
  <r>
    <x v="9"/>
    <x v="39"/>
    <n v="6"/>
    <n v="5.6"/>
    <n v="7"/>
    <x v="3"/>
    <s v="SP 25.4.2"/>
    <n v="8"/>
    <n v="60.000000000000007"/>
    <n v="9"/>
    <x v="3"/>
  </r>
  <r>
    <x v="9"/>
    <x v="39"/>
    <n v="7"/>
    <n v="5.6"/>
    <n v="7"/>
    <x v="3"/>
    <s v="SP 25.4.3"/>
    <n v="8"/>
    <n v="70"/>
    <n v="10.5"/>
    <x v="3"/>
  </r>
  <r>
    <x v="9"/>
    <x v="39"/>
    <n v="7"/>
    <n v="5.6"/>
    <n v="7"/>
    <x v="3"/>
    <s v="SP 25.4.4"/>
    <n v="7"/>
    <n v="61.250000000000007"/>
    <n v="9.1875"/>
    <x v="3"/>
  </r>
  <r>
    <x v="9"/>
    <x v="39"/>
    <n v="7"/>
    <n v="5.6"/>
    <n v="7"/>
    <x v="3"/>
    <s v="SP 25.4.5"/>
    <n v="8"/>
    <n v="70"/>
    <n v="10.5"/>
    <x v="3"/>
  </r>
  <r>
    <x v="9"/>
    <x v="39"/>
    <n v="7"/>
    <n v="5.6"/>
    <n v="7"/>
    <x v="3"/>
    <s v="SP 25.4.6"/>
    <n v="8"/>
    <n v="70"/>
    <n v="10.5"/>
    <x v="3"/>
  </r>
  <r>
    <x v="9"/>
    <x v="40"/>
    <n v="5"/>
    <n v="5.9"/>
    <n v="7"/>
    <x v="0"/>
    <s v="SP 25.1.1"/>
    <n v="7"/>
    <n v="41.525423728813557"/>
    <n v="4.1525423728813555"/>
    <x v="3"/>
  </r>
  <r>
    <x v="9"/>
    <x v="40"/>
    <n v="5"/>
    <n v="5.9"/>
    <n v="7"/>
    <x v="0"/>
    <s v="SP 25.1.2"/>
    <n v="8"/>
    <n v="47.457627118644062"/>
    <n v="9.4915254237288131"/>
    <x v="3"/>
  </r>
  <r>
    <x v="9"/>
    <x v="40"/>
    <n v="5"/>
    <n v="5.9"/>
    <n v="7"/>
    <x v="0"/>
    <s v="SP 25.1.3"/>
    <n v="8"/>
    <n v="47.457627118644062"/>
    <n v="7"/>
    <x v="3"/>
  </r>
  <r>
    <x v="9"/>
    <x v="40"/>
    <n v="5"/>
    <n v="5.9"/>
    <n v="7"/>
    <x v="0"/>
    <s v="SP 25.1.4"/>
    <n v="6"/>
    <n v="35.593220338983052"/>
    <n v="5.25"/>
    <x v="3"/>
  </r>
  <r>
    <x v="9"/>
    <x v="40"/>
    <n v="5"/>
    <n v="5.9"/>
    <n v="7"/>
    <x v="0"/>
    <s v="SP 25.1.5"/>
    <n v="8"/>
    <n v="47.457627118644062"/>
    <n v="6.9999999999999991"/>
    <x v="3"/>
  </r>
  <r>
    <x v="9"/>
    <x v="40"/>
    <n v="5"/>
    <n v="5.9"/>
    <n v="7"/>
    <x v="0"/>
    <s v="SP 25.1.6"/>
    <n v="3"/>
    <n v="17.796610169491526"/>
    <n v="2.625"/>
    <x v="3"/>
  </r>
  <r>
    <x v="9"/>
    <x v="40"/>
    <n v="5"/>
    <n v="5.8"/>
    <n v="7"/>
    <x v="1"/>
    <s v="SP 25.2.1"/>
    <n v="6"/>
    <n v="36.206896551724142"/>
    <n v="7.2413793103448292"/>
    <x v="3"/>
  </r>
  <r>
    <x v="9"/>
    <x v="40"/>
    <n v="5"/>
    <n v="5.8"/>
    <n v="7"/>
    <x v="1"/>
    <s v="SP 25.2.2"/>
    <n v="7"/>
    <n v="42.241379310344826"/>
    <n v="8.4482758620689662"/>
    <x v="3"/>
  </r>
  <r>
    <x v="9"/>
    <x v="40"/>
    <n v="5"/>
    <n v="5.8"/>
    <n v="7"/>
    <x v="1"/>
    <s v="SP 25.2.3"/>
    <n v="8"/>
    <n v="48.275862068965516"/>
    <n v="9.6551724137931032"/>
    <x v="3"/>
  </r>
  <r>
    <x v="9"/>
    <x v="40"/>
    <n v="5"/>
    <n v="5.8"/>
    <n v="7"/>
    <x v="1"/>
    <s v="SP 25.2.4"/>
    <n v="8"/>
    <n v="48.275862068965516"/>
    <n v="9.6551724137931032"/>
    <x v="3"/>
  </r>
  <r>
    <x v="9"/>
    <x v="40"/>
    <n v="4"/>
    <n v="5.8"/>
    <n v="7"/>
    <x v="1"/>
    <s v="SP 25.2.5"/>
    <n v="7"/>
    <n v="33.793103448275865"/>
    <n v="6.7586206896551735"/>
    <x v="3"/>
  </r>
  <r>
    <x v="9"/>
    <x v="40"/>
    <n v="4.5"/>
    <n v="5.8"/>
    <n v="7"/>
    <x v="1"/>
    <s v="SP 25.2.6"/>
    <n v="3"/>
    <n v="16.293103448275861"/>
    <n v="3.2586206896551726"/>
    <x v="3"/>
  </r>
  <r>
    <x v="9"/>
    <x v="40"/>
    <n v="6"/>
    <n v="5.6"/>
    <n v="7"/>
    <x v="2"/>
    <s v="SP 25.3.1"/>
    <n v="7"/>
    <n v="52.5"/>
    <n v="13.125"/>
    <x v="3"/>
  </r>
  <r>
    <x v="9"/>
    <x v="40"/>
    <n v="6"/>
    <n v="5.6"/>
    <n v="7"/>
    <x v="2"/>
    <s v="SP 25.3.2"/>
    <n v="8"/>
    <n v="60.000000000000007"/>
    <n v="15.000000000000002"/>
    <x v="3"/>
  </r>
  <r>
    <x v="9"/>
    <x v="40"/>
    <n v="5.5"/>
    <n v="5.6"/>
    <n v="7"/>
    <x v="2"/>
    <s v="SP 25.3.3"/>
    <n v="8"/>
    <n v="55"/>
    <n v="13.75"/>
    <x v="3"/>
  </r>
  <r>
    <x v="9"/>
    <x v="40"/>
    <n v="5"/>
    <n v="5.6"/>
    <n v="7"/>
    <x v="2"/>
    <s v="SP 25.3.4"/>
    <n v="13"/>
    <n v="81.25"/>
    <n v="20.3125"/>
    <x v="3"/>
  </r>
  <r>
    <x v="9"/>
    <x v="40"/>
    <n v="6"/>
    <n v="5.6"/>
    <n v="7"/>
    <x v="2"/>
    <s v="SP 25.3.5"/>
    <n v="3"/>
    <n v="22.5"/>
    <n v="5.625"/>
    <x v="3"/>
  </r>
  <r>
    <x v="9"/>
    <x v="40"/>
    <n v="6"/>
    <n v="5.6"/>
    <n v="7"/>
    <x v="3"/>
    <s v="SP 25.4.1"/>
    <n v="13"/>
    <n v="97.5"/>
    <n v="11.374999999999998"/>
    <x v="3"/>
  </r>
  <r>
    <x v="9"/>
    <x v="40"/>
    <n v="6"/>
    <n v="5.6"/>
    <n v="7"/>
    <x v="3"/>
    <s v="SP 25.4.2"/>
    <n v="8"/>
    <n v="60.000000000000007"/>
    <n v="6.9999999999999991"/>
    <x v="3"/>
  </r>
  <r>
    <x v="9"/>
    <x v="40"/>
    <n v="6"/>
    <n v="5.6"/>
    <n v="7"/>
    <x v="3"/>
    <s v="SP 25.4.3"/>
    <n v="8"/>
    <n v="60.000000000000007"/>
    <n v="6.9999999999999991"/>
    <x v="3"/>
  </r>
  <r>
    <x v="9"/>
    <x v="40"/>
    <n v="6"/>
    <n v="5.6"/>
    <n v="7"/>
    <x v="3"/>
    <s v="SP 25.4.4"/>
    <n v="7"/>
    <n v="52.5"/>
    <n v="6.125"/>
    <x v="3"/>
  </r>
  <r>
    <x v="9"/>
    <x v="40"/>
    <n v="6"/>
    <n v="5.6"/>
    <n v="7"/>
    <x v="3"/>
    <s v="SP 25.4.5"/>
    <n v="8"/>
    <n v="60.000000000000007"/>
    <n v="6.9999999999999991"/>
    <x v="3"/>
  </r>
  <r>
    <x v="9"/>
    <x v="40"/>
    <n v="6"/>
    <n v="5.6"/>
    <n v="7"/>
    <x v="3"/>
    <s v="SP 25.4.6"/>
    <n v="8"/>
    <n v="60.000000000000007"/>
    <n v="6.9999999999999991"/>
    <x v="3"/>
  </r>
  <r>
    <x v="9"/>
    <x v="41"/>
    <n v="6"/>
    <n v="8.5"/>
    <n v="7"/>
    <x v="0"/>
    <s v="SP 25.1.1"/>
    <n v="8"/>
    <n v="39.529411764705884"/>
    <n v="7.8400000000000007"/>
    <x v="3"/>
  </r>
  <r>
    <x v="9"/>
    <x v="41"/>
    <n v="6"/>
    <n v="8.5"/>
    <n v="7"/>
    <x v="0"/>
    <s v="SP 25.1.2"/>
    <n v="8"/>
    <n v="39.529411764705884"/>
    <n v="8.9599999999999991"/>
    <x v="3"/>
  </r>
  <r>
    <x v="9"/>
    <x v="41"/>
    <n v="6"/>
    <n v="8.5"/>
    <n v="7"/>
    <x v="0"/>
    <s v="SP 25.1.3"/>
    <n v="8"/>
    <n v="39.529411764705884"/>
    <n v="8.9599999999999991"/>
    <x v="3"/>
  </r>
  <r>
    <x v="9"/>
    <x v="41"/>
    <n v="6"/>
    <n v="8.5"/>
    <n v="7"/>
    <x v="0"/>
    <s v="SP 25.1.4"/>
    <n v="6"/>
    <n v="29.647058823529413"/>
    <n v="6.7200000000000006"/>
    <x v="3"/>
  </r>
  <r>
    <x v="9"/>
    <x v="41"/>
    <n v="6"/>
    <n v="8.5"/>
    <n v="7"/>
    <x v="0"/>
    <s v="SP 25.1.5"/>
    <n v="8"/>
    <n v="39.529411764705884"/>
    <n v="8.9599999999999991"/>
    <x v="3"/>
  </r>
  <r>
    <x v="9"/>
    <x v="41"/>
    <n v="6"/>
    <n v="8.5"/>
    <n v="7"/>
    <x v="0"/>
    <s v="SP 25.1.6"/>
    <n v="3"/>
    <n v="14.823529411764707"/>
    <n v="3.3600000000000003"/>
    <x v="3"/>
  </r>
  <r>
    <x v="9"/>
    <x v="41"/>
    <n v="6"/>
    <n v="8"/>
    <n v="7"/>
    <x v="1"/>
    <s v="SP 25.2.1"/>
    <n v="6"/>
    <n v="31.5"/>
    <n v="6.3000000000000007"/>
    <x v="3"/>
  </r>
  <r>
    <x v="9"/>
    <x v="41"/>
    <n v="6"/>
    <n v="8"/>
    <n v="7"/>
    <x v="1"/>
    <s v="SP 25.2.2"/>
    <n v="7"/>
    <n v="36.75"/>
    <n v="7.3500000000000005"/>
    <x v="3"/>
  </r>
  <r>
    <x v="9"/>
    <x v="41"/>
    <n v="6"/>
    <n v="8"/>
    <n v="7"/>
    <x v="1"/>
    <s v="SP 25.2.3"/>
    <n v="8"/>
    <n v="42"/>
    <n v="8.4"/>
    <x v="3"/>
  </r>
  <r>
    <x v="9"/>
    <x v="41"/>
    <n v="6"/>
    <n v="8"/>
    <n v="7"/>
    <x v="1"/>
    <s v="SP 25.2.4"/>
    <n v="8"/>
    <n v="42"/>
    <n v="8.4"/>
    <x v="3"/>
  </r>
  <r>
    <x v="9"/>
    <x v="41"/>
    <n v="6"/>
    <n v="8"/>
    <n v="7"/>
    <x v="1"/>
    <s v="SP 25.2.5"/>
    <n v="7"/>
    <n v="36.75"/>
    <n v="7.3500000000000005"/>
    <x v="3"/>
  </r>
  <r>
    <x v="9"/>
    <x v="41"/>
    <n v="6"/>
    <n v="8"/>
    <n v="7"/>
    <x v="1"/>
    <s v="SP 25.2.6"/>
    <n v="3"/>
    <n v="15.75"/>
    <n v="3.1500000000000004"/>
    <x v="3"/>
  </r>
  <r>
    <x v="9"/>
    <x v="41"/>
    <n v="9"/>
    <n v="7.5"/>
    <n v="7"/>
    <x v="2"/>
    <s v="SP 25.3.1"/>
    <n v="7"/>
    <n v="58.8"/>
    <n v="14.7"/>
    <x v="3"/>
  </r>
  <r>
    <x v="9"/>
    <x v="41"/>
    <n v="9"/>
    <n v="7.5"/>
    <n v="7"/>
    <x v="2"/>
    <s v="SP 25.3.2"/>
    <n v="8"/>
    <n v="67.2"/>
    <n v="16.8"/>
    <x v="3"/>
  </r>
  <r>
    <x v="9"/>
    <x v="41"/>
    <n v="9"/>
    <n v="7.5"/>
    <n v="7"/>
    <x v="2"/>
    <s v="SP 25.3.3"/>
    <n v="8"/>
    <n v="67.2"/>
    <n v="16.8"/>
    <x v="3"/>
  </r>
  <r>
    <x v="9"/>
    <x v="41"/>
    <n v="9"/>
    <n v="7.5"/>
    <n v="7"/>
    <x v="2"/>
    <s v="SP 25.3.4"/>
    <n v="13"/>
    <n v="109.2"/>
    <n v="27.3"/>
    <x v="3"/>
  </r>
  <r>
    <x v="9"/>
    <x v="41"/>
    <n v="9"/>
    <n v="7.5"/>
    <n v="7"/>
    <x v="2"/>
    <s v="SP 25.3.5"/>
    <n v="3"/>
    <n v="25.2"/>
    <n v="6.3"/>
    <x v="3"/>
  </r>
  <r>
    <x v="9"/>
    <x v="41"/>
    <n v="9"/>
    <n v="7.5"/>
    <n v="7"/>
    <x v="3"/>
    <s v="SP 25.4.1"/>
    <n v="13"/>
    <n v="109.2"/>
    <n v="14.56"/>
    <x v="3"/>
  </r>
  <r>
    <x v="9"/>
    <x v="41"/>
    <n v="9"/>
    <n v="7.5"/>
    <n v="7"/>
    <x v="3"/>
    <s v="SP 25.4.2"/>
    <n v="8"/>
    <n v="67.2"/>
    <n v="8.9599999999999991"/>
    <x v="3"/>
  </r>
  <r>
    <x v="9"/>
    <x v="41"/>
    <n v="9"/>
    <n v="7.5"/>
    <n v="7"/>
    <x v="3"/>
    <s v="SP 25.4.3"/>
    <n v="8"/>
    <n v="67.2"/>
    <n v="8.9599999999999991"/>
    <x v="3"/>
  </r>
  <r>
    <x v="9"/>
    <x v="41"/>
    <n v="9"/>
    <n v="7.5"/>
    <n v="7"/>
    <x v="3"/>
    <s v="SP 25.4.4"/>
    <n v="7"/>
    <n v="58.8"/>
    <n v="7.8400000000000007"/>
    <x v="3"/>
  </r>
  <r>
    <x v="9"/>
    <x v="41"/>
    <n v="9"/>
    <n v="7.5"/>
    <n v="7"/>
    <x v="3"/>
    <s v="SP 25.4.5"/>
    <n v="8"/>
    <n v="67.2"/>
    <n v="8.9599999999999991"/>
    <x v="3"/>
  </r>
  <r>
    <x v="9"/>
    <x v="41"/>
    <n v="9"/>
    <n v="7.5"/>
    <n v="7"/>
    <x v="3"/>
    <s v="SP 25.4.6"/>
    <n v="8"/>
    <n v="67.2"/>
    <n v="8.9599999999999991"/>
    <x v="3"/>
  </r>
  <r>
    <x v="10"/>
    <x v="42"/>
    <n v="4"/>
    <n v="7"/>
    <n v="7"/>
    <x v="0"/>
    <s v="SP 25.1.1"/>
    <n v="8"/>
    <n v="32"/>
    <m/>
    <x v="0"/>
  </r>
  <r>
    <x v="10"/>
    <x v="42"/>
    <n v="4"/>
    <n v="7"/>
    <n v="7"/>
    <x v="0"/>
    <s v="SP 25.1.2"/>
    <n v="8"/>
    <n v="32"/>
    <m/>
    <x v="0"/>
  </r>
  <r>
    <x v="10"/>
    <x v="42"/>
    <n v="4"/>
    <n v="7"/>
    <n v="7"/>
    <x v="0"/>
    <s v="SP 25.1.3"/>
    <n v="8"/>
    <n v="32"/>
    <m/>
    <x v="0"/>
  </r>
  <r>
    <x v="10"/>
    <x v="42"/>
    <n v="4"/>
    <n v="7"/>
    <n v="7"/>
    <x v="0"/>
    <s v="SP 25.1.4"/>
    <n v="6"/>
    <n v="24"/>
    <m/>
    <x v="0"/>
  </r>
  <r>
    <x v="10"/>
    <x v="42"/>
    <n v="4"/>
    <n v="7"/>
    <n v="7"/>
    <x v="0"/>
    <s v="SP 25.1.5"/>
    <n v="8"/>
    <n v="32"/>
    <m/>
    <x v="0"/>
  </r>
  <r>
    <x v="10"/>
    <x v="42"/>
    <n v="4"/>
    <n v="7"/>
    <n v="7"/>
    <x v="0"/>
    <s v="SP 25.1.6"/>
    <n v="3"/>
    <n v="12"/>
    <m/>
    <x v="0"/>
  </r>
  <r>
    <x v="10"/>
    <x v="42"/>
    <n v="3"/>
    <n v="7"/>
    <n v="7"/>
    <x v="1"/>
    <s v="SP 25.2.1"/>
    <n v="6"/>
    <n v="18"/>
    <m/>
    <x v="0"/>
  </r>
  <r>
    <x v="10"/>
    <x v="42"/>
    <n v="4"/>
    <n v="7"/>
    <n v="7"/>
    <x v="1"/>
    <s v="SP 25.2.2"/>
    <n v="7"/>
    <n v="28"/>
    <m/>
    <x v="0"/>
  </r>
  <r>
    <x v="10"/>
    <x v="42"/>
    <n v="4"/>
    <n v="7"/>
    <n v="7"/>
    <x v="1"/>
    <s v="SP 25.2.3"/>
    <n v="8"/>
    <n v="32"/>
    <m/>
    <x v="0"/>
  </r>
  <r>
    <x v="10"/>
    <x v="42"/>
    <n v="4"/>
    <n v="7"/>
    <n v="7"/>
    <x v="1"/>
    <s v="SP 25.2.4"/>
    <n v="8"/>
    <n v="32"/>
    <m/>
    <x v="0"/>
  </r>
  <r>
    <x v="10"/>
    <x v="42"/>
    <n v="4"/>
    <n v="7"/>
    <n v="7"/>
    <x v="1"/>
    <s v="SP 25.2.5"/>
    <n v="7"/>
    <n v="28"/>
    <m/>
    <x v="0"/>
  </r>
  <r>
    <x v="10"/>
    <x v="42"/>
    <n v="4"/>
    <n v="7"/>
    <n v="7"/>
    <x v="1"/>
    <s v="SP 25.2.6"/>
    <n v="3"/>
    <n v="12"/>
    <m/>
    <x v="0"/>
  </r>
  <r>
    <x v="10"/>
    <x v="42"/>
    <n v="4"/>
    <n v="6.8"/>
    <n v="7"/>
    <x v="2"/>
    <s v="SP 25.3.1"/>
    <n v="7"/>
    <n v="28.823529411764707"/>
    <m/>
    <x v="0"/>
  </r>
  <r>
    <x v="10"/>
    <x v="42"/>
    <n v="4"/>
    <n v="6.8"/>
    <n v="7"/>
    <x v="2"/>
    <s v="SP 25.3.2"/>
    <n v="8"/>
    <n v="32.941176470588239"/>
    <m/>
    <x v="0"/>
  </r>
  <r>
    <x v="10"/>
    <x v="42"/>
    <n v="4"/>
    <n v="6.8"/>
    <n v="7"/>
    <x v="2"/>
    <s v="SP 25.3.3"/>
    <n v="8"/>
    <n v="32.941176470588239"/>
    <m/>
    <x v="0"/>
  </r>
  <r>
    <x v="10"/>
    <x v="42"/>
    <n v="4"/>
    <n v="6.8"/>
    <n v="7"/>
    <x v="2"/>
    <s v="SP 25.3.4"/>
    <n v="13"/>
    <n v="53.529411764705884"/>
    <m/>
    <x v="0"/>
  </r>
  <r>
    <x v="10"/>
    <x v="42"/>
    <n v="4"/>
    <n v="6.8"/>
    <n v="7"/>
    <x v="2"/>
    <s v="SP 25.3.5"/>
    <n v="3"/>
    <n v="12.352941176470589"/>
    <m/>
    <x v="0"/>
  </r>
  <r>
    <x v="10"/>
    <x v="42"/>
    <n v="5"/>
    <n v="6.8"/>
    <n v="7"/>
    <x v="3"/>
    <s v="SP 25.4.1"/>
    <n v="13"/>
    <n v="66.911764705882348"/>
    <m/>
    <x v="0"/>
  </r>
  <r>
    <x v="10"/>
    <x v="42"/>
    <n v="5"/>
    <n v="6.8"/>
    <n v="7"/>
    <x v="3"/>
    <s v="SP 25.4.2"/>
    <n v="8"/>
    <n v="41.176470588235297"/>
    <m/>
    <x v="0"/>
  </r>
  <r>
    <x v="10"/>
    <x v="42"/>
    <n v="5"/>
    <n v="6.8"/>
    <n v="7"/>
    <x v="3"/>
    <s v="SP 25.4.3"/>
    <n v="8"/>
    <n v="41.176470588235297"/>
    <m/>
    <x v="0"/>
  </r>
  <r>
    <x v="10"/>
    <x v="42"/>
    <n v="5"/>
    <n v="6.8"/>
    <n v="7"/>
    <x v="3"/>
    <s v="SP 25.4.4"/>
    <n v="7"/>
    <n v="36.029411764705884"/>
    <m/>
    <x v="0"/>
  </r>
  <r>
    <x v="10"/>
    <x v="42"/>
    <n v="5"/>
    <n v="6.8"/>
    <n v="7"/>
    <x v="3"/>
    <s v="SP 25.4.5"/>
    <n v="8"/>
    <n v="41.176470588235297"/>
    <m/>
    <x v="0"/>
  </r>
  <r>
    <x v="10"/>
    <x v="42"/>
    <n v="5"/>
    <n v="6.8"/>
    <n v="7"/>
    <x v="3"/>
    <s v="SP 25.4.6"/>
    <n v="8"/>
    <n v="41.176470588235297"/>
    <m/>
    <x v="0"/>
  </r>
  <r>
    <x v="10"/>
    <x v="43"/>
    <n v="5"/>
    <n v="7"/>
    <n v="7"/>
    <x v="0"/>
    <s v="SP 25.1.1"/>
    <n v="8"/>
    <n v="40"/>
    <m/>
    <x v="0"/>
  </r>
  <r>
    <x v="10"/>
    <x v="43"/>
    <n v="5"/>
    <n v="7"/>
    <n v="7"/>
    <x v="0"/>
    <s v="SP 25.1.2"/>
    <n v="8"/>
    <n v="40"/>
    <m/>
    <x v="0"/>
  </r>
  <r>
    <x v="10"/>
    <x v="43"/>
    <n v="5"/>
    <n v="7"/>
    <n v="7"/>
    <x v="0"/>
    <s v="SP 25.1.3"/>
    <n v="8"/>
    <n v="40"/>
    <m/>
    <x v="0"/>
  </r>
  <r>
    <x v="10"/>
    <x v="43"/>
    <n v="5"/>
    <n v="7"/>
    <n v="7"/>
    <x v="0"/>
    <s v="SP 25.1.4"/>
    <n v="6"/>
    <n v="30"/>
    <m/>
    <x v="0"/>
  </r>
  <r>
    <x v="10"/>
    <x v="43"/>
    <n v="5"/>
    <n v="7"/>
    <n v="7"/>
    <x v="0"/>
    <s v="SP 25.1.5"/>
    <n v="8"/>
    <n v="40"/>
    <m/>
    <x v="0"/>
  </r>
  <r>
    <x v="10"/>
    <x v="43"/>
    <n v="5"/>
    <n v="7"/>
    <n v="7"/>
    <x v="0"/>
    <s v="SP 25.1.6"/>
    <n v="3"/>
    <n v="15"/>
    <m/>
    <x v="0"/>
  </r>
  <r>
    <x v="10"/>
    <x v="43"/>
    <n v="5"/>
    <n v="7"/>
    <n v="7"/>
    <x v="1"/>
    <s v="SP 25.2.1"/>
    <n v="6"/>
    <n v="30"/>
    <m/>
    <x v="0"/>
  </r>
  <r>
    <x v="10"/>
    <x v="43"/>
    <n v="5"/>
    <n v="7"/>
    <n v="7"/>
    <x v="1"/>
    <s v="SP 25.2.2"/>
    <n v="7"/>
    <n v="35"/>
    <m/>
    <x v="0"/>
  </r>
  <r>
    <x v="10"/>
    <x v="43"/>
    <n v="5"/>
    <n v="7"/>
    <n v="7"/>
    <x v="1"/>
    <s v="SP 25.2.3"/>
    <n v="8"/>
    <n v="40"/>
    <m/>
    <x v="0"/>
  </r>
  <r>
    <x v="10"/>
    <x v="43"/>
    <n v="5"/>
    <n v="7"/>
    <n v="7"/>
    <x v="1"/>
    <s v="SP 25.2.4"/>
    <n v="8"/>
    <n v="40"/>
    <m/>
    <x v="0"/>
  </r>
  <r>
    <x v="10"/>
    <x v="43"/>
    <n v="5"/>
    <n v="7"/>
    <n v="7"/>
    <x v="1"/>
    <s v="SP 25.2.5"/>
    <n v="7"/>
    <n v="35"/>
    <m/>
    <x v="0"/>
  </r>
  <r>
    <x v="10"/>
    <x v="43"/>
    <n v="5"/>
    <n v="7"/>
    <n v="7"/>
    <x v="1"/>
    <s v="SP 25.2.6"/>
    <n v="3"/>
    <n v="15"/>
    <m/>
    <x v="0"/>
  </r>
  <r>
    <x v="10"/>
    <x v="43"/>
    <n v="5"/>
    <n v="7.8"/>
    <n v="7"/>
    <x v="2"/>
    <s v="SP 25.3.1"/>
    <n v="7"/>
    <n v="31.410256410256412"/>
    <m/>
    <x v="0"/>
  </r>
  <r>
    <x v="10"/>
    <x v="43"/>
    <n v="5"/>
    <n v="7.8"/>
    <n v="7"/>
    <x v="2"/>
    <s v="SP 25.3.2"/>
    <n v="8"/>
    <n v="35.897435897435898"/>
    <m/>
    <x v="0"/>
  </r>
  <r>
    <x v="10"/>
    <x v="43"/>
    <n v="5"/>
    <n v="7.8"/>
    <n v="7"/>
    <x v="2"/>
    <s v="SP 25.3.3"/>
    <n v="8"/>
    <n v="35.897435897435898"/>
    <m/>
    <x v="0"/>
  </r>
  <r>
    <x v="10"/>
    <x v="43"/>
    <n v="5"/>
    <n v="7.8"/>
    <n v="7"/>
    <x v="2"/>
    <s v="SP 25.3.4"/>
    <n v="13"/>
    <n v="58.333333333333336"/>
    <m/>
    <x v="0"/>
  </r>
  <r>
    <x v="10"/>
    <x v="43"/>
    <n v="5"/>
    <n v="7.8"/>
    <n v="7"/>
    <x v="2"/>
    <s v="SP 25.3.5"/>
    <n v="3"/>
    <n v="13.461538461538462"/>
    <m/>
    <x v="0"/>
  </r>
  <r>
    <x v="10"/>
    <x v="43"/>
    <n v="5"/>
    <n v="7.8"/>
    <n v="7"/>
    <x v="3"/>
    <s v="SP 25.4.1"/>
    <n v="13"/>
    <n v="58.333333333333336"/>
    <m/>
    <x v="0"/>
  </r>
  <r>
    <x v="10"/>
    <x v="43"/>
    <n v="5"/>
    <n v="7.8"/>
    <n v="7"/>
    <x v="3"/>
    <s v="SP 25.4.2"/>
    <n v="8"/>
    <n v="35.897435897435898"/>
    <m/>
    <x v="0"/>
  </r>
  <r>
    <x v="10"/>
    <x v="43"/>
    <n v="5"/>
    <n v="7.8"/>
    <n v="7"/>
    <x v="3"/>
    <s v="SP 25.4.3"/>
    <n v="8"/>
    <n v="35.897435897435898"/>
    <m/>
    <x v="0"/>
  </r>
  <r>
    <x v="10"/>
    <x v="43"/>
    <n v="5"/>
    <n v="7.8"/>
    <n v="7"/>
    <x v="3"/>
    <s v="SP 25.4.4"/>
    <n v="7"/>
    <n v="31.410256410256412"/>
    <m/>
    <x v="0"/>
  </r>
  <r>
    <x v="10"/>
    <x v="43"/>
    <n v="5"/>
    <n v="7.8"/>
    <n v="7"/>
    <x v="3"/>
    <s v="SP 25.4.5"/>
    <n v="8"/>
    <n v="35.897435897435898"/>
    <m/>
    <x v="0"/>
  </r>
  <r>
    <x v="10"/>
    <x v="43"/>
    <n v="5"/>
    <n v="7.8"/>
    <n v="7"/>
    <x v="3"/>
    <s v="SP 25.4.6"/>
    <n v="8"/>
    <n v="35.897435897435898"/>
    <m/>
    <x v="0"/>
  </r>
  <r>
    <x v="10"/>
    <x v="44"/>
    <n v="3"/>
    <n v="8"/>
    <n v="7"/>
    <x v="0"/>
    <s v="SP 25.1.1"/>
    <n v="8"/>
    <n v="21"/>
    <m/>
    <x v="0"/>
  </r>
  <r>
    <x v="10"/>
    <x v="44"/>
    <n v="3"/>
    <n v="8"/>
    <n v="7"/>
    <x v="0"/>
    <s v="SP 25.1.2"/>
    <n v="8"/>
    <n v="21"/>
    <m/>
    <x v="0"/>
  </r>
  <r>
    <x v="10"/>
    <x v="44"/>
    <n v="4"/>
    <n v="8"/>
    <n v="7"/>
    <x v="0"/>
    <s v="SP 25.1.3"/>
    <n v="8"/>
    <n v="28"/>
    <m/>
    <x v="0"/>
  </r>
  <r>
    <x v="10"/>
    <x v="44"/>
    <n v="3"/>
    <n v="8"/>
    <n v="7"/>
    <x v="0"/>
    <s v="SP 25.1.4"/>
    <n v="6"/>
    <n v="15.75"/>
    <m/>
    <x v="0"/>
  </r>
  <r>
    <x v="10"/>
    <x v="44"/>
    <n v="3"/>
    <n v="8"/>
    <n v="7"/>
    <x v="0"/>
    <s v="SP 25.1.5"/>
    <n v="8"/>
    <n v="21"/>
    <m/>
    <x v="0"/>
  </r>
  <r>
    <x v="10"/>
    <x v="44"/>
    <n v="3"/>
    <n v="8"/>
    <n v="7"/>
    <x v="0"/>
    <s v="SP 25.1.6"/>
    <n v="3"/>
    <n v="7.875"/>
    <m/>
    <x v="0"/>
  </r>
  <r>
    <x v="10"/>
    <x v="44"/>
    <n v="4"/>
    <n v="7"/>
    <n v="7"/>
    <x v="1"/>
    <s v="SP 25.2.1"/>
    <n v="6"/>
    <n v="24"/>
    <m/>
    <x v="0"/>
  </r>
  <r>
    <x v="10"/>
    <x v="44"/>
    <n v="4"/>
    <n v="7"/>
    <n v="7"/>
    <x v="1"/>
    <s v="SP 25.2.2"/>
    <n v="7"/>
    <n v="28"/>
    <m/>
    <x v="0"/>
  </r>
  <r>
    <x v="10"/>
    <x v="44"/>
    <n v="4"/>
    <n v="7"/>
    <n v="7"/>
    <x v="1"/>
    <s v="SP 25.2.3"/>
    <n v="8"/>
    <n v="32"/>
    <m/>
    <x v="0"/>
  </r>
  <r>
    <x v="10"/>
    <x v="44"/>
    <n v="4"/>
    <n v="7"/>
    <n v="7"/>
    <x v="1"/>
    <s v="SP 25.2.4"/>
    <n v="8"/>
    <n v="32"/>
    <m/>
    <x v="0"/>
  </r>
  <r>
    <x v="10"/>
    <x v="44"/>
    <n v="4"/>
    <n v="7"/>
    <n v="7"/>
    <x v="1"/>
    <s v="SP 25.2.5"/>
    <n v="7"/>
    <n v="28"/>
    <m/>
    <x v="0"/>
  </r>
  <r>
    <x v="10"/>
    <x v="44"/>
    <n v="4"/>
    <n v="7"/>
    <n v="7"/>
    <x v="1"/>
    <s v="SP 25.2.6"/>
    <n v="3"/>
    <n v="12"/>
    <m/>
    <x v="0"/>
  </r>
  <r>
    <x v="10"/>
    <x v="44"/>
    <n v="5"/>
    <n v="10.8"/>
    <n v="7"/>
    <x v="2"/>
    <s v="SP 25.3.1"/>
    <n v="7"/>
    <n v="22.685185185185183"/>
    <m/>
    <x v="0"/>
  </r>
  <r>
    <x v="10"/>
    <x v="44"/>
    <n v="5"/>
    <n v="10.8"/>
    <n v="7"/>
    <x v="2"/>
    <s v="SP 25.3.2"/>
    <n v="8"/>
    <n v="25.925925925925924"/>
    <m/>
    <x v="0"/>
  </r>
  <r>
    <x v="10"/>
    <x v="44"/>
    <n v="5"/>
    <n v="10.8"/>
    <n v="7"/>
    <x v="2"/>
    <s v="SP 25.3.3"/>
    <n v="8"/>
    <n v="25.925925925925924"/>
    <m/>
    <x v="0"/>
  </r>
  <r>
    <x v="10"/>
    <x v="44"/>
    <n v="5"/>
    <n v="10.8"/>
    <n v="7"/>
    <x v="2"/>
    <s v="SP 25.3.4"/>
    <n v="13"/>
    <n v="42.129629629629626"/>
    <m/>
    <x v="0"/>
  </r>
  <r>
    <x v="10"/>
    <x v="44"/>
    <n v="5"/>
    <n v="10.8"/>
    <n v="7"/>
    <x v="2"/>
    <s v="SP 25.3.5"/>
    <n v="3"/>
    <n v="9.7222222222222214"/>
    <m/>
    <x v="0"/>
  </r>
  <r>
    <x v="10"/>
    <x v="44"/>
    <n v="5"/>
    <n v="10.8"/>
    <n v="7"/>
    <x v="3"/>
    <s v="SP 25.4.1"/>
    <n v="13"/>
    <n v="42.129629629629626"/>
    <m/>
    <x v="0"/>
  </r>
  <r>
    <x v="10"/>
    <x v="44"/>
    <n v="5"/>
    <n v="10.8"/>
    <n v="7"/>
    <x v="3"/>
    <s v="SP 25.4.2"/>
    <n v="8"/>
    <n v="25.925925925925924"/>
    <m/>
    <x v="0"/>
  </r>
  <r>
    <x v="10"/>
    <x v="44"/>
    <n v="5"/>
    <n v="10.8"/>
    <n v="7"/>
    <x v="3"/>
    <s v="SP 25.4.3"/>
    <n v="8"/>
    <n v="25.925925925925924"/>
    <m/>
    <x v="0"/>
  </r>
  <r>
    <x v="10"/>
    <x v="44"/>
    <n v="5"/>
    <n v="10.8"/>
    <n v="7"/>
    <x v="3"/>
    <s v="SP 25.4.4"/>
    <n v="7"/>
    <n v="22.685185185185183"/>
    <m/>
    <x v="0"/>
  </r>
  <r>
    <x v="10"/>
    <x v="44"/>
    <n v="5"/>
    <n v="10.8"/>
    <n v="7"/>
    <x v="3"/>
    <s v="SP 25.4.5"/>
    <n v="8"/>
    <n v="25.925925925925924"/>
    <m/>
    <x v="0"/>
  </r>
  <r>
    <x v="10"/>
    <x v="44"/>
    <n v="5"/>
    <n v="10.8"/>
    <n v="7"/>
    <x v="3"/>
    <s v="SP 25.4.6"/>
    <n v="8"/>
    <n v="25.925925925925924"/>
    <m/>
    <x v="0"/>
  </r>
  <r>
    <x v="10"/>
    <x v="45"/>
    <n v="2"/>
    <n v="8"/>
    <n v="7"/>
    <x v="0"/>
    <s v="SP 25.1.1"/>
    <n v="8"/>
    <n v="14"/>
    <m/>
    <x v="0"/>
  </r>
  <r>
    <x v="10"/>
    <x v="45"/>
    <n v="2"/>
    <n v="8"/>
    <n v="7"/>
    <x v="0"/>
    <s v="SP 25.1.2"/>
    <n v="8"/>
    <n v="14"/>
    <m/>
    <x v="0"/>
  </r>
  <r>
    <x v="10"/>
    <x v="45"/>
    <n v="2"/>
    <n v="8"/>
    <n v="7"/>
    <x v="0"/>
    <s v="SP 25.1.3"/>
    <n v="8"/>
    <n v="14"/>
    <m/>
    <x v="0"/>
  </r>
  <r>
    <x v="10"/>
    <x v="45"/>
    <n v="2"/>
    <n v="8"/>
    <n v="7"/>
    <x v="0"/>
    <s v="SP 25.1.4"/>
    <n v="6"/>
    <n v="10.5"/>
    <m/>
    <x v="0"/>
  </r>
  <r>
    <x v="10"/>
    <x v="45"/>
    <n v="2"/>
    <n v="8"/>
    <n v="7"/>
    <x v="0"/>
    <s v="SP 25.1.5"/>
    <n v="8"/>
    <n v="14"/>
    <m/>
    <x v="0"/>
  </r>
  <r>
    <x v="10"/>
    <x v="45"/>
    <n v="2"/>
    <n v="8"/>
    <n v="7"/>
    <x v="0"/>
    <s v="SP 25.1.6"/>
    <n v="3"/>
    <n v="5.25"/>
    <m/>
    <x v="0"/>
  </r>
  <r>
    <x v="10"/>
    <x v="45"/>
    <n v="3"/>
    <n v="7"/>
    <n v="7"/>
    <x v="1"/>
    <s v="SP 25.2.1"/>
    <n v="6"/>
    <n v="18"/>
    <m/>
    <x v="0"/>
  </r>
  <r>
    <x v="10"/>
    <x v="45"/>
    <n v="3"/>
    <n v="7"/>
    <n v="7"/>
    <x v="1"/>
    <s v="SP 25.2.2"/>
    <n v="7"/>
    <n v="21"/>
    <m/>
    <x v="0"/>
  </r>
  <r>
    <x v="10"/>
    <x v="45"/>
    <n v="3"/>
    <n v="7"/>
    <n v="7"/>
    <x v="1"/>
    <s v="SP 25.2.3"/>
    <n v="8"/>
    <n v="24"/>
    <m/>
    <x v="0"/>
  </r>
  <r>
    <x v="10"/>
    <x v="45"/>
    <n v="3"/>
    <n v="7"/>
    <n v="7"/>
    <x v="1"/>
    <s v="SP 25.2.4"/>
    <n v="8"/>
    <n v="24"/>
    <m/>
    <x v="0"/>
  </r>
  <r>
    <x v="10"/>
    <x v="45"/>
    <n v="3"/>
    <n v="7"/>
    <n v="7"/>
    <x v="1"/>
    <s v="SP 25.2.5"/>
    <n v="7"/>
    <n v="21"/>
    <m/>
    <x v="0"/>
  </r>
  <r>
    <x v="10"/>
    <x v="45"/>
    <n v="3"/>
    <n v="7"/>
    <n v="7"/>
    <x v="1"/>
    <s v="SP 25.2.6"/>
    <n v="3"/>
    <n v="9"/>
    <m/>
    <x v="0"/>
  </r>
  <r>
    <x v="10"/>
    <x v="45"/>
    <n v="3"/>
    <n v="5.5"/>
    <n v="7"/>
    <x v="2"/>
    <s v="SP 25.3.1"/>
    <n v="7"/>
    <n v="26.727272727272727"/>
    <m/>
    <x v="0"/>
  </r>
  <r>
    <x v="10"/>
    <x v="45"/>
    <n v="3"/>
    <n v="5.5"/>
    <n v="7"/>
    <x v="2"/>
    <s v="SP 25.3.2"/>
    <n v="8"/>
    <n v="30.545454545454547"/>
    <m/>
    <x v="0"/>
  </r>
  <r>
    <x v="10"/>
    <x v="45"/>
    <n v="3"/>
    <n v="5.5"/>
    <n v="7"/>
    <x v="2"/>
    <s v="SP 25.3.3"/>
    <n v="8"/>
    <n v="30.545454545454547"/>
    <m/>
    <x v="0"/>
  </r>
  <r>
    <x v="10"/>
    <x v="45"/>
    <n v="3"/>
    <n v="5.5"/>
    <n v="7"/>
    <x v="2"/>
    <s v="SP 25.3.4"/>
    <n v="13"/>
    <n v="49.636363636363633"/>
    <m/>
    <x v="0"/>
  </r>
  <r>
    <x v="10"/>
    <x v="45"/>
    <n v="3"/>
    <n v="5.5"/>
    <n v="7"/>
    <x v="2"/>
    <s v="SP 25.3.5"/>
    <n v="3"/>
    <n v="11.454545454545455"/>
    <m/>
    <x v="0"/>
  </r>
  <r>
    <x v="10"/>
    <x v="45"/>
    <n v="4"/>
    <n v="5.5"/>
    <n v="7"/>
    <x v="3"/>
    <s v="SP 25.4.1"/>
    <n v="13"/>
    <n v="66.181818181818187"/>
    <m/>
    <x v="0"/>
  </r>
  <r>
    <x v="10"/>
    <x v="45"/>
    <n v="4"/>
    <n v="5.5"/>
    <n v="7"/>
    <x v="3"/>
    <s v="SP 25.4.2"/>
    <n v="8"/>
    <n v="40.727272727272727"/>
    <m/>
    <x v="0"/>
  </r>
  <r>
    <x v="10"/>
    <x v="45"/>
    <n v="4"/>
    <n v="5.5"/>
    <n v="7"/>
    <x v="3"/>
    <s v="SP 25.4.3"/>
    <n v="8"/>
    <n v="40.727272727272727"/>
    <m/>
    <x v="0"/>
  </r>
  <r>
    <x v="10"/>
    <x v="45"/>
    <n v="4"/>
    <n v="5.5"/>
    <n v="7"/>
    <x v="3"/>
    <s v="SP 25.4.4"/>
    <n v="7"/>
    <n v="35.636363636363633"/>
    <m/>
    <x v="0"/>
  </r>
  <r>
    <x v="10"/>
    <x v="45"/>
    <n v="4"/>
    <n v="5.5"/>
    <n v="7"/>
    <x v="3"/>
    <s v="SP 25.4.5"/>
    <n v="8"/>
    <n v="40.727272727272727"/>
    <m/>
    <x v="0"/>
  </r>
  <r>
    <x v="10"/>
    <x v="45"/>
    <n v="4"/>
    <n v="5.5"/>
    <n v="7"/>
    <x v="3"/>
    <s v="SP 25.4.6"/>
    <n v="8"/>
    <n v="40.727272727272727"/>
    <m/>
    <x v="0"/>
  </r>
  <r>
    <x v="10"/>
    <x v="46"/>
    <n v="2"/>
    <n v="8"/>
    <n v="7"/>
    <x v="0"/>
    <s v="SP 25.1.1"/>
    <n v="7"/>
    <n v="12.25"/>
    <m/>
    <x v="0"/>
  </r>
  <r>
    <x v="10"/>
    <x v="46"/>
    <n v="2"/>
    <n v="8"/>
    <n v="7"/>
    <x v="0"/>
    <s v="SP 25.1.2"/>
    <n v="8"/>
    <n v="14"/>
    <m/>
    <x v="0"/>
  </r>
  <r>
    <x v="10"/>
    <x v="46"/>
    <n v="2"/>
    <n v="8"/>
    <n v="7"/>
    <x v="0"/>
    <s v="SP 25.1.3"/>
    <n v="8"/>
    <n v="14"/>
    <m/>
    <x v="0"/>
  </r>
  <r>
    <x v="10"/>
    <x v="46"/>
    <n v="2"/>
    <n v="8"/>
    <n v="7"/>
    <x v="0"/>
    <s v="SP 25.1.4"/>
    <n v="6"/>
    <n v="10.5"/>
    <m/>
    <x v="0"/>
  </r>
  <r>
    <x v="10"/>
    <x v="46"/>
    <n v="2"/>
    <n v="8"/>
    <n v="7"/>
    <x v="0"/>
    <s v="SP 25.1.5"/>
    <n v="8"/>
    <n v="14"/>
    <m/>
    <x v="0"/>
  </r>
  <r>
    <x v="10"/>
    <x v="46"/>
    <n v="2"/>
    <n v="8"/>
    <n v="7"/>
    <x v="0"/>
    <s v="SP 25.1.6"/>
    <n v="3"/>
    <n v="5.25"/>
    <m/>
    <x v="0"/>
  </r>
  <r>
    <x v="10"/>
    <x v="46"/>
    <n v="5"/>
    <n v="7"/>
    <n v="7"/>
    <x v="1"/>
    <s v="SP 25.2.1"/>
    <n v="6"/>
    <n v="30"/>
    <m/>
    <x v="0"/>
  </r>
  <r>
    <x v="10"/>
    <x v="46"/>
    <n v="5"/>
    <n v="7"/>
    <n v="7"/>
    <x v="1"/>
    <s v="SP 25.2.2"/>
    <n v="7"/>
    <n v="35"/>
    <m/>
    <x v="0"/>
  </r>
  <r>
    <x v="10"/>
    <x v="46"/>
    <n v="5"/>
    <n v="7"/>
    <n v="7"/>
    <x v="1"/>
    <s v="SP 25.2.3"/>
    <n v="8"/>
    <n v="40"/>
    <m/>
    <x v="0"/>
  </r>
  <r>
    <x v="10"/>
    <x v="46"/>
    <n v="5"/>
    <n v="7"/>
    <n v="7"/>
    <x v="1"/>
    <s v="SP 25.2.4"/>
    <n v="8"/>
    <n v="40"/>
    <m/>
    <x v="0"/>
  </r>
  <r>
    <x v="10"/>
    <x v="46"/>
    <n v="5"/>
    <n v="7"/>
    <n v="7"/>
    <x v="1"/>
    <s v="SP 25.2.5"/>
    <n v="7"/>
    <n v="35"/>
    <m/>
    <x v="0"/>
  </r>
  <r>
    <x v="10"/>
    <x v="46"/>
    <n v="5"/>
    <n v="7"/>
    <n v="7"/>
    <x v="1"/>
    <s v="SP 25.2.6"/>
    <n v="3"/>
    <n v="15"/>
    <m/>
    <x v="0"/>
  </r>
  <r>
    <x v="10"/>
    <x v="46"/>
    <n v="5"/>
    <n v="6.7"/>
    <n v="7"/>
    <x v="2"/>
    <s v="SP 25.3.1"/>
    <n v="7"/>
    <n v="36.567164179104473"/>
    <m/>
    <x v="0"/>
  </r>
  <r>
    <x v="10"/>
    <x v="46"/>
    <n v="5"/>
    <n v="6.7"/>
    <n v="7"/>
    <x v="2"/>
    <s v="SP 25.3.2"/>
    <n v="8"/>
    <n v="41.791044776119399"/>
    <m/>
    <x v="0"/>
  </r>
  <r>
    <x v="10"/>
    <x v="46"/>
    <n v="5"/>
    <n v="6.7"/>
    <n v="7"/>
    <x v="2"/>
    <s v="SP 25.3.3"/>
    <n v="8"/>
    <n v="41.791044776119399"/>
    <m/>
    <x v="0"/>
  </r>
  <r>
    <x v="10"/>
    <x v="46"/>
    <n v="5"/>
    <n v="6.7"/>
    <n v="7"/>
    <x v="2"/>
    <s v="SP 25.3.4"/>
    <n v="13"/>
    <n v="67.910447761194021"/>
    <m/>
    <x v="0"/>
  </r>
  <r>
    <x v="10"/>
    <x v="46"/>
    <n v="5"/>
    <n v="6.7"/>
    <n v="7"/>
    <x v="2"/>
    <s v="SP 25.3.5"/>
    <n v="3"/>
    <n v="15.671641791044776"/>
    <m/>
    <x v="0"/>
  </r>
  <r>
    <x v="10"/>
    <x v="46"/>
    <n v="5"/>
    <n v="6.7"/>
    <n v="7"/>
    <x v="3"/>
    <s v="SP 25.4.1"/>
    <n v="13"/>
    <n v="67.910447761194021"/>
    <m/>
    <x v="0"/>
  </r>
  <r>
    <x v="10"/>
    <x v="46"/>
    <n v="5"/>
    <n v="6.7"/>
    <n v="7"/>
    <x v="3"/>
    <s v="SP 25.4.2"/>
    <n v="8"/>
    <n v="41.791044776119399"/>
    <m/>
    <x v="0"/>
  </r>
  <r>
    <x v="10"/>
    <x v="46"/>
    <n v="5"/>
    <n v="6.7"/>
    <n v="7"/>
    <x v="3"/>
    <s v="SP 25.4.3"/>
    <n v="8"/>
    <n v="41.791044776119399"/>
    <m/>
    <x v="0"/>
  </r>
  <r>
    <x v="10"/>
    <x v="46"/>
    <n v="5"/>
    <n v="6.7"/>
    <n v="7"/>
    <x v="3"/>
    <s v="SP 25.4.4"/>
    <n v="7"/>
    <n v="36.567164179104473"/>
    <m/>
    <x v="0"/>
  </r>
  <r>
    <x v="10"/>
    <x v="46"/>
    <n v="5"/>
    <n v="6.7"/>
    <n v="7"/>
    <x v="3"/>
    <s v="SP 25.4.5"/>
    <n v="8"/>
    <n v="41.791044776119399"/>
    <m/>
    <x v="0"/>
  </r>
  <r>
    <x v="10"/>
    <x v="46"/>
    <n v="5"/>
    <n v="6.7"/>
    <n v="7"/>
    <x v="3"/>
    <s v="SP 25.4.6"/>
    <n v="8"/>
    <n v="41.791044776119399"/>
    <m/>
    <x v="0"/>
  </r>
  <r>
    <x v="11"/>
    <x v="47"/>
    <m/>
    <n v="5"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  <r>
    <x v="11"/>
    <x v="47"/>
    <m/>
    <m/>
    <m/>
    <x v="4"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x v="0"/>
    <x v="0"/>
    <n v="4"/>
    <n v="5"/>
    <n v="7"/>
    <x v="0"/>
    <x v="0"/>
    <n v="7"/>
    <n v="39.200000000000003"/>
    <m/>
    <m/>
  </r>
  <r>
    <x v="0"/>
    <x v="0"/>
    <n v="4"/>
    <n v="5"/>
    <n v="7"/>
    <x v="0"/>
    <x v="1"/>
    <n v="8"/>
    <n v="44.8"/>
    <m/>
    <m/>
  </r>
  <r>
    <x v="0"/>
    <x v="0"/>
    <n v="4"/>
    <n v="5"/>
    <n v="7"/>
    <x v="0"/>
    <x v="2"/>
    <n v="6"/>
    <n v="33.6"/>
    <m/>
    <m/>
  </r>
  <r>
    <x v="0"/>
    <x v="0"/>
    <n v="4"/>
    <n v="5"/>
    <n v="7"/>
    <x v="0"/>
    <x v="3"/>
    <n v="8"/>
    <n v="44.8"/>
    <m/>
    <m/>
  </r>
  <r>
    <x v="0"/>
    <x v="0"/>
    <n v="4"/>
    <n v="5"/>
    <n v="7"/>
    <x v="0"/>
    <x v="4"/>
    <n v="8"/>
    <n v="44.8"/>
    <m/>
    <m/>
  </r>
  <r>
    <x v="0"/>
    <x v="0"/>
    <n v="4"/>
    <n v="5"/>
    <n v="7"/>
    <x v="0"/>
    <x v="5"/>
    <n v="2"/>
    <n v="11.2"/>
    <m/>
    <m/>
  </r>
  <r>
    <x v="0"/>
    <x v="0"/>
    <n v="4"/>
    <n v="5"/>
    <n v="7"/>
    <x v="1"/>
    <x v="6"/>
    <n v="7"/>
    <n v="39.200000000000003"/>
    <m/>
    <m/>
  </r>
  <r>
    <x v="0"/>
    <x v="0"/>
    <n v="4"/>
    <n v="5"/>
    <n v="7"/>
    <x v="1"/>
    <x v="7"/>
    <n v="7"/>
    <n v="39.200000000000003"/>
    <m/>
    <m/>
  </r>
  <r>
    <x v="0"/>
    <x v="0"/>
    <n v="4"/>
    <n v="5"/>
    <n v="7"/>
    <x v="1"/>
    <x v="8"/>
    <n v="8"/>
    <n v="44.8"/>
    <m/>
    <m/>
  </r>
  <r>
    <x v="0"/>
    <x v="0"/>
    <n v="4"/>
    <n v="5"/>
    <n v="7"/>
    <x v="1"/>
    <x v="9"/>
    <n v="7"/>
    <n v="39.200000000000003"/>
    <m/>
    <m/>
  </r>
  <r>
    <x v="0"/>
    <x v="0"/>
    <n v="4"/>
    <n v="5"/>
    <n v="7"/>
    <x v="1"/>
    <x v="10"/>
    <n v="8"/>
    <n v="44.8"/>
    <m/>
    <m/>
  </r>
  <r>
    <x v="0"/>
    <x v="0"/>
    <n v="4"/>
    <n v="5"/>
    <n v="7"/>
    <x v="1"/>
    <x v="11"/>
    <n v="3"/>
    <n v="16.8"/>
    <m/>
    <m/>
  </r>
  <r>
    <x v="0"/>
    <x v="0"/>
    <n v="4"/>
    <n v="5"/>
    <n v="7"/>
    <x v="2"/>
    <x v="12"/>
    <n v="7"/>
    <n v="39.200000000000003"/>
    <m/>
    <m/>
  </r>
  <r>
    <x v="0"/>
    <x v="0"/>
    <n v="4"/>
    <n v="5"/>
    <n v="7"/>
    <x v="2"/>
    <x v="13"/>
    <n v="8"/>
    <n v="44.8"/>
    <m/>
    <m/>
  </r>
  <r>
    <x v="0"/>
    <x v="0"/>
    <n v="4"/>
    <n v="5"/>
    <n v="7"/>
    <x v="2"/>
    <x v="14"/>
    <n v="8"/>
    <n v="44.8"/>
    <m/>
    <m/>
  </r>
  <r>
    <x v="0"/>
    <x v="0"/>
    <n v="4"/>
    <n v="5"/>
    <n v="7"/>
    <x v="2"/>
    <x v="15"/>
    <n v="8"/>
    <n v="44.8"/>
    <m/>
    <m/>
  </r>
  <r>
    <x v="0"/>
    <x v="0"/>
    <n v="4"/>
    <n v="5"/>
    <n v="7"/>
    <x v="2"/>
    <x v="16"/>
    <n v="7"/>
    <n v="39.200000000000003"/>
    <m/>
    <m/>
  </r>
  <r>
    <x v="0"/>
    <x v="0"/>
    <n v="4"/>
    <n v="5"/>
    <n v="7"/>
    <x v="2"/>
    <x v="17"/>
    <n v="3"/>
    <n v="16.8"/>
    <m/>
    <m/>
  </r>
  <r>
    <x v="0"/>
    <x v="0"/>
    <n v="4"/>
    <n v="5"/>
    <n v="7"/>
    <x v="3"/>
    <x v="18"/>
    <n v="8"/>
    <n v="44.8"/>
    <m/>
    <m/>
  </r>
  <r>
    <x v="0"/>
    <x v="0"/>
    <n v="4"/>
    <n v="5"/>
    <n v="7"/>
    <x v="3"/>
    <x v="19"/>
    <n v="7"/>
    <n v="39.200000000000003"/>
    <m/>
    <m/>
  </r>
  <r>
    <x v="0"/>
    <x v="0"/>
    <n v="4"/>
    <n v="5"/>
    <n v="7"/>
    <x v="3"/>
    <x v="20"/>
    <n v="7"/>
    <n v="39.200000000000003"/>
    <m/>
    <m/>
  </r>
  <r>
    <x v="0"/>
    <x v="0"/>
    <n v="4"/>
    <n v="5"/>
    <n v="7"/>
    <x v="3"/>
    <x v="21"/>
    <n v="7"/>
    <n v="39.200000000000003"/>
    <m/>
    <m/>
  </r>
  <r>
    <x v="0"/>
    <x v="0"/>
    <n v="4"/>
    <n v="5"/>
    <n v="7"/>
    <x v="3"/>
    <x v="22"/>
    <n v="8"/>
    <n v="44.8"/>
    <m/>
    <m/>
  </r>
  <r>
    <x v="0"/>
    <x v="0"/>
    <n v="4"/>
    <n v="5"/>
    <n v="7"/>
    <x v="3"/>
    <x v="23"/>
    <n v="8"/>
    <n v="44.8"/>
    <m/>
    <m/>
  </r>
  <r>
    <x v="0"/>
    <x v="1"/>
    <n v="5"/>
    <n v="6"/>
    <n v="7"/>
    <x v="0"/>
    <x v="0"/>
    <n v="7"/>
    <n v="40.833333333333336"/>
    <m/>
    <m/>
  </r>
  <r>
    <x v="0"/>
    <x v="1"/>
    <n v="5"/>
    <n v="6"/>
    <n v="7"/>
    <x v="0"/>
    <x v="1"/>
    <n v="8"/>
    <n v="46.666666666666664"/>
    <m/>
    <m/>
  </r>
  <r>
    <x v="0"/>
    <x v="1"/>
    <n v="5"/>
    <n v="6"/>
    <n v="7"/>
    <x v="0"/>
    <x v="2"/>
    <n v="6"/>
    <n v="35"/>
    <m/>
    <m/>
  </r>
  <r>
    <x v="0"/>
    <x v="1"/>
    <n v="5"/>
    <n v="6"/>
    <n v="7"/>
    <x v="0"/>
    <x v="3"/>
    <n v="8"/>
    <n v="46.666666666666664"/>
    <m/>
    <m/>
  </r>
  <r>
    <x v="0"/>
    <x v="1"/>
    <n v="5"/>
    <n v="6"/>
    <n v="7"/>
    <x v="0"/>
    <x v="4"/>
    <n v="8"/>
    <n v="46.666666666666664"/>
    <m/>
    <m/>
  </r>
  <r>
    <x v="0"/>
    <x v="1"/>
    <n v="5"/>
    <n v="6"/>
    <n v="7"/>
    <x v="0"/>
    <x v="5"/>
    <n v="2"/>
    <n v="11.666666666666666"/>
    <m/>
    <m/>
  </r>
  <r>
    <x v="0"/>
    <x v="1"/>
    <n v="5"/>
    <n v="6"/>
    <n v="7"/>
    <x v="1"/>
    <x v="6"/>
    <n v="7"/>
    <n v="40.833333333333336"/>
    <m/>
    <m/>
  </r>
  <r>
    <x v="0"/>
    <x v="1"/>
    <n v="5"/>
    <n v="6"/>
    <n v="7"/>
    <x v="1"/>
    <x v="7"/>
    <n v="7"/>
    <n v="40.833333333333336"/>
    <m/>
    <m/>
  </r>
  <r>
    <x v="0"/>
    <x v="1"/>
    <n v="5"/>
    <n v="6"/>
    <n v="7"/>
    <x v="1"/>
    <x v="8"/>
    <n v="8"/>
    <n v="46.666666666666664"/>
    <m/>
    <m/>
  </r>
  <r>
    <x v="0"/>
    <x v="1"/>
    <n v="5"/>
    <n v="6"/>
    <n v="7"/>
    <x v="1"/>
    <x v="9"/>
    <n v="7"/>
    <n v="40.833333333333336"/>
    <m/>
    <m/>
  </r>
  <r>
    <x v="0"/>
    <x v="1"/>
    <n v="5"/>
    <n v="6"/>
    <n v="7"/>
    <x v="1"/>
    <x v="10"/>
    <n v="8"/>
    <n v="46.666666666666664"/>
    <m/>
    <m/>
  </r>
  <r>
    <x v="0"/>
    <x v="1"/>
    <n v="5"/>
    <n v="6"/>
    <n v="7"/>
    <x v="1"/>
    <x v="11"/>
    <n v="3"/>
    <n v="17.5"/>
    <m/>
    <m/>
  </r>
  <r>
    <x v="0"/>
    <x v="1"/>
    <n v="5"/>
    <n v="6"/>
    <n v="7"/>
    <x v="2"/>
    <x v="12"/>
    <n v="7"/>
    <n v="40.833333333333336"/>
    <m/>
    <m/>
  </r>
  <r>
    <x v="0"/>
    <x v="1"/>
    <n v="5"/>
    <n v="6"/>
    <n v="7"/>
    <x v="2"/>
    <x v="13"/>
    <n v="8"/>
    <n v="46.666666666666664"/>
    <m/>
    <m/>
  </r>
  <r>
    <x v="0"/>
    <x v="1"/>
    <n v="5"/>
    <n v="6"/>
    <n v="7"/>
    <x v="2"/>
    <x v="14"/>
    <n v="8"/>
    <n v="46.666666666666664"/>
    <m/>
    <m/>
  </r>
  <r>
    <x v="0"/>
    <x v="1"/>
    <n v="5"/>
    <n v="6"/>
    <n v="7"/>
    <x v="2"/>
    <x v="15"/>
    <n v="8"/>
    <n v="46.666666666666664"/>
    <m/>
    <m/>
  </r>
  <r>
    <x v="0"/>
    <x v="1"/>
    <n v="5"/>
    <n v="6"/>
    <n v="7"/>
    <x v="2"/>
    <x v="16"/>
    <n v="7"/>
    <n v="40.833333333333336"/>
    <m/>
    <m/>
  </r>
  <r>
    <x v="0"/>
    <x v="1"/>
    <n v="5"/>
    <n v="6"/>
    <n v="7"/>
    <x v="2"/>
    <x v="17"/>
    <n v="3"/>
    <n v="17.5"/>
    <m/>
    <m/>
  </r>
  <r>
    <x v="0"/>
    <x v="1"/>
    <n v="5"/>
    <n v="6"/>
    <n v="7"/>
    <x v="3"/>
    <x v="18"/>
    <n v="8"/>
    <n v="46.666666666666664"/>
    <m/>
    <m/>
  </r>
  <r>
    <x v="0"/>
    <x v="1"/>
    <n v="5"/>
    <n v="6"/>
    <n v="7"/>
    <x v="3"/>
    <x v="19"/>
    <n v="7"/>
    <n v="40.833333333333336"/>
    <m/>
    <m/>
  </r>
  <r>
    <x v="0"/>
    <x v="1"/>
    <n v="5"/>
    <n v="6"/>
    <n v="7"/>
    <x v="3"/>
    <x v="20"/>
    <n v="7"/>
    <n v="40.833333333333336"/>
    <m/>
    <m/>
  </r>
  <r>
    <x v="0"/>
    <x v="1"/>
    <n v="5"/>
    <n v="6"/>
    <n v="7"/>
    <x v="3"/>
    <x v="21"/>
    <n v="7"/>
    <n v="40.833333333333336"/>
    <m/>
    <m/>
  </r>
  <r>
    <x v="0"/>
    <x v="1"/>
    <n v="5"/>
    <n v="6"/>
    <n v="7"/>
    <x v="3"/>
    <x v="22"/>
    <n v="8"/>
    <n v="46.666666666666664"/>
    <m/>
    <m/>
  </r>
  <r>
    <x v="0"/>
    <x v="1"/>
    <n v="5"/>
    <n v="6"/>
    <n v="7"/>
    <x v="3"/>
    <x v="23"/>
    <n v="8"/>
    <n v="46.666666666666664"/>
    <m/>
    <m/>
  </r>
  <r>
    <x v="0"/>
    <x v="2"/>
    <n v="7"/>
    <n v="6"/>
    <n v="7"/>
    <x v="0"/>
    <x v="0"/>
    <n v="7"/>
    <n v="57.166666666666664"/>
    <m/>
    <m/>
  </r>
  <r>
    <x v="0"/>
    <x v="2"/>
    <n v="7"/>
    <n v="6"/>
    <n v="7"/>
    <x v="0"/>
    <x v="1"/>
    <n v="8"/>
    <n v="65.333333333333329"/>
    <m/>
    <m/>
  </r>
  <r>
    <x v="0"/>
    <x v="2"/>
    <n v="7"/>
    <n v="6"/>
    <n v="7"/>
    <x v="0"/>
    <x v="2"/>
    <n v="6"/>
    <n v="49"/>
    <m/>
    <m/>
  </r>
  <r>
    <x v="0"/>
    <x v="2"/>
    <n v="7"/>
    <n v="6"/>
    <n v="7"/>
    <x v="0"/>
    <x v="3"/>
    <n v="8"/>
    <n v="65.333333333333329"/>
    <m/>
    <m/>
  </r>
  <r>
    <x v="0"/>
    <x v="2"/>
    <n v="7"/>
    <n v="6"/>
    <n v="7"/>
    <x v="0"/>
    <x v="4"/>
    <n v="8"/>
    <n v="65.333333333333329"/>
    <m/>
    <m/>
  </r>
  <r>
    <x v="0"/>
    <x v="2"/>
    <n v="7"/>
    <n v="6"/>
    <n v="7"/>
    <x v="0"/>
    <x v="5"/>
    <n v="2"/>
    <n v="16.333333333333332"/>
    <m/>
    <m/>
  </r>
  <r>
    <x v="0"/>
    <x v="2"/>
    <n v="7"/>
    <n v="6"/>
    <n v="7"/>
    <x v="1"/>
    <x v="6"/>
    <n v="7"/>
    <n v="57.166666666666664"/>
    <m/>
    <m/>
  </r>
  <r>
    <x v="0"/>
    <x v="2"/>
    <n v="7"/>
    <n v="6"/>
    <n v="7"/>
    <x v="1"/>
    <x v="7"/>
    <n v="7"/>
    <n v="57.166666666666664"/>
    <m/>
    <m/>
  </r>
  <r>
    <x v="0"/>
    <x v="2"/>
    <n v="7"/>
    <n v="6"/>
    <n v="7"/>
    <x v="1"/>
    <x v="8"/>
    <n v="8"/>
    <n v="65.333333333333329"/>
    <m/>
    <m/>
  </r>
  <r>
    <x v="0"/>
    <x v="2"/>
    <n v="7"/>
    <n v="6"/>
    <n v="7"/>
    <x v="1"/>
    <x v="9"/>
    <n v="7"/>
    <n v="57.166666666666664"/>
    <m/>
    <m/>
  </r>
  <r>
    <x v="0"/>
    <x v="2"/>
    <n v="7"/>
    <n v="6"/>
    <n v="7"/>
    <x v="1"/>
    <x v="10"/>
    <n v="8"/>
    <n v="65.333333333333329"/>
    <m/>
    <m/>
  </r>
  <r>
    <x v="0"/>
    <x v="2"/>
    <n v="7"/>
    <n v="6"/>
    <n v="7"/>
    <x v="1"/>
    <x v="11"/>
    <n v="3"/>
    <n v="24.5"/>
    <m/>
    <m/>
  </r>
  <r>
    <x v="0"/>
    <x v="2"/>
    <n v="7"/>
    <n v="6"/>
    <n v="7"/>
    <x v="2"/>
    <x v="12"/>
    <n v="7"/>
    <n v="57.166666666666664"/>
    <m/>
    <m/>
  </r>
  <r>
    <x v="0"/>
    <x v="2"/>
    <n v="7"/>
    <n v="6"/>
    <n v="7"/>
    <x v="2"/>
    <x v="13"/>
    <n v="8"/>
    <n v="65.333333333333329"/>
    <m/>
    <m/>
  </r>
  <r>
    <x v="0"/>
    <x v="2"/>
    <n v="7"/>
    <n v="6"/>
    <n v="7"/>
    <x v="2"/>
    <x v="14"/>
    <n v="8"/>
    <n v="65.333333333333329"/>
    <m/>
    <m/>
  </r>
  <r>
    <x v="0"/>
    <x v="2"/>
    <n v="7"/>
    <n v="6"/>
    <n v="7"/>
    <x v="2"/>
    <x v="15"/>
    <n v="8"/>
    <n v="65.333333333333329"/>
    <m/>
    <m/>
  </r>
  <r>
    <x v="0"/>
    <x v="2"/>
    <n v="7"/>
    <n v="6"/>
    <n v="7"/>
    <x v="2"/>
    <x v="16"/>
    <n v="7"/>
    <n v="57.166666666666664"/>
    <m/>
    <m/>
  </r>
  <r>
    <x v="0"/>
    <x v="2"/>
    <n v="7"/>
    <n v="6"/>
    <n v="7"/>
    <x v="2"/>
    <x v="17"/>
    <n v="3"/>
    <n v="24.5"/>
    <m/>
    <m/>
  </r>
  <r>
    <x v="0"/>
    <x v="2"/>
    <n v="7"/>
    <n v="6"/>
    <n v="7"/>
    <x v="3"/>
    <x v="18"/>
    <n v="8"/>
    <n v="65.333333333333329"/>
    <m/>
    <m/>
  </r>
  <r>
    <x v="0"/>
    <x v="2"/>
    <n v="7"/>
    <n v="6"/>
    <n v="7"/>
    <x v="3"/>
    <x v="19"/>
    <n v="7"/>
    <n v="57.166666666666664"/>
    <m/>
    <m/>
  </r>
  <r>
    <x v="0"/>
    <x v="2"/>
    <n v="7"/>
    <n v="6"/>
    <n v="7"/>
    <x v="3"/>
    <x v="20"/>
    <n v="7"/>
    <n v="57.166666666666664"/>
    <m/>
    <m/>
  </r>
  <r>
    <x v="0"/>
    <x v="2"/>
    <n v="7"/>
    <n v="6"/>
    <n v="7"/>
    <x v="3"/>
    <x v="21"/>
    <n v="7"/>
    <n v="57.166666666666664"/>
    <m/>
    <m/>
  </r>
  <r>
    <x v="0"/>
    <x v="2"/>
    <n v="7"/>
    <n v="6"/>
    <n v="7"/>
    <x v="3"/>
    <x v="22"/>
    <n v="8"/>
    <n v="65.333333333333329"/>
    <m/>
    <m/>
  </r>
  <r>
    <x v="0"/>
    <x v="2"/>
    <n v="7"/>
    <n v="6"/>
    <n v="7"/>
    <x v="3"/>
    <x v="23"/>
    <n v="8"/>
    <n v="65.333333333333329"/>
    <m/>
    <m/>
  </r>
  <r>
    <x v="0"/>
    <x v="3"/>
    <n v="5"/>
    <n v="6"/>
    <n v="6"/>
    <x v="0"/>
    <x v="0"/>
    <n v="7"/>
    <n v="35"/>
    <m/>
    <m/>
  </r>
  <r>
    <x v="0"/>
    <x v="3"/>
    <n v="5"/>
    <n v="6"/>
    <n v="6"/>
    <x v="0"/>
    <x v="1"/>
    <n v="8"/>
    <n v="40"/>
    <m/>
    <m/>
  </r>
  <r>
    <x v="0"/>
    <x v="3"/>
    <n v="5"/>
    <n v="6"/>
    <n v="6"/>
    <x v="0"/>
    <x v="2"/>
    <n v="6"/>
    <n v="30"/>
    <m/>
    <m/>
  </r>
  <r>
    <x v="0"/>
    <x v="3"/>
    <n v="5"/>
    <n v="6"/>
    <n v="6"/>
    <x v="0"/>
    <x v="3"/>
    <n v="8"/>
    <n v="40"/>
    <m/>
    <m/>
  </r>
  <r>
    <x v="0"/>
    <x v="3"/>
    <n v="5"/>
    <n v="6"/>
    <n v="6"/>
    <x v="0"/>
    <x v="4"/>
    <n v="8"/>
    <n v="40"/>
    <m/>
    <m/>
  </r>
  <r>
    <x v="0"/>
    <x v="3"/>
    <n v="5"/>
    <n v="6"/>
    <n v="6"/>
    <x v="0"/>
    <x v="5"/>
    <n v="2"/>
    <n v="10"/>
    <m/>
    <m/>
  </r>
  <r>
    <x v="0"/>
    <x v="3"/>
    <n v="5"/>
    <n v="6"/>
    <n v="6"/>
    <x v="1"/>
    <x v="6"/>
    <n v="7"/>
    <n v="35"/>
    <m/>
    <m/>
  </r>
  <r>
    <x v="0"/>
    <x v="3"/>
    <n v="5"/>
    <n v="6"/>
    <n v="6"/>
    <x v="1"/>
    <x v="7"/>
    <n v="7"/>
    <n v="35"/>
    <m/>
    <m/>
  </r>
  <r>
    <x v="0"/>
    <x v="3"/>
    <n v="5"/>
    <n v="6"/>
    <n v="6"/>
    <x v="1"/>
    <x v="8"/>
    <n v="8"/>
    <n v="40"/>
    <m/>
    <m/>
  </r>
  <r>
    <x v="0"/>
    <x v="3"/>
    <n v="5"/>
    <n v="6"/>
    <n v="6"/>
    <x v="1"/>
    <x v="9"/>
    <n v="7"/>
    <n v="35"/>
    <m/>
    <m/>
  </r>
  <r>
    <x v="0"/>
    <x v="3"/>
    <n v="5"/>
    <n v="6"/>
    <n v="6"/>
    <x v="1"/>
    <x v="10"/>
    <n v="8"/>
    <n v="40"/>
    <m/>
    <m/>
  </r>
  <r>
    <x v="0"/>
    <x v="3"/>
    <n v="5"/>
    <n v="6"/>
    <n v="6"/>
    <x v="1"/>
    <x v="11"/>
    <n v="3"/>
    <n v="15"/>
    <m/>
    <m/>
  </r>
  <r>
    <x v="0"/>
    <x v="3"/>
    <n v="5"/>
    <n v="6"/>
    <n v="6"/>
    <x v="2"/>
    <x v="12"/>
    <n v="7"/>
    <n v="35"/>
    <m/>
    <m/>
  </r>
  <r>
    <x v="0"/>
    <x v="3"/>
    <n v="5"/>
    <n v="6"/>
    <n v="6"/>
    <x v="2"/>
    <x v="13"/>
    <n v="8"/>
    <n v="40"/>
    <m/>
    <m/>
  </r>
  <r>
    <x v="0"/>
    <x v="3"/>
    <n v="5"/>
    <n v="6"/>
    <n v="6"/>
    <x v="2"/>
    <x v="14"/>
    <n v="8"/>
    <n v="40"/>
    <m/>
    <m/>
  </r>
  <r>
    <x v="0"/>
    <x v="3"/>
    <n v="5"/>
    <n v="6"/>
    <n v="6"/>
    <x v="2"/>
    <x v="15"/>
    <n v="8"/>
    <n v="40"/>
    <m/>
    <m/>
  </r>
  <r>
    <x v="0"/>
    <x v="3"/>
    <n v="5"/>
    <n v="6"/>
    <n v="6"/>
    <x v="2"/>
    <x v="16"/>
    <n v="7"/>
    <n v="35"/>
    <m/>
    <m/>
  </r>
  <r>
    <x v="0"/>
    <x v="3"/>
    <n v="5"/>
    <n v="6"/>
    <n v="6"/>
    <x v="2"/>
    <x v="17"/>
    <n v="3"/>
    <n v="15"/>
    <m/>
    <m/>
  </r>
  <r>
    <x v="0"/>
    <x v="3"/>
    <n v="5"/>
    <n v="6"/>
    <n v="6"/>
    <x v="3"/>
    <x v="18"/>
    <n v="8"/>
    <n v="40"/>
    <m/>
    <m/>
  </r>
  <r>
    <x v="0"/>
    <x v="3"/>
    <n v="5"/>
    <n v="6"/>
    <n v="6"/>
    <x v="3"/>
    <x v="19"/>
    <n v="7"/>
    <n v="35"/>
    <m/>
    <m/>
  </r>
  <r>
    <x v="0"/>
    <x v="3"/>
    <n v="5"/>
    <n v="6"/>
    <n v="6"/>
    <x v="3"/>
    <x v="20"/>
    <n v="7"/>
    <n v="35"/>
    <m/>
    <m/>
  </r>
  <r>
    <x v="0"/>
    <x v="3"/>
    <n v="5"/>
    <n v="6"/>
    <n v="6"/>
    <x v="3"/>
    <x v="21"/>
    <n v="7"/>
    <n v="35"/>
    <m/>
    <m/>
  </r>
  <r>
    <x v="0"/>
    <x v="3"/>
    <n v="5"/>
    <n v="6"/>
    <n v="6"/>
    <x v="3"/>
    <x v="22"/>
    <n v="8"/>
    <n v="40"/>
    <m/>
    <m/>
  </r>
  <r>
    <x v="0"/>
    <x v="3"/>
    <n v="5"/>
    <n v="6"/>
    <n v="6"/>
    <x v="3"/>
    <x v="23"/>
    <n v="8"/>
    <n v="40"/>
    <m/>
    <m/>
  </r>
  <r>
    <x v="1"/>
    <x v="4"/>
    <n v="6"/>
    <n v="6"/>
    <n v="6"/>
    <x v="0"/>
    <x v="0"/>
    <n v="7"/>
    <n v="42"/>
    <n v="8"/>
    <n v="34"/>
  </r>
  <r>
    <x v="1"/>
    <x v="4"/>
    <n v="6"/>
    <n v="6"/>
    <n v="6"/>
    <x v="0"/>
    <x v="1"/>
    <n v="8"/>
    <n v="48"/>
    <n v="8"/>
    <n v="40"/>
  </r>
  <r>
    <x v="1"/>
    <x v="4"/>
    <n v="6"/>
    <n v="6"/>
    <n v="6"/>
    <x v="0"/>
    <x v="2"/>
    <n v="6"/>
    <n v="36"/>
    <n v="8"/>
    <n v="28"/>
  </r>
  <r>
    <x v="1"/>
    <x v="4"/>
    <n v="6"/>
    <n v="6"/>
    <n v="6"/>
    <x v="0"/>
    <x v="3"/>
    <n v="8"/>
    <n v="48"/>
    <n v="8"/>
    <n v="40"/>
  </r>
  <r>
    <x v="1"/>
    <x v="4"/>
    <n v="6"/>
    <n v="6"/>
    <n v="6"/>
    <x v="0"/>
    <x v="4"/>
    <n v="8"/>
    <n v="48"/>
    <n v="8"/>
    <n v="40"/>
  </r>
  <r>
    <x v="1"/>
    <x v="4"/>
    <n v="6"/>
    <n v="6"/>
    <n v="6"/>
    <x v="0"/>
    <x v="5"/>
    <n v="2"/>
    <n v="12"/>
    <n v="8"/>
    <n v="4"/>
  </r>
  <r>
    <x v="1"/>
    <x v="4"/>
    <n v="4"/>
    <n v="6"/>
    <n v="6"/>
    <x v="1"/>
    <x v="6"/>
    <n v="7"/>
    <n v="28"/>
    <m/>
    <m/>
  </r>
  <r>
    <x v="1"/>
    <x v="4"/>
    <n v="4"/>
    <n v="6"/>
    <n v="6"/>
    <x v="1"/>
    <x v="7"/>
    <n v="7"/>
    <n v="28"/>
    <m/>
    <m/>
  </r>
  <r>
    <x v="1"/>
    <x v="4"/>
    <n v="4"/>
    <n v="6"/>
    <n v="6"/>
    <x v="1"/>
    <x v="8"/>
    <n v="8"/>
    <n v="32"/>
    <m/>
    <m/>
  </r>
  <r>
    <x v="1"/>
    <x v="4"/>
    <n v="4"/>
    <n v="6"/>
    <n v="6"/>
    <x v="1"/>
    <x v="9"/>
    <n v="7"/>
    <n v="28"/>
    <m/>
    <m/>
  </r>
  <r>
    <x v="1"/>
    <x v="4"/>
    <n v="4"/>
    <n v="6"/>
    <n v="6"/>
    <x v="1"/>
    <x v="10"/>
    <n v="8"/>
    <n v="32"/>
    <m/>
    <m/>
  </r>
  <r>
    <x v="1"/>
    <x v="4"/>
    <n v="4"/>
    <n v="6"/>
    <n v="6"/>
    <x v="1"/>
    <x v="11"/>
    <n v="3"/>
    <n v="12"/>
    <m/>
    <m/>
  </r>
  <r>
    <x v="1"/>
    <x v="4"/>
    <n v="4"/>
    <n v="6"/>
    <n v="6"/>
    <x v="2"/>
    <x v="12"/>
    <n v="7"/>
    <n v="28"/>
    <m/>
    <m/>
  </r>
  <r>
    <x v="1"/>
    <x v="4"/>
    <n v="4"/>
    <n v="6"/>
    <n v="6"/>
    <x v="2"/>
    <x v="13"/>
    <n v="8"/>
    <n v="32"/>
    <m/>
    <m/>
  </r>
  <r>
    <x v="1"/>
    <x v="4"/>
    <n v="4"/>
    <n v="6"/>
    <n v="6"/>
    <x v="2"/>
    <x v="14"/>
    <n v="8"/>
    <n v="32"/>
    <m/>
    <m/>
  </r>
  <r>
    <x v="1"/>
    <x v="4"/>
    <n v="4"/>
    <n v="6"/>
    <n v="6"/>
    <x v="2"/>
    <x v="15"/>
    <n v="8"/>
    <n v="32"/>
    <m/>
    <m/>
  </r>
  <r>
    <x v="1"/>
    <x v="4"/>
    <n v="4"/>
    <n v="6"/>
    <n v="6"/>
    <x v="2"/>
    <x v="16"/>
    <n v="7"/>
    <n v="28"/>
    <m/>
    <m/>
  </r>
  <r>
    <x v="1"/>
    <x v="4"/>
    <n v="4"/>
    <n v="6"/>
    <n v="6"/>
    <x v="2"/>
    <x v="16"/>
    <n v="7"/>
    <n v="28"/>
    <m/>
    <m/>
  </r>
  <r>
    <x v="1"/>
    <x v="4"/>
    <n v="4"/>
    <n v="6"/>
    <n v="6"/>
    <x v="2"/>
    <x v="17"/>
    <n v="3"/>
    <n v="12"/>
    <m/>
    <m/>
  </r>
  <r>
    <x v="1"/>
    <x v="4"/>
    <n v="4"/>
    <n v="6"/>
    <n v="6"/>
    <x v="3"/>
    <x v="18"/>
    <n v="8"/>
    <n v="32"/>
    <m/>
    <m/>
  </r>
  <r>
    <x v="1"/>
    <x v="4"/>
    <n v="4"/>
    <n v="6"/>
    <n v="6"/>
    <x v="3"/>
    <x v="19"/>
    <n v="7"/>
    <n v="28"/>
    <m/>
    <m/>
  </r>
  <r>
    <x v="1"/>
    <x v="4"/>
    <n v="4"/>
    <n v="6"/>
    <n v="6"/>
    <x v="3"/>
    <x v="20"/>
    <n v="7"/>
    <n v="28"/>
    <m/>
    <m/>
  </r>
  <r>
    <x v="1"/>
    <x v="4"/>
    <n v="4"/>
    <n v="6"/>
    <n v="6"/>
    <x v="3"/>
    <x v="21"/>
    <n v="7"/>
    <n v="28"/>
    <m/>
    <m/>
  </r>
  <r>
    <x v="1"/>
    <x v="4"/>
    <n v="4"/>
    <n v="6"/>
    <n v="6"/>
    <x v="3"/>
    <x v="22"/>
    <n v="8"/>
    <n v="32"/>
    <m/>
    <m/>
  </r>
  <r>
    <x v="1"/>
    <x v="4"/>
    <n v="4"/>
    <n v="6"/>
    <n v="6"/>
    <x v="3"/>
    <x v="23"/>
    <n v="8"/>
    <n v="32"/>
    <m/>
    <m/>
  </r>
  <r>
    <x v="1"/>
    <x v="5"/>
    <n v="9"/>
    <n v="6"/>
    <n v="6"/>
    <x v="0"/>
    <x v="0"/>
    <n v="7"/>
    <n v="63"/>
    <n v="16"/>
    <n v="47"/>
  </r>
  <r>
    <x v="1"/>
    <x v="5"/>
    <n v="9"/>
    <n v="6"/>
    <n v="6"/>
    <x v="0"/>
    <x v="1"/>
    <n v="8"/>
    <n v="72"/>
    <n v="16"/>
    <n v="56"/>
  </r>
  <r>
    <x v="1"/>
    <x v="5"/>
    <n v="9"/>
    <n v="6"/>
    <n v="6"/>
    <x v="0"/>
    <x v="2"/>
    <n v="6"/>
    <n v="54"/>
    <n v="16"/>
    <n v="38"/>
  </r>
  <r>
    <x v="1"/>
    <x v="5"/>
    <n v="9"/>
    <n v="6"/>
    <n v="6"/>
    <x v="0"/>
    <x v="3"/>
    <n v="8"/>
    <n v="72"/>
    <n v="16"/>
    <n v="56"/>
  </r>
  <r>
    <x v="1"/>
    <x v="5"/>
    <n v="9"/>
    <n v="6"/>
    <n v="6"/>
    <x v="0"/>
    <x v="4"/>
    <n v="8"/>
    <n v="72"/>
    <n v="16"/>
    <n v="56"/>
  </r>
  <r>
    <x v="1"/>
    <x v="5"/>
    <n v="9"/>
    <n v="6"/>
    <n v="6"/>
    <x v="0"/>
    <x v="5"/>
    <n v="2"/>
    <n v="18"/>
    <n v="16"/>
    <n v="2"/>
  </r>
  <r>
    <x v="1"/>
    <x v="5"/>
    <n v="8"/>
    <n v="6"/>
    <n v="6"/>
    <x v="1"/>
    <x v="6"/>
    <n v="7"/>
    <n v="56"/>
    <m/>
    <m/>
  </r>
  <r>
    <x v="1"/>
    <x v="5"/>
    <n v="8"/>
    <n v="6"/>
    <n v="6"/>
    <x v="1"/>
    <x v="7"/>
    <n v="7"/>
    <n v="56"/>
    <m/>
    <m/>
  </r>
  <r>
    <x v="1"/>
    <x v="5"/>
    <n v="8"/>
    <n v="6"/>
    <n v="6"/>
    <x v="1"/>
    <x v="8"/>
    <n v="8"/>
    <n v="64"/>
    <m/>
    <m/>
  </r>
  <r>
    <x v="1"/>
    <x v="5"/>
    <n v="8"/>
    <n v="6"/>
    <n v="6"/>
    <x v="1"/>
    <x v="9"/>
    <n v="7"/>
    <n v="56"/>
    <m/>
    <m/>
  </r>
  <r>
    <x v="1"/>
    <x v="5"/>
    <n v="8"/>
    <n v="6"/>
    <n v="6"/>
    <x v="1"/>
    <x v="10"/>
    <n v="8"/>
    <n v="64"/>
    <m/>
    <m/>
  </r>
  <r>
    <x v="1"/>
    <x v="5"/>
    <n v="8"/>
    <n v="6"/>
    <n v="6"/>
    <x v="1"/>
    <x v="11"/>
    <n v="3"/>
    <n v="24"/>
    <m/>
    <m/>
  </r>
  <r>
    <x v="1"/>
    <x v="5"/>
    <n v="8"/>
    <n v="6"/>
    <n v="6"/>
    <x v="2"/>
    <x v="12"/>
    <n v="7"/>
    <n v="56"/>
    <m/>
    <m/>
  </r>
  <r>
    <x v="1"/>
    <x v="5"/>
    <n v="8"/>
    <n v="6"/>
    <n v="6"/>
    <x v="2"/>
    <x v="13"/>
    <n v="8"/>
    <n v="64"/>
    <m/>
    <m/>
  </r>
  <r>
    <x v="1"/>
    <x v="5"/>
    <n v="8"/>
    <n v="6"/>
    <n v="6"/>
    <x v="2"/>
    <x v="14"/>
    <n v="8"/>
    <n v="64"/>
    <m/>
    <m/>
  </r>
  <r>
    <x v="1"/>
    <x v="5"/>
    <n v="8"/>
    <n v="6"/>
    <n v="6"/>
    <x v="2"/>
    <x v="15"/>
    <n v="8"/>
    <n v="64"/>
    <m/>
    <m/>
  </r>
  <r>
    <x v="1"/>
    <x v="5"/>
    <n v="8"/>
    <n v="6"/>
    <n v="6"/>
    <x v="2"/>
    <x v="16"/>
    <n v="7"/>
    <n v="56"/>
    <m/>
    <m/>
  </r>
  <r>
    <x v="1"/>
    <x v="5"/>
    <n v="8"/>
    <n v="6"/>
    <n v="6"/>
    <x v="2"/>
    <x v="17"/>
    <n v="3"/>
    <n v="24"/>
    <m/>
    <m/>
  </r>
  <r>
    <x v="1"/>
    <x v="5"/>
    <n v="8"/>
    <n v="6"/>
    <n v="6"/>
    <x v="3"/>
    <x v="18"/>
    <n v="8"/>
    <n v="64"/>
    <m/>
    <m/>
  </r>
  <r>
    <x v="1"/>
    <x v="5"/>
    <n v="8"/>
    <n v="6"/>
    <n v="6"/>
    <x v="3"/>
    <x v="19"/>
    <n v="7"/>
    <n v="56"/>
    <m/>
    <m/>
  </r>
  <r>
    <x v="1"/>
    <x v="5"/>
    <n v="8"/>
    <n v="6"/>
    <n v="6"/>
    <x v="3"/>
    <x v="20"/>
    <n v="7"/>
    <n v="56"/>
    <m/>
    <m/>
  </r>
  <r>
    <x v="1"/>
    <x v="5"/>
    <n v="8"/>
    <n v="6"/>
    <n v="6"/>
    <x v="3"/>
    <x v="21"/>
    <n v="7"/>
    <n v="56"/>
    <m/>
    <m/>
  </r>
  <r>
    <x v="1"/>
    <x v="5"/>
    <n v="8"/>
    <n v="6"/>
    <n v="6"/>
    <x v="3"/>
    <x v="22"/>
    <n v="8"/>
    <n v="64"/>
    <m/>
    <m/>
  </r>
  <r>
    <x v="1"/>
    <x v="5"/>
    <n v="8"/>
    <n v="6"/>
    <n v="6"/>
    <x v="3"/>
    <x v="23"/>
    <n v="8"/>
    <n v="64"/>
    <m/>
    <m/>
  </r>
  <r>
    <x v="1"/>
    <x v="6"/>
    <n v="9.5"/>
    <n v="7"/>
    <n v="6"/>
    <x v="0"/>
    <x v="0"/>
    <n v="7"/>
    <n v="57"/>
    <n v="5"/>
    <n v="52"/>
  </r>
  <r>
    <x v="1"/>
    <x v="6"/>
    <n v="9.5"/>
    <n v="7"/>
    <n v="6"/>
    <x v="0"/>
    <x v="1"/>
    <n v="8"/>
    <n v="65.142857142857139"/>
    <n v="5"/>
    <n v="60.142857142857139"/>
  </r>
  <r>
    <x v="1"/>
    <x v="6"/>
    <n v="9.5"/>
    <n v="7"/>
    <n v="6"/>
    <x v="0"/>
    <x v="2"/>
    <n v="6"/>
    <n v="48.857142857142854"/>
    <n v="5"/>
    <n v="43.857142857142854"/>
  </r>
  <r>
    <x v="1"/>
    <x v="6"/>
    <n v="9.5"/>
    <n v="7"/>
    <n v="6"/>
    <x v="0"/>
    <x v="3"/>
    <n v="8"/>
    <n v="65.142857142857139"/>
    <n v="5"/>
    <n v="60.142857142857139"/>
  </r>
  <r>
    <x v="1"/>
    <x v="6"/>
    <n v="9.5"/>
    <n v="7"/>
    <n v="6"/>
    <x v="0"/>
    <x v="4"/>
    <n v="8"/>
    <n v="65.142857142857139"/>
    <n v="5"/>
    <n v="60.142857142857139"/>
  </r>
  <r>
    <x v="1"/>
    <x v="6"/>
    <n v="9.5"/>
    <n v="7"/>
    <n v="7"/>
    <x v="0"/>
    <x v="5"/>
    <n v="2"/>
    <n v="19"/>
    <n v="5"/>
    <n v="14"/>
  </r>
  <r>
    <x v="1"/>
    <x v="6"/>
    <n v="9"/>
    <n v="7"/>
    <n v="6"/>
    <x v="1"/>
    <x v="6"/>
    <n v="7"/>
    <n v="54"/>
    <m/>
    <m/>
  </r>
  <r>
    <x v="1"/>
    <x v="6"/>
    <n v="9"/>
    <n v="7"/>
    <n v="6"/>
    <x v="1"/>
    <x v="7"/>
    <n v="7"/>
    <n v="54"/>
    <m/>
    <m/>
  </r>
  <r>
    <x v="1"/>
    <x v="6"/>
    <n v="9"/>
    <n v="7"/>
    <n v="6"/>
    <x v="1"/>
    <x v="8"/>
    <n v="8"/>
    <n v="61.714285714285715"/>
    <m/>
    <m/>
  </r>
  <r>
    <x v="1"/>
    <x v="6"/>
    <n v="9"/>
    <n v="7"/>
    <n v="6"/>
    <x v="1"/>
    <x v="9"/>
    <n v="7"/>
    <n v="54"/>
    <m/>
    <m/>
  </r>
  <r>
    <x v="1"/>
    <x v="6"/>
    <n v="9"/>
    <n v="7"/>
    <n v="6"/>
    <x v="1"/>
    <x v="10"/>
    <n v="8"/>
    <n v="61.714285714285715"/>
    <m/>
    <m/>
  </r>
  <r>
    <x v="1"/>
    <x v="6"/>
    <n v="9"/>
    <n v="7"/>
    <n v="6"/>
    <x v="1"/>
    <x v="11"/>
    <n v="3"/>
    <n v="23.142857142857142"/>
    <m/>
    <m/>
  </r>
  <r>
    <x v="1"/>
    <x v="6"/>
    <n v="9"/>
    <n v="7"/>
    <n v="6"/>
    <x v="2"/>
    <x v="12"/>
    <n v="7"/>
    <n v="54"/>
    <m/>
    <m/>
  </r>
  <r>
    <x v="1"/>
    <x v="6"/>
    <n v="9"/>
    <n v="7"/>
    <n v="6"/>
    <x v="2"/>
    <x v="13"/>
    <n v="8"/>
    <n v="61.714285714285715"/>
    <m/>
    <m/>
  </r>
  <r>
    <x v="1"/>
    <x v="6"/>
    <n v="9"/>
    <n v="7"/>
    <n v="6"/>
    <x v="2"/>
    <x v="14"/>
    <n v="8"/>
    <n v="61.714285714285715"/>
    <m/>
    <m/>
  </r>
  <r>
    <x v="1"/>
    <x v="6"/>
    <n v="9"/>
    <n v="7"/>
    <n v="6"/>
    <x v="2"/>
    <x v="15"/>
    <n v="8"/>
    <n v="61.714285714285715"/>
    <m/>
    <m/>
  </r>
  <r>
    <x v="1"/>
    <x v="6"/>
    <n v="9"/>
    <n v="7"/>
    <n v="6"/>
    <x v="2"/>
    <x v="16"/>
    <n v="7"/>
    <n v="54"/>
    <m/>
    <m/>
  </r>
  <r>
    <x v="1"/>
    <x v="6"/>
    <n v="9"/>
    <n v="7"/>
    <n v="6"/>
    <x v="2"/>
    <x v="17"/>
    <n v="3"/>
    <n v="23.142857142857142"/>
    <m/>
    <m/>
  </r>
  <r>
    <x v="1"/>
    <x v="6"/>
    <n v="9"/>
    <n v="7"/>
    <n v="6"/>
    <x v="3"/>
    <x v="18"/>
    <n v="8"/>
    <n v="61.714285714285715"/>
    <m/>
    <m/>
  </r>
  <r>
    <x v="1"/>
    <x v="6"/>
    <n v="9"/>
    <n v="7"/>
    <n v="6"/>
    <x v="3"/>
    <x v="19"/>
    <n v="7"/>
    <n v="54"/>
    <m/>
    <m/>
  </r>
  <r>
    <x v="1"/>
    <x v="6"/>
    <n v="9"/>
    <n v="7"/>
    <n v="6"/>
    <x v="3"/>
    <x v="20"/>
    <n v="7"/>
    <n v="54"/>
    <m/>
    <m/>
  </r>
  <r>
    <x v="1"/>
    <x v="6"/>
    <n v="9"/>
    <n v="7"/>
    <n v="6"/>
    <x v="3"/>
    <x v="21"/>
    <n v="7"/>
    <n v="54"/>
    <m/>
    <m/>
  </r>
  <r>
    <x v="1"/>
    <x v="6"/>
    <n v="9"/>
    <n v="7"/>
    <n v="6"/>
    <x v="3"/>
    <x v="22"/>
    <n v="8"/>
    <n v="61.714285714285715"/>
    <m/>
    <m/>
  </r>
  <r>
    <x v="1"/>
    <x v="6"/>
    <n v="9"/>
    <n v="7"/>
    <n v="6"/>
    <x v="3"/>
    <x v="23"/>
    <n v="8"/>
    <n v="61.714285714285715"/>
    <m/>
    <m/>
  </r>
  <r>
    <x v="1"/>
    <x v="7"/>
    <n v="5"/>
    <n v="6.4"/>
    <n v="7"/>
    <x v="0"/>
    <x v="0"/>
    <n v="7"/>
    <n v="38.28125"/>
    <n v="3"/>
    <n v="35.28125"/>
  </r>
  <r>
    <x v="1"/>
    <x v="7"/>
    <n v="5"/>
    <n v="6.4"/>
    <n v="7"/>
    <x v="0"/>
    <x v="1"/>
    <n v="8"/>
    <n v="43.75"/>
    <n v="3"/>
    <n v="40.75"/>
  </r>
  <r>
    <x v="1"/>
    <x v="7"/>
    <n v="5"/>
    <n v="6.4"/>
    <n v="7"/>
    <x v="0"/>
    <x v="2"/>
    <n v="6"/>
    <n v="32.8125"/>
    <n v="3"/>
    <n v="29.8125"/>
  </r>
  <r>
    <x v="1"/>
    <x v="7"/>
    <n v="5"/>
    <n v="6.4"/>
    <n v="7"/>
    <x v="0"/>
    <x v="3"/>
    <n v="8"/>
    <n v="43.75"/>
    <n v="3"/>
    <n v="40.75"/>
  </r>
  <r>
    <x v="1"/>
    <x v="7"/>
    <n v="5"/>
    <n v="6.4"/>
    <n v="7"/>
    <x v="0"/>
    <x v="4"/>
    <n v="8"/>
    <n v="43.75"/>
    <n v="3"/>
    <n v="40.75"/>
  </r>
  <r>
    <x v="1"/>
    <x v="7"/>
    <n v="5"/>
    <n v="6.4"/>
    <n v="7"/>
    <x v="0"/>
    <x v="5"/>
    <n v="2"/>
    <n v="10.9375"/>
    <n v="3"/>
    <n v="7.9375"/>
  </r>
  <r>
    <x v="1"/>
    <x v="7"/>
    <n v="6"/>
    <n v="6.4"/>
    <n v="7"/>
    <x v="1"/>
    <x v="6"/>
    <n v="7"/>
    <n v="45.9375"/>
    <m/>
    <m/>
  </r>
  <r>
    <x v="1"/>
    <x v="7"/>
    <n v="6"/>
    <n v="6.4"/>
    <n v="7"/>
    <x v="1"/>
    <x v="7"/>
    <n v="7"/>
    <n v="45.9375"/>
    <m/>
    <m/>
  </r>
  <r>
    <x v="1"/>
    <x v="7"/>
    <n v="6"/>
    <n v="6.4"/>
    <n v="7"/>
    <x v="1"/>
    <x v="8"/>
    <n v="8"/>
    <n v="52.5"/>
    <m/>
    <m/>
  </r>
  <r>
    <x v="1"/>
    <x v="7"/>
    <n v="6"/>
    <n v="6.4"/>
    <n v="7"/>
    <x v="1"/>
    <x v="9"/>
    <n v="7"/>
    <n v="45.9375"/>
    <m/>
    <m/>
  </r>
  <r>
    <x v="1"/>
    <x v="7"/>
    <n v="6"/>
    <n v="6.4"/>
    <n v="7"/>
    <x v="1"/>
    <x v="10"/>
    <n v="8"/>
    <n v="52.5"/>
    <m/>
    <m/>
  </r>
  <r>
    <x v="1"/>
    <x v="7"/>
    <n v="6"/>
    <n v="6.4"/>
    <n v="7"/>
    <x v="1"/>
    <x v="11"/>
    <n v="3"/>
    <n v="19.6875"/>
    <m/>
    <m/>
  </r>
  <r>
    <x v="1"/>
    <x v="7"/>
    <n v="6"/>
    <n v="6.4"/>
    <n v="7"/>
    <x v="2"/>
    <x v="12"/>
    <n v="7"/>
    <n v="45.9375"/>
    <m/>
    <m/>
  </r>
  <r>
    <x v="1"/>
    <x v="7"/>
    <n v="6"/>
    <n v="6.4"/>
    <n v="7"/>
    <x v="2"/>
    <x v="13"/>
    <n v="8"/>
    <n v="52.5"/>
    <m/>
    <m/>
  </r>
  <r>
    <x v="1"/>
    <x v="7"/>
    <n v="6"/>
    <n v="6.4"/>
    <n v="7"/>
    <x v="2"/>
    <x v="14"/>
    <n v="8"/>
    <n v="52.5"/>
    <m/>
    <m/>
  </r>
  <r>
    <x v="1"/>
    <x v="7"/>
    <n v="6"/>
    <n v="6.4"/>
    <n v="7"/>
    <x v="2"/>
    <x v="15"/>
    <n v="8"/>
    <n v="52.5"/>
    <m/>
    <m/>
  </r>
  <r>
    <x v="1"/>
    <x v="7"/>
    <n v="6"/>
    <n v="6.4"/>
    <n v="7"/>
    <x v="2"/>
    <x v="16"/>
    <n v="7"/>
    <n v="45.9375"/>
    <m/>
    <m/>
  </r>
  <r>
    <x v="1"/>
    <x v="7"/>
    <n v="6"/>
    <n v="6.4"/>
    <n v="7"/>
    <x v="2"/>
    <x v="17"/>
    <n v="3"/>
    <n v="19.6875"/>
    <m/>
    <m/>
  </r>
  <r>
    <x v="1"/>
    <x v="7"/>
    <n v="6"/>
    <n v="6.4"/>
    <n v="7"/>
    <x v="3"/>
    <x v="18"/>
    <n v="8"/>
    <n v="52.5"/>
    <m/>
    <m/>
  </r>
  <r>
    <x v="1"/>
    <x v="7"/>
    <n v="6"/>
    <n v="6.4"/>
    <n v="7"/>
    <x v="3"/>
    <x v="19"/>
    <n v="7"/>
    <n v="45.9375"/>
    <m/>
    <m/>
  </r>
  <r>
    <x v="1"/>
    <x v="7"/>
    <n v="6"/>
    <n v="6.4"/>
    <n v="7"/>
    <x v="3"/>
    <x v="20"/>
    <n v="7"/>
    <n v="45.9375"/>
    <m/>
    <m/>
  </r>
  <r>
    <x v="1"/>
    <x v="7"/>
    <n v="6"/>
    <n v="6.4"/>
    <n v="7"/>
    <x v="3"/>
    <x v="21"/>
    <n v="7"/>
    <n v="45.9375"/>
    <m/>
    <m/>
  </r>
  <r>
    <x v="1"/>
    <x v="7"/>
    <n v="6"/>
    <n v="6.4"/>
    <n v="7"/>
    <x v="3"/>
    <x v="22"/>
    <n v="8"/>
    <n v="52.5"/>
    <m/>
    <m/>
  </r>
  <r>
    <x v="1"/>
    <x v="7"/>
    <n v="6"/>
    <n v="6.4"/>
    <n v="7"/>
    <x v="3"/>
    <x v="23"/>
    <n v="8"/>
    <n v="52.5"/>
    <m/>
    <m/>
  </r>
  <r>
    <x v="1"/>
    <x v="8"/>
    <n v="4"/>
    <n v="6"/>
    <n v="7"/>
    <x v="0"/>
    <x v="0"/>
    <n v="7"/>
    <n v="32.666666666666664"/>
    <n v="8"/>
    <n v="24.666666666666664"/>
  </r>
  <r>
    <x v="1"/>
    <x v="8"/>
    <n v="4"/>
    <n v="6"/>
    <n v="7"/>
    <x v="0"/>
    <x v="1"/>
    <n v="8"/>
    <n v="37.333333333333336"/>
    <n v="8"/>
    <n v="29.333333333333336"/>
  </r>
  <r>
    <x v="1"/>
    <x v="8"/>
    <n v="4"/>
    <n v="6"/>
    <n v="7"/>
    <x v="0"/>
    <x v="2"/>
    <n v="6"/>
    <n v="28"/>
    <n v="8"/>
    <n v="20"/>
  </r>
  <r>
    <x v="1"/>
    <x v="8"/>
    <n v="4"/>
    <n v="6"/>
    <n v="7"/>
    <x v="0"/>
    <x v="3"/>
    <n v="8"/>
    <n v="37.333333333333336"/>
    <n v="8"/>
    <n v="29.333333333333336"/>
  </r>
  <r>
    <x v="1"/>
    <x v="8"/>
    <n v="4"/>
    <n v="6"/>
    <n v="7"/>
    <x v="0"/>
    <x v="4"/>
    <n v="8"/>
    <n v="37.333333333333336"/>
    <n v="8"/>
    <n v="29.333333333333336"/>
  </r>
  <r>
    <x v="1"/>
    <x v="8"/>
    <n v="4"/>
    <n v="6"/>
    <n v="7"/>
    <x v="0"/>
    <x v="5"/>
    <n v="2"/>
    <n v="9.3333333333333339"/>
    <n v="8"/>
    <n v="1.3333333333333339"/>
  </r>
  <r>
    <x v="1"/>
    <x v="8"/>
    <n v="4"/>
    <n v="6"/>
    <n v="7"/>
    <x v="1"/>
    <x v="6"/>
    <n v="7"/>
    <n v="32.666666666666664"/>
    <m/>
    <m/>
  </r>
  <r>
    <x v="1"/>
    <x v="8"/>
    <n v="4"/>
    <n v="6"/>
    <n v="7"/>
    <x v="1"/>
    <x v="7"/>
    <n v="7"/>
    <n v="32.666666666666664"/>
    <m/>
    <m/>
  </r>
  <r>
    <x v="1"/>
    <x v="8"/>
    <n v="4"/>
    <n v="6"/>
    <n v="7"/>
    <x v="1"/>
    <x v="8"/>
    <n v="8"/>
    <n v="37.333333333333336"/>
    <m/>
    <m/>
  </r>
  <r>
    <x v="1"/>
    <x v="8"/>
    <n v="4"/>
    <n v="6"/>
    <n v="7"/>
    <x v="1"/>
    <x v="9"/>
    <n v="7"/>
    <n v="32.666666666666664"/>
    <m/>
    <m/>
  </r>
  <r>
    <x v="1"/>
    <x v="8"/>
    <n v="4"/>
    <n v="6"/>
    <n v="7"/>
    <x v="1"/>
    <x v="10"/>
    <n v="8"/>
    <n v="37.333333333333336"/>
    <m/>
    <m/>
  </r>
  <r>
    <x v="1"/>
    <x v="8"/>
    <n v="4"/>
    <n v="6"/>
    <n v="7"/>
    <x v="1"/>
    <x v="11"/>
    <n v="3"/>
    <n v="14"/>
    <m/>
    <m/>
  </r>
  <r>
    <x v="1"/>
    <x v="8"/>
    <n v="4"/>
    <n v="6"/>
    <n v="7"/>
    <x v="2"/>
    <x v="12"/>
    <n v="7"/>
    <n v="32.666666666666664"/>
    <m/>
    <m/>
  </r>
  <r>
    <x v="1"/>
    <x v="8"/>
    <n v="4"/>
    <n v="6"/>
    <n v="7"/>
    <x v="2"/>
    <x v="13"/>
    <n v="8"/>
    <n v="37.333333333333336"/>
    <m/>
    <m/>
  </r>
  <r>
    <x v="1"/>
    <x v="8"/>
    <n v="4"/>
    <n v="6"/>
    <n v="7"/>
    <x v="2"/>
    <x v="14"/>
    <n v="8"/>
    <n v="37.333333333333336"/>
    <m/>
    <m/>
  </r>
  <r>
    <x v="1"/>
    <x v="8"/>
    <n v="4"/>
    <n v="6"/>
    <n v="7"/>
    <x v="2"/>
    <x v="15"/>
    <n v="8"/>
    <n v="37.333333333333336"/>
    <m/>
    <m/>
  </r>
  <r>
    <x v="1"/>
    <x v="8"/>
    <n v="4"/>
    <n v="6"/>
    <n v="7"/>
    <x v="2"/>
    <x v="16"/>
    <n v="7"/>
    <n v="32.666666666666664"/>
    <m/>
    <m/>
  </r>
  <r>
    <x v="1"/>
    <x v="8"/>
    <n v="4"/>
    <n v="6"/>
    <n v="7"/>
    <x v="2"/>
    <x v="17"/>
    <n v="3"/>
    <n v="14"/>
    <m/>
    <m/>
  </r>
  <r>
    <x v="1"/>
    <x v="8"/>
    <n v="4"/>
    <n v="6"/>
    <n v="7"/>
    <x v="3"/>
    <x v="18"/>
    <n v="8"/>
    <n v="37.333333333333336"/>
    <m/>
    <m/>
  </r>
  <r>
    <x v="1"/>
    <x v="8"/>
    <n v="4"/>
    <n v="6"/>
    <n v="7"/>
    <x v="3"/>
    <x v="19"/>
    <n v="7"/>
    <n v="32.666666666666664"/>
    <m/>
    <m/>
  </r>
  <r>
    <x v="1"/>
    <x v="8"/>
    <n v="4"/>
    <n v="6"/>
    <n v="7"/>
    <x v="3"/>
    <x v="20"/>
    <n v="7"/>
    <n v="32.666666666666664"/>
    <m/>
    <m/>
  </r>
  <r>
    <x v="1"/>
    <x v="8"/>
    <n v="4"/>
    <n v="6"/>
    <n v="7"/>
    <x v="3"/>
    <x v="21"/>
    <n v="7"/>
    <n v="32.666666666666664"/>
    <m/>
    <m/>
  </r>
  <r>
    <x v="1"/>
    <x v="8"/>
    <n v="4"/>
    <n v="6"/>
    <n v="7"/>
    <x v="3"/>
    <x v="22"/>
    <n v="8"/>
    <n v="37.333333333333336"/>
    <m/>
    <m/>
  </r>
  <r>
    <x v="1"/>
    <x v="8"/>
    <n v="4"/>
    <n v="6"/>
    <n v="7"/>
    <x v="3"/>
    <x v="23"/>
    <n v="8"/>
    <n v="37.333333333333336"/>
    <m/>
    <m/>
  </r>
  <r>
    <x v="2"/>
    <x v="9"/>
    <n v="5"/>
    <n v="8.3000000000000007"/>
    <n v="7"/>
    <x v="0"/>
    <x v="0"/>
    <n v="7"/>
    <n v="29.518072289156624"/>
    <n v="8.8554216867469862"/>
    <m/>
  </r>
  <r>
    <x v="2"/>
    <x v="9"/>
    <n v="5"/>
    <n v="8.3000000000000007"/>
    <n v="7"/>
    <x v="0"/>
    <x v="1"/>
    <n v="8"/>
    <n v="33.734939759036145"/>
    <n v="10.120481927710843"/>
    <m/>
  </r>
  <r>
    <x v="2"/>
    <x v="9"/>
    <n v="5"/>
    <n v="8.3000000000000007"/>
    <n v="7"/>
    <x v="0"/>
    <x v="2"/>
    <n v="6"/>
    <n v="25.301204819277107"/>
    <n v="7.5903614457831319"/>
    <m/>
  </r>
  <r>
    <x v="2"/>
    <x v="9"/>
    <n v="5"/>
    <n v="8.3000000000000007"/>
    <n v="7"/>
    <x v="0"/>
    <x v="3"/>
    <n v="8"/>
    <n v="33.734939759036145"/>
    <n v="10.120481927710843"/>
    <m/>
  </r>
  <r>
    <x v="2"/>
    <x v="9"/>
    <n v="5"/>
    <n v="8.3000000000000007"/>
    <n v="7"/>
    <x v="0"/>
    <x v="4"/>
    <n v="8"/>
    <n v="33.734939759036145"/>
    <n v="10.120481927710843"/>
    <m/>
  </r>
  <r>
    <x v="2"/>
    <x v="9"/>
    <n v="5"/>
    <n v="8.3000000000000007"/>
    <n v="7"/>
    <x v="0"/>
    <x v="5"/>
    <n v="2"/>
    <n v="8.4337349397590362"/>
    <n v="2.5301204819277108"/>
    <m/>
  </r>
  <r>
    <x v="2"/>
    <x v="9"/>
    <n v="7"/>
    <n v="8.3000000000000007"/>
    <n v="7"/>
    <x v="1"/>
    <x v="6"/>
    <n v="7"/>
    <n v="41.325301204819276"/>
    <n v="6.1987951807228914"/>
    <m/>
  </r>
  <r>
    <x v="2"/>
    <x v="9"/>
    <n v="7"/>
    <n v="8.3000000000000007"/>
    <n v="7"/>
    <x v="1"/>
    <x v="7"/>
    <n v="7"/>
    <n v="41.325301204819276"/>
    <n v="6.1987951807228914"/>
    <m/>
  </r>
  <r>
    <x v="2"/>
    <x v="9"/>
    <n v="7"/>
    <n v="8.3000000000000007"/>
    <n v="7"/>
    <x v="1"/>
    <x v="8"/>
    <n v="8"/>
    <n v="47.2289156626506"/>
    <n v="7.0843373493975896"/>
    <m/>
  </r>
  <r>
    <x v="2"/>
    <x v="9"/>
    <n v="7"/>
    <n v="8.3000000000000007"/>
    <n v="7"/>
    <x v="1"/>
    <x v="9"/>
    <n v="7"/>
    <n v="41.325301204819276"/>
    <n v="6.1987951807228914"/>
    <m/>
  </r>
  <r>
    <x v="2"/>
    <x v="9"/>
    <n v="7"/>
    <n v="8.3000000000000007"/>
    <n v="7"/>
    <x v="1"/>
    <x v="10"/>
    <n v="8"/>
    <n v="47.2289156626506"/>
    <n v="7.0843373493975896"/>
    <m/>
  </r>
  <r>
    <x v="2"/>
    <x v="9"/>
    <n v="7"/>
    <n v="8.3000000000000007"/>
    <n v="7"/>
    <x v="1"/>
    <x v="11"/>
    <n v="3"/>
    <n v="17.710843373493976"/>
    <n v="2.6566265060240961"/>
    <m/>
  </r>
  <r>
    <x v="2"/>
    <x v="9"/>
    <n v="7"/>
    <n v="8.3000000000000007"/>
    <n v="7"/>
    <x v="2"/>
    <x v="12"/>
    <n v="7"/>
    <n v="41.325301204819276"/>
    <n v="7"/>
    <m/>
  </r>
  <r>
    <x v="2"/>
    <x v="9"/>
    <n v="7"/>
    <n v="8.3000000000000007"/>
    <n v="7"/>
    <x v="2"/>
    <x v="13"/>
    <n v="8"/>
    <n v="47.2289156626506"/>
    <n v="6"/>
    <m/>
  </r>
  <r>
    <x v="2"/>
    <x v="9"/>
    <n v="7"/>
    <n v="8.3000000000000007"/>
    <n v="7"/>
    <x v="2"/>
    <x v="14"/>
    <n v="8"/>
    <n v="47.2289156626506"/>
    <n v="10"/>
    <m/>
  </r>
  <r>
    <x v="2"/>
    <x v="9"/>
    <n v="7"/>
    <n v="8.3000000000000007"/>
    <n v="7"/>
    <x v="2"/>
    <x v="15"/>
    <n v="8"/>
    <n v="47.2289156626506"/>
    <n v="13"/>
    <m/>
  </r>
  <r>
    <x v="2"/>
    <x v="9"/>
    <n v="7"/>
    <n v="8.3000000000000007"/>
    <n v="7"/>
    <x v="2"/>
    <x v="16"/>
    <n v="7"/>
    <n v="41.325301204819276"/>
    <n v="5"/>
    <m/>
  </r>
  <r>
    <x v="2"/>
    <x v="9"/>
    <n v="7"/>
    <n v="8.3000000000000007"/>
    <n v="7"/>
    <x v="2"/>
    <x v="17"/>
    <n v="3"/>
    <n v="17.710843373493976"/>
    <n v="5.3132530120481922"/>
    <m/>
  </r>
  <r>
    <x v="2"/>
    <x v="9"/>
    <n v="7"/>
    <n v="8.3000000000000007"/>
    <n v="7"/>
    <x v="3"/>
    <x v="18"/>
    <n v="8"/>
    <n v="47.2289156626506"/>
    <n v="14.168674698795179"/>
    <m/>
  </r>
  <r>
    <x v="2"/>
    <x v="9"/>
    <n v="7"/>
    <n v="8.3000000000000007"/>
    <n v="7"/>
    <x v="3"/>
    <x v="19"/>
    <n v="7"/>
    <n v="41.325301204819276"/>
    <n v="12.397590361445783"/>
    <m/>
  </r>
  <r>
    <x v="2"/>
    <x v="9"/>
    <n v="7"/>
    <n v="8.3000000000000007"/>
    <n v="7"/>
    <x v="3"/>
    <x v="20"/>
    <n v="7"/>
    <n v="41.325301204819276"/>
    <n v="12.397590361445783"/>
    <m/>
  </r>
  <r>
    <x v="2"/>
    <x v="9"/>
    <n v="7"/>
    <n v="8.3000000000000007"/>
    <n v="7"/>
    <x v="3"/>
    <x v="21"/>
    <n v="7"/>
    <n v="41.325301204819276"/>
    <n v="12.397590361445783"/>
    <m/>
  </r>
  <r>
    <x v="2"/>
    <x v="9"/>
    <n v="7"/>
    <n v="8.3000000000000007"/>
    <n v="7"/>
    <x v="3"/>
    <x v="22"/>
    <n v="8"/>
    <n v="47.2289156626506"/>
    <n v="14.168674698795179"/>
    <m/>
  </r>
  <r>
    <x v="2"/>
    <x v="9"/>
    <n v="7"/>
    <n v="8.3000000000000007"/>
    <n v="7"/>
    <x v="3"/>
    <x v="23"/>
    <n v="8"/>
    <n v="47.2289156626506"/>
    <n v="14.168674698795179"/>
    <m/>
  </r>
  <r>
    <x v="2"/>
    <x v="10"/>
    <n v="6"/>
    <n v="3.9"/>
    <n v="7"/>
    <x v="0"/>
    <x v="0"/>
    <n v="7"/>
    <n v="75.384615384615387"/>
    <n v="22.615384615384617"/>
    <m/>
  </r>
  <r>
    <x v="2"/>
    <x v="10"/>
    <n v="6"/>
    <n v="3.9"/>
    <n v="7"/>
    <x v="0"/>
    <x v="1"/>
    <n v="8"/>
    <n v="86.15384615384616"/>
    <n v="25.846153846153847"/>
    <m/>
  </r>
  <r>
    <x v="2"/>
    <x v="10"/>
    <n v="6"/>
    <n v="3.9"/>
    <n v="7"/>
    <x v="0"/>
    <x v="2"/>
    <n v="6"/>
    <n v="64.615384615384613"/>
    <n v="19.384615384615383"/>
    <m/>
  </r>
  <r>
    <x v="2"/>
    <x v="10"/>
    <n v="6"/>
    <n v="3.9"/>
    <n v="7"/>
    <x v="0"/>
    <x v="3"/>
    <n v="8"/>
    <n v="86.15384615384616"/>
    <n v="25.846153846153847"/>
    <m/>
  </r>
  <r>
    <x v="2"/>
    <x v="10"/>
    <n v="6"/>
    <n v="3.9"/>
    <n v="7"/>
    <x v="0"/>
    <x v="4"/>
    <n v="8"/>
    <n v="86.15384615384616"/>
    <n v="25.846153846153847"/>
    <m/>
  </r>
  <r>
    <x v="2"/>
    <x v="10"/>
    <n v="6"/>
    <n v="3.9"/>
    <n v="7"/>
    <x v="0"/>
    <x v="5"/>
    <n v="2"/>
    <n v="21.53846153846154"/>
    <n v="6.4615384615384617"/>
    <m/>
  </r>
  <r>
    <x v="2"/>
    <x v="10"/>
    <n v="8"/>
    <n v="3.9"/>
    <n v="7"/>
    <x v="1"/>
    <x v="6"/>
    <n v="7"/>
    <n v="100.51282051282051"/>
    <n v="15.076923076923077"/>
    <m/>
  </r>
  <r>
    <x v="2"/>
    <x v="10"/>
    <n v="8"/>
    <n v="3.9"/>
    <n v="7"/>
    <x v="1"/>
    <x v="7"/>
    <n v="7"/>
    <n v="100.51282051282051"/>
    <n v="15.076923076923077"/>
    <m/>
  </r>
  <r>
    <x v="2"/>
    <x v="10"/>
    <n v="8"/>
    <n v="3.9"/>
    <n v="7"/>
    <x v="1"/>
    <x v="8"/>
    <n v="8"/>
    <n v="114.87179487179488"/>
    <n v="17.23076923076923"/>
    <m/>
  </r>
  <r>
    <x v="2"/>
    <x v="10"/>
    <n v="8"/>
    <n v="3.9"/>
    <n v="7"/>
    <x v="1"/>
    <x v="9"/>
    <n v="7"/>
    <n v="100.51282051282051"/>
    <n v="15.076923076923077"/>
    <m/>
  </r>
  <r>
    <x v="2"/>
    <x v="10"/>
    <n v="8"/>
    <n v="3.9"/>
    <n v="7"/>
    <x v="1"/>
    <x v="10"/>
    <n v="8"/>
    <n v="114.87179487179488"/>
    <n v="17.23076923076923"/>
    <m/>
  </r>
  <r>
    <x v="2"/>
    <x v="10"/>
    <n v="8"/>
    <n v="3.9"/>
    <n v="7"/>
    <x v="1"/>
    <x v="11"/>
    <n v="3"/>
    <n v="43.07692307692308"/>
    <n v="6.4615384615384617"/>
    <m/>
  </r>
  <r>
    <x v="2"/>
    <x v="10"/>
    <n v="8"/>
    <n v="3.9"/>
    <n v="7"/>
    <x v="2"/>
    <x v="12"/>
    <n v="7"/>
    <n v="100.51282051282051"/>
    <n v="16"/>
    <m/>
  </r>
  <r>
    <x v="2"/>
    <x v="10"/>
    <n v="8"/>
    <n v="3.9"/>
    <n v="7"/>
    <x v="2"/>
    <x v="13"/>
    <n v="8"/>
    <n v="114.87179487179488"/>
    <n v="21"/>
    <m/>
  </r>
  <r>
    <x v="2"/>
    <x v="10"/>
    <n v="8"/>
    <n v="3.9"/>
    <n v="7"/>
    <x v="2"/>
    <x v="14"/>
    <n v="8"/>
    <n v="114.87179487179488"/>
    <n v="25"/>
    <m/>
  </r>
  <r>
    <x v="2"/>
    <x v="10"/>
    <n v="8"/>
    <n v="3.9"/>
    <n v="7"/>
    <x v="2"/>
    <x v="15"/>
    <n v="8"/>
    <n v="114.87179487179488"/>
    <n v="30"/>
    <m/>
  </r>
  <r>
    <x v="2"/>
    <x v="10"/>
    <n v="8"/>
    <n v="3.9"/>
    <n v="7"/>
    <x v="2"/>
    <x v="16"/>
    <n v="7"/>
    <n v="100.51282051282051"/>
    <n v="10"/>
    <m/>
  </r>
  <r>
    <x v="2"/>
    <x v="10"/>
    <n v="8"/>
    <n v="3.9"/>
    <n v="7"/>
    <x v="2"/>
    <x v="17"/>
    <n v="3"/>
    <n v="43.07692307692308"/>
    <n v="12.923076923076923"/>
    <m/>
  </r>
  <r>
    <x v="2"/>
    <x v="10"/>
    <n v="8"/>
    <n v="3.9"/>
    <n v="7"/>
    <x v="3"/>
    <x v="18"/>
    <n v="8"/>
    <n v="114.87179487179488"/>
    <n v="34.46153846153846"/>
    <m/>
  </r>
  <r>
    <x v="2"/>
    <x v="10"/>
    <n v="8"/>
    <n v="3.9"/>
    <n v="7"/>
    <x v="3"/>
    <x v="19"/>
    <n v="7"/>
    <n v="100.51282051282051"/>
    <n v="30.153846153846153"/>
    <m/>
  </r>
  <r>
    <x v="2"/>
    <x v="10"/>
    <n v="8"/>
    <n v="3.9"/>
    <n v="7"/>
    <x v="3"/>
    <x v="20"/>
    <n v="7"/>
    <n v="100.51282051282051"/>
    <n v="30.153846153846153"/>
    <m/>
  </r>
  <r>
    <x v="2"/>
    <x v="10"/>
    <n v="8"/>
    <n v="3.9"/>
    <n v="7"/>
    <x v="3"/>
    <x v="21"/>
    <n v="7"/>
    <n v="100.51282051282051"/>
    <n v="30.153846153846153"/>
    <m/>
  </r>
  <r>
    <x v="2"/>
    <x v="10"/>
    <n v="8"/>
    <n v="3.9"/>
    <n v="7"/>
    <x v="3"/>
    <x v="22"/>
    <n v="8"/>
    <n v="114.87179487179488"/>
    <n v="34.46153846153846"/>
    <m/>
  </r>
  <r>
    <x v="2"/>
    <x v="10"/>
    <n v="8"/>
    <n v="3.9"/>
    <n v="7"/>
    <x v="3"/>
    <x v="23"/>
    <n v="8"/>
    <n v="114.87179487179488"/>
    <n v="34.46153846153846"/>
    <m/>
  </r>
  <r>
    <x v="2"/>
    <x v="11"/>
    <n v="6"/>
    <n v="5.8"/>
    <n v="7"/>
    <x v="0"/>
    <x v="0"/>
    <n v="7"/>
    <n v="50.689655172413794"/>
    <n v="7.6034482758620685"/>
    <m/>
  </r>
  <r>
    <x v="2"/>
    <x v="11"/>
    <n v="6"/>
    <n v="5.8"/>
    <n v="7"/>
    <x v="0"/>
    <x v="1"/>
    <n v="8"/>
    <n v="57.931034482758619"/>
    <n v="8.6896551724137918"/>
    <m/>
  </r>
  <r>
    <x v="2"/>
    <x v="11"/>
    <n v="6"/>
    <n v="5.8"/>
    <n v="7"/>
    <x v="0"/>
    <x v="2"/>
    <n v="6"/>
    <n v="43.448275862068968"/>
    <n v="6.5172413793103452"/>
    <m/>
  </r>
  <r>
    <x v="2"/>
    <x v="11"/>
    <n v="6"/>
    <n v="5.8"/>
    <n v="7"/>
    <x v="0"/>
    <x v="3"/>
    <n v="8"/>
    <n v="57.931034482758619"/>
    <n v="8.6896551724137918"/>
    <m/>
  </r>
  <r>
    <x v="2"/>
    <x v="11"/>
    <n v="6"/>
    <n v="5.8"/>
    <n v="7"/>
    <x v="0"/>
    <x v="4"/>
    <n v="8"/>
    <n v="57.931034482758619"/>
    <n v="8.6896551724137918"/>
    <m/>
  </r>
  <r>
    <x v="2"/>
    <x v="11"/>
    <n v="6"/>
    <n v="5.8"/>
    <n v="7"/>
    <x v="0"/>
    <x v="5"/>
    <n v="2"/>
    <n v="14.482758620689655"/>
    <n v="2.172413793103448"/>
    <m/>
  </r>
  <r>
    <x v="2"/>
    <x v="11"/>
    <n v="6"/>
    <n v="5.8"/>
    <n v="7"/>
    <x v="1"/>
    <x v="6"/>
    <n v="7"/>
    <n v="50.689655172413794"/>
    <n v="7.6034482758620685"/>
    <m/>
  </r>
  <r>
    <x v="2"/>
    <x v="11"/>
    <n v="6"/>
    <n v="5.8"/>
    <n v="7"/>
    <x v="1"/>
    <x v="7"/>
    <n v="7"/>
    <n v="50.689655172413794"/>
    <n v="7.6034482758620685"/>
    <m/>
  </r>
  <r>
    <x v="2"/>
    <x v="11"/>
    <n v="6"/>
    <n v="5.8"/>
    <n v="7"/>
    <x v="1"/>
    <x v="8"/>
    <n v="8"/>
    <n v="57.931034482758619"/>
    <n v="8.6896551724137918"/>
    <m/>
  </r>
  <r>
    <x v="2"/>
    <x v="11"/>
    <n v="6"/>
    <n v="5.8"/>
    <n v="7"/>
    <x v="1"/>
    <x v="9"/>
    <n v="7"/>
    <n v="50.689655172413794"/>
    <n v="7.6034482758620685"/>
    <m/>
  </r>
  <r>
    <x v="2"/>
    <x v="11"/>
    <n v="6"/>
    <n v="5.8"/>
    <n v="7"/>
    <x v="1"/>
    <x v="10"/>
    <n v="8"/>
    <n v="57.931034482758619"/>
    <n v="8.6896551724137918"/>
    <m/>
  </r>
  <r>
    <x v="2"/>
    <x v="11"/>
    <n v="6"/>
    <n v="5.8"/>
    <n v="7"/>
    <x v="1"/>
    <x v="11"/>
    <n v="3"/>
    <n v="21.724137931034484"/>
    <n v="3.2586206896551726"/>
    <m/>
  </r>
  <r>
    <x v="2"/>
    <x v="11"/>
    <n v="6"/>
    <n v="5.8"/>
    <n v="7"/>
    <x v="2"/>
    <x v="12"/>
    <n v="7"/>
    <n v="50.689655172413794"/>
    <n v="7"/>
    <m/>
  </r>
  <r>
    <x v="2"/>
    <x v="11"/>
    <n v="6"/>
    <n v="5.8"/>
    <n v="7"/>
    <x v="2"/>
    <x v="13"/>
    <n v="8"/>
    <n v="57.931034482758619"/>
    <n v="6"/>
    <m/>
  </r>
  <r>
    <x v="2"/>
    <x v="11"/>
    <n v="6"/>
    <n v="5.8"/>
    <n v="7"/>
    <x v="2"/>
    <x v="14"/>
    <n v="8"/>
    <n v="57.931034482758619"/>
    <n v="7"/>
    <m/>
  </r>
  <r>
    <x v="2"/>
    <x v="11"/>
    <n v="6"/>
    <n v="5.8"/>
    <n v="7"/>
    <x v="2"/>
    <x v="15"/>
    <n v="8"/>
    <n v="57.931034482758619"/>
    <n v="13"/>
    <m/>
  </r>
  <r>
    <x v="2"/>
    <x v="11"/>
    <n v="6"/>
    <n v="5.8"/>
    <n v="7"/>
    <x v="2"/>
    <x v="16"/>
    <n v="7"/>
    <n v="50.689655172413794"/>
    <n v="5"/>
    <m/>
  </r>
  <r>
    <x v="2"/>
    <x v="11"/>
    <n v="6"/>
    <n v="5.8"/>
    <n v="7"/>
    <x v="2"/>
    <x v="17"/>
    <n v="3"/>
    <n v="21.724137931034484"/>
    <n v="3.2586206896551726"/>
    <m/>
  </r>
  <r>
    <x v="2"/>
    <x v="11"/>
    <n v="6"/>
    <n v="5.8"/>
    <n v="7"/>
    <x v="3"/>
    <x v="18"/>
    <n v="8"/>
    <n v="57.931034482758619"/>
    <n v="8.6896551724137918"/>
    <m/>
  </r>
  <r>
    <x v="2"/>
    <x v="11"/>
    <n v="6"/>
    <n v="5.8"/>
    <n v="7"/>
    <x v="3"/>
    <x v="19"/>
    <n v="7"/>
    <n v="50.689655172413794"/>
    <n v="7.6034482758620685"/>
    <m/>
  </r>
  <r>
    <x v="2"/>
    <x v="11"/>
    <n v="6"/>
    <n v="5.8"/>
    <n v="7"/>
    <x v="3"/>
    <x v="20"/>
    <n v="7"/>
    <n v="50.689655172413794"/>
    <n v="7.6034482758620685"/>
    <m/>
  </r>
  <r>
    <x v="2"/>
    <x v="11"/>
    <n v="6"/>
    <n v="5.8"/>
    <n v="7"/>
    <x v="3"/>
    <x v="21"/>
    <n v="7"/>
    <n v="50.689655172413794"/>
    <n v="7.6034482758620685"/>
    <m/>
  </r>
  <r>
    <x v="2"/>
    <x v="11"/>
    <n v="6"/>
    <n v="5.8"/>
    <n v="7"/>
    <x v="3"/>
    <x v="22"/>
    <n v="8"/>
    <n v="57.931034482758619"/>
    <n v="8.6896551724137918"/>
    <m/>
  </r>
  <r>
    <x v="2"/>
    <x v="11"/>
    <n v="6"/>
    <n v="5.8"/>
    <n v="7"/>
    <x v="3"/>
    <x v="23"/>
    <n v="8"/>
    <n v="57.931034482758619"/>
    <n v="8.6896551724137918"/>
    <m/>
  </r>
  <r>
    <x v="2"/>
    <x v="12"/>
    <n v="5"/>
    <n v="4.2"/>
    <n v="7"/>
    <x v="0"/>
    <x v="0"/>
    <n v="7"/>
    <n v="58.333333333333329"/>
    <n v="20.416666666666664"/>
    <m/>
  </r>
  <r>
    <x v="2"/>
    <x v="12"/>
    <n v="5"/>
    <n v="4.2"/>
    <n v="7"/>
    <x v="0"/>
    <x v="1"/>
    <n v="8"/>
    <n v="66.666666666666657"/>
    <n v="23.333333333333329"/>
    <m/>
  </r>
  <r>
    <x v="2"/>
    <x v="12"/>
    <n v="5"/>
    <n v="4.2"/>
    <n v="7"/>
    <x v="0"/>
    <x v="2"/>
    <n v="6"/>
    <n v="50"/>
    <n v="17.5"/>
    <m/>
  </r>
  <r>
    <x v="2"/>
    <x v="12"/>
    <n v="5"/>
    <n v="4.2"/>
    <n v="7"/>
    <x v="0"/>
    <x v="3"/>
    <n v="8"/>
    <n v="66.666666666666657"/>
    <n v="23.333333333333329"/>
    <m/>
  </r>
  <r>
    <x v="2"/>
    <x v="12"/>
    <n v="5"/>
    <n v="4.2"/>
    <n v="7"/>
    <x v="0"/>
    <x v="4"/>
    <n v="8"/>
    <n v="66.666666666666657"/>
    <n v="23.333333333333329"/>
    <m/>
  </r>
  <r>
    <x v="2"/>
    <x v="12"/>
    <n v="5"/>
    <n v="4.2"/>
    <n v="7"/>
    <x v="0"/>
    <x v="5"/>
    <n v="2"/>
    <n v="16.666666666666664"/>
    <n v="5.8333333333333321"/>
    <m/>
  </r>
  <r>
    <x v="2"/>
    <x v="12"/>
    <n v="6"/>
    <n v="4.2"/>
    <n v="7"/>
    <x v="1"/>
    <x v="6"/>
    <n v="7"/>
    <n v="70"/>
    <n v="10.5"/>
    <m/>
  </r>
  <r>
    <x v="2"/>
    <x v="12"/>
    <n v="6"/>
    <n v="4.2"/>
    <n v="7"/>
    <x v="1"/>
    <x v="7"/>
    <n v="7"/>
    <n v="70"/>
    <n v="10.5"/>
    <m/>
  </r>
  <r>
    <x v="2"/>
    <x v="12"/>
    <n v="6"/>
    <n v="4.2"/>
    <n v="7"/>
    <x v="1"/>
    <x v="8"/>
    <n v="8"/>
    <n v="80"/>
    <n v="12"/>
    <m/>
  </r>
  <r>
    <x v="2"/>
    <x v="12"/>
    <n v="6"/>
    <n v="4.2"/>
    <n v="7"/>
    <x v="1"/>
    <x v="9"/>
    <n v="7"/>
    <n v="70"/>
    <n v="10.5"/>
    <m/>
  </r>
  <r>
    <x v="2"/>
    <x v="12"/>
    <n v="6"/>
    <n v="4.2"/>
    <n v="7"/>
    <x v="1"/>
    <x v="10"/>
    <n v="8"/>
    <n v="80"/>
    <n v="12"/>
    <m/>
  </r>
  <r>
    <x v="2"/>
    <x v="12"/>
    <n v="6"/>
    <n v="4.2"/>
    <n v="7"/>
    <x v="1"/>
    <x v="11"/>
    <n v="3"/>
    <n v="30"/>
    <n v="4.5"/>
    <m/>
  </r>
  <r>
    <x v="2"/>
    <x v="12"/>
    <n v="6"/>
    <n v="4.2"/>
    <n v="7"/>
    <x v="2"/>
    <x v="12"/>
    <n v="7"/>
    <n v="70"/>
    <n v="20"/>
    <m/>
  </r>
  <r>
    <x v="2"/>
    <x v="12"/>
    <n v="6"/>
    <n v="4.2"/>
    <n v="7"/>
    <x v="2"/>
    <x v="13"/>
    <n v="8"/>
    <n v="80"/>
    <n v="23"/>
    <m/>
  </r>
  <r>
    <x v="2"/>
    <x v="12"/>
    <n v="6"/>
    <n v="4.2"/>
    <n v="7"/>
    <x v="2"/>
    <x v="14"/>
    <n v="8"/>
    <n v="80"/>
    <n v="23"/>
    <m/>
  </r>
  <r>
    <x v="2"/>
    <x v="12"/>
    <n v="6"/>
    <n v="4.2"/>
    <n v="7"/>
    <x v="2"/>
    <x v="15"/>
    <n v="8"/>
    <n v="80"/>
    <n v="37"/>
    <m/>
  </r>
  <r>
    <x v="2"/>
    <x v="12"/>
    <n v="6"/>
    <n v="4.2"/>
    <n v="7"/>
    <x v="2"/>
    <x v="16"/>
    <n v="7"/>
    <n v="70"/>
    <n v="9"/>
    <m/>
  </r>
  <r>
    <x v="2"/>
    <x v="12"/>
    <n v="6"/>
    <n v="4.2"/>
    <n v="7"/>
    <x v="2"/>
    <x v="17"/>
    <n v="3"/>
    <n v="30"/>
    <n v="10.5"/>
    <m/>
  </r>
  <r>
    <x v="2"/>
    <x v="12"/>
    <n v="6"/>
    <n v="4.2"/>
    <n v="7"/>
    <x v="3"/>
    <x v="18"/>
    <n v="8"/>
    <n v="80"/>
    <n v="28"/>
    <m/>
  </r>
  <r>
    <x v="2"/>
    <x v="12"/>
    <n v="6"/>
    <n v="4.2"/>
    <n v="7"/>
    <x v="3"/>
    <x v="19"/>
    <n v="7"/>
    <n v="70"/>
    <n v="24.5"/>
    <m/>
  </r>
  <r>
    <x v="2"/>
    <x v="12"/>
    <n v="6"/>
    <n v="4.2"/>
    <n v="7"/>
    <x v="3"/>
    <x v="20"/>
    <n v="7"/>
    <n v="70"/>
    <n v="24.5"/>
    <m/>
  </r>
  <r>
    <x v="2"/>
    <x v="12"/>
    <n v="6"/>
    <n v="4.2"/>
    <n v="7"/>
    <x v="3"/>
    <x v="21"/>
    <n v="7"/>
    <n v="70"/>
    <n v="24.5"/>
    <m/>
  </r>
  <r>
    <x v="2"/>
    <x v="12"/>
    <n v="6"/>
    <n v="4.2"/>
    <n v="7"/>
    <x v="3"/>
    <x v="22"/>
    <n v="8"/>
    <n v="80"/>
    <n v="28"/>
    <m/>
  </r>
  <r>
    <x v="2"/>
    <x v="12"/>
    <n v="6"/>
    <n v="4.2"/>
    <n v="7"/>
    <x v="3"/>
    <x v="23"/>
    <n v="8"/>
    <n v="80"/>
    <n v="28"/>
    <m/>
  </r>
  <r>
    <x v="2"/>
    <x v="13"/>
    <n v="5"/>
    <n v="4.3"/>
    <n v="7"/>
    <x v="0"/>
    <x v="0"/>
    <n v="7"/>
    <n v="56.976744186046517"/>
    <n v="8.5465116279069768"/>
    <m/>
  </r>
  <r>
    <x v="2"/>
    <x v="13"/>
    <n v="5"/>
    <n v="4.3"/>
    <n v="7"/>
    <x v="0"/>
    <x v="1"/>
    <n v="8"/>
    <n v="65.116279069767444"/>
    <n v="9.7674418604651159"/>
    <m/>
  </r>
  <r>
    <x v="2"/>
    <x v="13"/>
    <n v="5"/>
    <n v="4.3"/>
    <n v="7"/>
    <x v="0"/>
    <x v="2"/>
    <n v="6"/>
    <n v="48.837209302325583"/>
    <n v="7.3255813953488369"/>
    <m/>
  </r>
  <r>
    <x v="2"/>
    <x v="13"/>
    <n v="5"/>
    <n v="4.3"/>
    <n v="7"/>
    <x v="0"/>
    <x v="3"/>
    <n v="8"/>
    <n v="65.116279069767444"/>
    <n v="9.7674418604651159"/>
    <m/>
  </r>
  <r>
    <x v="2"/>
    <x v="13"/>
    <n v="5"/>
    <n v="4.3"/>
    <n v="7"/>
    <x v="0"/>
    <x v="4"/>
    <n v="8"/>
    <n v="65.116279069767444"/>
    <n v="9.7674418604651159"/>
    <m/>
  </r>
  <r>
    <x v="2"/>
    <x v="13"/>
    <n v="5"/>
    <n v="4.3"/>
    <n v="7"/>
    <x v="0"/>
    <x v="5"/>
    <n v="2"/>
    <n v="16.279069767441861"/>
    <n v="2.441860465116279"/>
    <m/>
  </r>
  <r>
    <x v="2"/>
    <x v="13"/>
    <n v="7"/>
    <n v="4.3"/>
    <n v="7"/>
    <x v="1"/>
    <x v="6"/>
    <n v="7"/>
    <n v="79.767441860465127"/>
    <n v="11.965116279069768"/>
    <m/>
  </r>
  <r>
    <x v="2"/>
    <x v="13"/>
    <n v="7"/>
    <n v="4.3"/>
    <n v="7"/>
    <x v="1"/>
    <x v="7"/>
    <n v="7"/>
    <n v="79.767441860465127"/>
    <n v="11.965116279069768"/>
    <m/>
  </r>
  <r>
    <x v="2"/>
    <x v="13"/>
    <n v="7"/>
    <n v="4.3"/>
    <n v="7"/>
    <x v="1"/>
    <x v="8"/>
    <n v="8"/>
    <n v="91.162790697674424"/>
    <n v="13.674418604651164"/>
    <m/>
  </r>
  <r>
    <x v="2"/>
    <x v="13"/>
    <n v="7"/>
    <n v="4.3"/>
    <n v="7"/>
    <x v="1"/>
    <x v="9"/>
    <n v="7"/>
    <n v="79.767441860465127"/>
    <n v="11.965116279069768"/>
    <m/>
  </r>
  <r>
    <x v="2"/>
    <x v="13"/>
    <n v="7"/>
    <n v="4.3"/>
    <n v="7"/>
    <x v="1"/>
    <x v="10"/>
    <n v="8"/>
    <n v="91.162790697674424"/>
    <n v="13.674418604651164"/>
    <m/>
  </r>
  <r>
    <x v="2"/>
    <x v="13"/>
    <n v="7"/>
    <n v="4.3"/>
    <n v="7"/>
    <x v="1"/>
    <x v="11"/>
    <n v="3"/>
    <n v="34.186046511627907"/>
    <n v="5.1279069767441863"/>
    <m/>
  </r>
  <r>
    <x v="2"/>
    <x v="13"/>
    <n v="7"/>
    <n v="4.3"/>
    <n v="7"/>
    <x v="2"/>
    <x v="12"/>
    <n v="7"/>
    <n v="79.767441860465127"/>
    <n v="11.965116279069768"/>
    <m/>
  </r>
  <r>
    <x v="2"/>
    <x v="13"/>
    <n v="7"/>
    <n v="4.3"/>
    <n v="7"/>
    <x v="2"/>
    <x v="13"/>
    <n v="8"/>
    <n v="91.162790697674424"/>
    <n v="13.674418604651164"/>
    <m/>
  </r>
  <r>
    <x v="2"/>
    <x v="13"/>
    <n v="7"/>
    <n v="4.3"/>
    <n v="7"/>
    <x v="2"/>
    <x v="14"/>
    <n v="8"/>
    <n v="91.162790697674424"/>
    <n v="5"/>
    <m/>
  </r>
  <r>
    <x v="2"/>
    <x v="13"/>
    <n v="7"/>
    <n v="4.3"/>
    <n v="7"/>
    <x v="2"/>
    <x v="15"/>
    <n v="8"/>
    <n v="91.162790697674424"/>
    <n v="8"/>
    <m/>
  </r>
  <r>
    <x v="2"/>
    <x v="13"/>
    <n v="7"/>
    <n v="4.3"/>
    <n v="7"/>
    <x v="2"/>
    <x v="16"/>
    <n v="7"/>
    <n v="79.767441860465127"/>
    <n v="15"/>
    <m/>
  </r>
  <r>
    <x v="2"/>
    <x v="13"/>
    <n v="7"/>
    <n v="4.3"/>
    <n v="7"/>
    <x v="2"/>
    <x v="17"/>
    <n v="3"/>
    <n v="34.186046511627907"/>
    <n v="4"/>
    <m/>
  </r>
  <r>
    <x v="2"/>
    <x v="13"/>
    <n v="7"/>
    <n v="4.3"/>
    <n v="7"/>
    <x v="3"/>
    <x v="18"/>
    <n v="8"/>
    <n v="91.162790697674424"/>
    <n v="13.674418604651164"/>
    <m/>
  </r>
  <r>
    <x v="2"/>
    <x v="13"/>
    <n v="7"/>
    <n v="4.3"/>
    <n v="7"/>
    <x v="3"/>
    <x v="19"/>
    <n v="7"/>
    <n v="79.767441860465127"/>
    <n v="11.965116279069768"/>
    <m/>
  </r>
  <r>
    <x v="2"/>
    <x v="13"/>
    <n v="7"/>
    <n v="4.3"/>
    <n v="7"/>
    <x v="3"/>
    <x v="20"/>
    <n v="7"/>
    <n v="79.767441860465127"/>
    <n v="11.965116279069768"/>
    <m/>
  </r>
  <r>
    <x v="2"/>
    <x v="13"/>
    <n v="7"/>
    <n v="4.3"/>
    <n v="7"/>
    <x v="3"/>
    <x v="21"/>
    <n v="7"/>
    <n v="79.767441860465127"/>
    <n v="11.965116279069768"/>
    <m/>
  </r>
  <r>
    <x v="2"/>
    <x v="13"/>
    <n v="7"/>
    <n v="4.3"/>
    <n v="7"/>
    <x v="3"/>
    <x v="22"/>
    <n v="8"/>
    <n v="91.162790697674424"/>
    <n v="13.674418604651164"/>
    <m/>
  </r>
  <r>
    <x v="2"/>
    <x v="13"/>
    <n v="7"/>
    <n v="4.3"/>
    <n v="7"/>
    <x v="3"/>
    <x v="23"/>
    <n v="8"/>
    <n v="91.162790697674424"/>
    <n v="13.674418604651164"/>
    <m/>
  </r>
  <r>
    <x v="2"/>
    <x v="14"/>
    <n v="5"/>
    <n v="5.2"/>
    <n v="7"/>
    <x v="0"/>
    <x v="0"/>
    <n v="7"/>
    <n v="47.115384615384613"/>
    <n v="7.0673076923076916"/>
    <m/>
  </r>
  <r>
    <x v="2"/>
    <x v="14"/>
    <n v="5"/>
    <n v="5.2"/>
    <n v="7"/>
    <x v="0"/>
    <x v="1"/>
    <n v="8"/>
    <n v="53.846153846153847"/>
    <n v="16.153846153846153"/>
    <m/>
  </r>
  <r>
    <x v="2"/>
    <x v="14"/>
    <n v="5"/>
    <n v="5.2"/>
    <n v="7"/>
    <x v="0"/>
    <x v="2"/>
    <n v="6"/>
    <n v="40.38461538461538"/>
    <n v="12.115384615384613"/>
    <m/>
  </r>
  <r>
    <x v="2"/>
    <x v="14"/>
    <n v="5"/>
    <n v="5.2"/>
    <n v="7"/>
    <x v="0"/>
    <x v="3"/>
    <n v="8"/>
    <n v="53.846153846153847"/>
    <n v="16.153846153846153"/>
    <m/>
  </r>
  <r>
    <x v="2"/>
    <x v="14"/>
    <n v="5"/>
    <n v="5.2"/>
    <n v="7"/>
    <x v="0"/>
    <x v="4"/>
    <n v="8"/>
    <n v="53.846153846153847"/>
    <n v="16.153846153846153"/>
    <m/>
  </r>
  <r>
    <x v="2"/>
    <x v="14"/>
    <n v="5"/>
    <n v="5.2"/>
    <n v="7"/>
    <x v="0"/>
    <x v="5"/>
    <n v="2"/>
    <n v="13.461538461538462"/>
    <n v="4.0384615384615383"/>
    <m/>
  </r>
  <r>
    <x v="2"/>
    <x v="14"/>
    <n v="6"/>
    <n v="5.2"/>
    <n v="7"/>
    <x v="1"/>
    <x v="6"/>
    <n v="7"/>
    <n v="56.538461538461533"/>
    <n v="16.96153846153846"/>
    <m/>
  </r>
  <r>
    <x v="2"/>
    <x v="14"/>
    <n v="6"/>
    <n v="5.2"/>
    <n v="7"/>
    <x v="1"/>
    <x v="7"/>
    <n v="7"/>
    <n v="56.538461538461533"/>
    <n v="11.307692307692307"/>
    <m/>
  </r>
  <r>
    <x v="2"/>
    <x v="14"/>
    <n v="6"/>
    <n v="5.2"/>
    <n v="7"/>
    <x v="1"/>
    <x v="8"/>
    <n v="8"/>
    <n v="64.615384615384613"/>
    <n v="12.923076923076923"/>
    <m/>
  </r>
  <r>
    <x v="2"/>
    <x v="14"/>
    <n v="6"/>
    <n v="5.2"/>
    <n v="7"/>
    <x v="1"/>
    <x v="9"/>
    <n v="7"/>
    <n v="56.538461538461533"/>
    <n v="11.307692307692307"/>
    <m/>
  </r>
  <r>
    <x v="2"/>
    <x v="14"/>
    <n v="6"/>
    <n v="5.2"/>
    <n v="7"/>
    <x v="1"/>
    <x v="10"/>
    <n v="8"/>
    <n v="64.615384615384613"/>
    <n v="12.923076923076923"/>
    <m/>
  </r>
  <r>
    <x v="2"/>
    <x v="14"/>
    <n v="6"/>
    <n v="5.2"/>
    <n v="7"/>
    <x v="1"/>
    <x v="11"/>
    <n v="3"/>
    <n v="24.23076923076923"/>
    <n v="4.8461538461538467"/>
    <m/>
  </r>
  <r>
    <x v="2"/>
    <x v="14"/>
    <n v="6"/>
    <n v="5.2"/>
    <n v="7"/>
    <x v="2"/>
    <x v="12"/>
    <n v="7"/>
    <n v="56.538461538461533"/>
    <n v="11.307692307692307"/>
    <m/>
  </r>
  <r>
    <x v="2"/>
    <x v="14"/>
    <n v="6"/>
    <n v="5.2"/>
    <n v="7"/>
    <x v="2"/>
    <x v="13"/>
    <n v="8"/>
    <n v="64.615384615384613"/>
    <n v="19.384615384615383"/>
    <m/>
  </r>
  <r>
    <x v="2"/>
    <x v="14"/>
    <n v="6"/>
    <n v="5.2"/>
    <n v="7"/>
    <x v="2"/>
    <x v="14"/>
    <n v="8"/>
    <n v="64.615384615384613"/>
    <n v="19.384615384615383"/>
    <m/>
  </r>
  <r>
    <x v="2"/>
    <x v="14"/>
    <n v="6"/>
    <n v="5.2"/>
    <n v="7"/>
    <x v="2"/>
    <x v="15"/>
    <n v="8"/>
    <n v="64.615384615384613"/>
    <n v="19.384615384615383"/>
    <m/>
  </r>
  <r>
    <x v="2"/>
    <x v="14"/>
    <n v="6"/>
    <n v="5.2"/>
    <n v="7"/>
    <x v="2"/>
    <x v="16"/>
    <n v="7"/>
    <n v="56.538461538461533"/>
    <n v="16.96153846153846"/>
    <m/>
  </r>
  <r>
    <x v="2"/>
    <x v="14"/>
    <n v="6"/>
    <n v="5.2"/>
    <n v="7"/>
    <x v="2"/>
    <x v="17"/>
    <n v="3"/>
    <n v="24.23076923076923"/>
    <n v="7.2692307692307683"/>
    <m/>
  </r>
  <r>
    <x v="2"/>
    <x v="14"/>
    <n v="6"/>
    <n v="5.2"/>
    <n v="7"/>
    <x v="3"/>
    <x v="18"/>
    <n v="8"/>
    <n v="64.615384615384613"/>
    <n v="19.384615384615383"/>
    <m/>
  </r>
  <r>
    <x v="2"/>
    <x v="14"/>
    <n v="6"/>
    <n v="5.2"/>
    <n v="7"/>
    <x v="3"/>
    <x v="19"/>
    <n v="7"/>
    <n v="56.538461538461533"/>
    <n v="16.96153846153846"/>
    <m/>
  </r>
  <r>
    <x v="2"/>
    <x v="14"/>
    <n v="6"/>
    <n v="5.2"/>
    <n v="7"/>
    <x v="3"/>
    <x v="20"/>
    <n v="7"/>
    <n v="56.538461538461533"/>
    <n v="16.96153846153846"/>
    <m/>
  </r>
  <r>
    <x v="2"/>
    <x v="14"/>
    <n v="6"/>
    <n v="5.2"/>
    <n v="7"/>
    <x v="3"/>
    <x v="21"/>
    <n v="7"/>
    <n v="56.538461538461533"/>
    <n v="16.96153846153846"/>
    <m/>
  </r>
  <r>
    <x v="2"/>
    <x v="14"/>
    <n v="6"/>
    <n v="5.2"/>
    <n v="7"/>
    <x v="3"/>
    <x v="22"/>
    <n v="8"/>
    <n v="64.615384615384613"/>
    <n v="19.384615384615383"/>
    <m/>
  </r>
  <r>
    <x v="2"/>
    <x v="14"/>
    <n v="6"/>
    <n v="5.2"/>
    <n v="7"/>
    <x v="3"/>
    <x v="23"/>
    <n v="8"/>
    <n v="64.615384615384613"/>
    <n v="2"/>
    <m/>
  </r>
  <r>
    <x v="3"/>
    <x v="15"/>
    <n v="4"/>
    <n v="4"/>
    <n v="7"/>
    <x v="3"/>
    <x v="0"/>
    <n v="7"/>
    <n v="49"/>
    <n v="16.66"/>
    <m/>
  </r>
  <r>
    <x v="3"/>
    <x v="15"/>
    <n v="4"/>
    <n v="4"/>
    <n v="7"/>
    <x v="0"/>
    <x v="0"/>
    <n v="7"/>
    <n v="49"/>
    <n v="16.66"/>
    <m/>
  </r>
  <r>
    <x v="3"/>
    <x v="15"/>
    <n v="4"/>
    <n v="4"/>
    <n v="7"/>
    <x v="0"/>
    <x v="0"/>
    <n v="7"/>
    <n v="49"/>
    <n v="16.66"/>
    <m/>
  </r>
  <r>
    <x v="3"/>
    <x v="15"/>
    <n v="4"/>
    <n v="4"/>
    <n v="7"/>
    <x v="0"/>
    <x v="0"/>
    <n v="7"/>
    <n v="49"/>
    <n v="16.66"/>
    <m/>
  </r>
  <r>
    <x v="3"/>
    <x v="15"/>
    <n v="4"/>
    <n v="4"/>
    <n v="7"/>
    <x v="0"/>
    <x v="0"/>
    <n v="7"/>
    <n v="49"/>
    <n v="16.66"/>
    <m/>
  </r>
  <r>
    <x v="3"/>
    <x v="15"/>
    <n v="4"/>
    <n v="4"/>
    <n v="7"/>
    <x v="0"/>
    <x v="0"/>
    <n v="7"/>
    <n v="49"/>
    <n v="16.66"/>
    <m/>
  </r>
  <r>
    <x v="3"/>
    <x v="15"/>
    <n v="4"/>
    <n v="5.07"/>
    <n v="7"/>
    <x v="0"/>
    <x v="0"/>
    <n v="7"/>
    <n v="38.658777120315577"/>
    <n v="13.143984220907297"/>
    <m/>
  </r>
  <r>
    <x v="3"/>
    <x v="15"/>
    <n v="4"/>
    <n v="5.07"/>
    <n v="7"/>
    <x v="0"/>
    <x v="0"/>
    <n v="7"/>
    <n v="38.658777120315577"/>
    <n v="13.143984220907297"/>
    <m/>
  </r>
  <r>
    <x v="3"/>
    <x v="15"/>
    <n v="4"/>
    <n v="5.07"/>
    <n v="7"/>
    <x v="0"/>
    <x v="0"/>
    <n v="7"/>
    <n v="38.658777120315577"/>
    <n v="13.143984220907297"/>
    <m/>
  </r>
  <r>
    <x v="3"/>
    <x v="15"/>
    <n v="4"/>
    <n v="5.07"/>
    <n v="7"/>
    <x v="0"/>
    <x v="0"/>
    <n v="7"/>
    <n v="38.658777120315577"/>
    <n v="13.143984220907297"/>
    <m/>
  </r>
  <r>
    <x v="3"/>
    <x v="15"/>
    <n v="4"/>
    <n v="5.07"/>
    <n v="7"/>
    <x v="0"/>
    <x v="0"/>
    <n v="7"/>
    <n v="38.658777120315577"/>
    <n v="13.143984220907297"/>
    <m/>
  </r>
  <r>
    <x v="3"/>
    <x v="15"/>
    <n v="4"/>
    <n v="5.07"/>
    <n v="7"/>
    <x v="0"/>
    <x v="0"/>
    <n v="7"/>
    <n v="38.658777120315577"/>
    <n v="13.143984220907297"/>
    <m/>
  </r>
  <r>
    <x v="3"/>
    <x v="15"/>
    <n v="2"/>
    <n v="6.1"/>
    <n v="7"/>
    <x v="0"/>
    <x v="0"/>
    <n v="7"/>
    <n v="16.065573770491802"/>
    <n v="7"/>
    <m/>
  </r>
  <r>
    <x v="3"/>
    <x v="15"/>
    <n v="2"/>
    <n v="6.1"/>
    <n v="7"/>
    <x v="0"/>
    <x v="0"/>
    <n v="7"/>
    <n v="16.065573770491802"/>
    <n v="8"/>
    <m/>
  </r>
  <r>
    <x v="3"/>
    <x v="15"/>
    <n v="3.5"/>
    <n v="6.1"/>
    <n v="7"/>
    <x v="0"/>
    <x v="0"/>
    <n v="7"/>
    <n v="28.114754098360656"/>
    <n v="9"/>
    <m/>
  </r>
  <r>
    <x v="3"/>
    <x v="15"/>
    <n v="3.5"/>
    <n v="6.1"/>
    <n v="7"/>
    <x v="0"/>
    <x v="0"/>
    <n v="7"/>
    <n v="28.114754098360656"/>
    <n v="11"/>
    <m/>
  </r>
  <r>
    <x v="3"/>
    <x v="15"/>
    <n v="3.5"/>
    <n v="6.1"/>
    <n v="7"/>
    <x v="0"/>
    <x v="0"/>
    <n v="7"/>
    <n v="28.114754098360656"/>
    <n v="5"/>
    <m/>
  </r>
  <r>
    <x v="3"/>
    <x v="15"/>
    <n v="4"/>
    <n v="6.1"/>
    <n v="7"/>
    <x v="0"/>
    <x v="0"/>
    <n v="7"/>
    <n v="32.131147540983605"/>
    <n v="10.924590163934427"/>
    <m/>
  </r>
  <r>
    <x v="3"/>
    <x v="15"/>
    <n v="4"/>
    <n v="6.1"/>
    <n v="7"/>
    <x v="0"/>
    <x v="0"/>
    <n v="7"/>
    <n v="32.131147540983605"/>
    <n v="10.924590163934427"/>
    <m/>
  </r>
  <r>
    <x v="3"/>
    <x v="15"/>
    <n v="4"/>
    <n v="6.1"/>
    <n v="7"/>
    <x v="0"/>
    <x v="0"/>
    <n v="7"/>
    <n v="32.131147540983605"/>
    <n v="10.924590163934427"/>
    <m/>
  </r>
  <r>
    <x v="3"/>
    <x v="15"/>
    <n v="3.5"/>
    <n v="6.1"/>
    <n v="7"/>
    <x v="0"/>
    <x v="0"/>
    <n v="7"/>
    <n v="28.114754098360656"/>
    <n v="9.559016393442624"/>
    <m/>
  </r>
  <r>
    <x v="3"/>
    <x v="15"/>
    <n v="2.5"/>
    <n v="6.1"/>
    <n v="7"/>
    <x v="0"/>
    <x v="0"/>
    <n v="7"/>
    <n v="20.081967213114755"/>
    <n v="6.8278688524590168"/>
    <m/>
  </r>
  <r>
    <x v="3"/>
    <x v="15"/>
    <n v="4"/>
    <n v="6.1"/>
    <n v="7"/>
    <x v="0"/>
    <x v="0"/>
    <n v="7"/>
    <n v="32.131147540983605"/>
    <n v="10.924590163934427"/>
    <m/>
  </r>
  <r>
    <x v="3"/>
    <x v="16"/>
    <n v="4"/>
    <n v="6.4"/>
    <n v="7"/>
    <x v="0"/>
    <x v="0"/>
    <n v="7"/>
    <n v="30.625"/>
    <n v="5.5125000000000002"/>
    <m/>
  </r>
  <r>
    <x v="3"/>
    <x v="16"/>
    <n v="4"/>
    <n v="6.4"/>
    <n v="7"/>
    <x v="0"/>
    <x v="0"/>
    <n v="7"/>
    <n v="30.625"/>
    <n v="5.5125000000000002"/>
    <m/>
  </r>
  <r>
    <x v="3"/>
    <x v="16"/>
    <n v="4"/>
    <n v="6.4"/>
    <n v="7"/>
    <x v="0"/>
    <x v="0"/>
    <n v="7"/>
    <n v="30.625"/>
    <n v="5.5125000000000002"/>
    <m/>
  </r>
  <r>
    <x v="3"/>
    <x v="16"/>
    <n v="4"/>
    <n v="6.4"/>
    <n v="7"/>
    <x v="0"/>
    <x v="0"/>
    <n v="7"/>
    <n v="30.625"/>
    <n v="5.5125000000000002"/>
    <m/>
  </r>
  <r>
    <x v="3"/>
    <x v="16"/>
    <n v="4"/>
    <n v="6.4"/>
    <n v="7"/>
    <x v="0"/>
    <x v="0"/>
    <n v="7"/>
    <n v="30.625"/>
    <n v="5.5125000000000002"/>
    <m/>
  </r>
  <r>
    <x v="3"/>
    <x v="16"/>
    <n v="4"/>
    <n v="6.4"/>
    <n v="7"/>
    <x v="0"/>
    <x v="0"/>
    <n v="7"/>
    <n v="30.625"/>
    <n v="5.5125000000000002"/>
    <m/>
  </r>
  <r>
    <x v="3"/>
    <x v="16"/>
    <n v="4"/>
    <n v="6.91"/>
    <n v="7"/>
    <x v="0"/>
    <x v="0"/>
    <n v="7"/>
    <n v="28.364688856729376"/>
    <n v="5.1056439942112872"/>
    <m/>
  </r>
  <r>
    <x v="3"/>
    <x v="16"/>
    <n v="4"/>
    <n v="6.91"/>
    <n v="7"/>
    <x v="0"/>
    <x v="0"/>
    <n v="7"/>
    <n v="28.364688856729376"/>
    <n v="5.1056439942112872"/>
    <m/>
  </r>
  <r>
    <x v="3"/>
    <x v="16"/>
    <n v="4"/>
    <n v="6.91"/>
    <n v="7"/>
    <x v="0"/>
    <x v="0"/>
    <n v="7"/>
    <n v="28.364688856729376"/>
    <n v="5.1056439942112872"/>
    <m/>
  </r>
  <r>
    <x v="3"/>
    <x v="16"/>
    <n v="4"/>
    <n v="6.91"/>
    <n v="7"/>
    <x v="0"/>
    <x v="0"/>
    <n v="7"/>
    <n v="28.364688856729376"/>
    <n v="5.1056439942112872"/>
    <m/>
  </r>
  <r>
    <x v="3"/>
    <x v="16"/>
    <n v="4"/>
    <n v="6.91"/>
    <n v="7"/>
    <x v="0"/>
    <x v="0"/>
    <n v="7"/>
    <n v="28.364688856729376"/>
    <n v="5.1056439942112872"/>
    <m/>
  </r>
  <r>
    <x v="3"/>
    <x v="16"/>
    <n v="4"/>
    <n v="6.91"/>
    <n v="7"/>
    <x v="0"/>
    <x v="0"/>
    <n v="7"/>
    <n v="28.364688856729376"/>
    <n v="5.1056439942112872"/>
    <m/>
  </r>
  <r>
    <x v="3"/>
    <x v="16"/>
    <n v="3"/>
    <n v="5.5"/>
    <n v="7"/>
    <x v="0"/>
    <x v="0"/>
    <n v="7"/>
    <n v="26.727272727272727"/>
    <n v="3"/>
    <m/>
  </r>
  <r>
    <x v="3"/>
    <x v="16"/>
    <n v="3"/>
    <n v="5.5"/>
    <n v="7"/>
    <x v="0"/>
    <x v="0"/>
    <n v="7"/>
    <n v="26.727272727272727"/>
    <n v="3"/>
    <m/>
  </r>
  <r>
    <x v="3"/>
    <x v="16"/>
    <n v="4"/>
    <n v="5.5"/>
    <n v="7"/>
    <x v="0"/>
    <x v="0"/>
    <n v="7"/>
    <n v="35.636363636363633"/>
    <n v="3"/>
    <m/>
  </r>
  <r>
    <x v="3"/>
    <x v="16"/>
    <n v="4"/>
    <n v="5.5"/>
    <n v="7"/>
    <x v="0"/>
    <x v="0"/>
    <n v="7"/>
    <n v="35.636363636363633"/>
    <n v="4"/>
    <m/>
  </r>
  <r>
    <x v="3"/>
    <x v="16"/>
    <n v="3"/>
    <n v="5.5"/>
    <n v="7"/>
    <x v="0"/>
    <x v="0"/>
    <n v="7"/>
    <n v="26.727272727272727"/>
    <n v="1"/>
    <m/>
  </r>
  <r>
    <x v="3"/>
    <x v="16"/>
    <n v="4"/>
    <n v="5.5"/>
    <n v="7"/>
    <x v="0"/>
    <x v="0"/>
    <n v="7"/>
    <n v="35.636363636363633"/>
    <n v="6.4145454545454541"/>
    <m/>
  </r>
  <r>
    <x v="3"/>
    <x v="16"/>
    <n v="4"/>
    <n v="5.5"/>
    <n v="7"/>
    <x v="0"/>
    <x v="0"/>
    <n v="7"/>
    <n v="35.636363636363633"/>
    <n v="6.4145454545454541"/>
    <m/>
  </r>
  <r>
    <x v="3"/>
    <x v="16"/>
    <n v="3.5"/>
    <n v="5.5"/>
    <n v="7"/>
    <x v="0"/>
    <x v="0"/>
    <n v="7"/>
    <n v="31.181818181818183"/>
    <n v="5.6127272727272732"/>
    <m/>
  </r>
  <r>
    <x v="3"/>
    <x v="16"/>
    <n v="4"/>
    <n v="5.5"/>
    <n v="7"/>
    <x v="0"/>
    <x v="0"/>
    <n v="7"/>
    <n v="35.636363636363633"/>
    <n v="6.4145454545454541"/>
    <m/>
  </r>
  <r>
    <x v="3"/>
    <x v="16"/>
    <n v="4"/>
    <n v="5.5"/>
    <n v="7"/>
    <x v="0"/>
    <x v="0"/>
    <n v="7"/>
    <n v="35.636363636363633"/>
    <n v="6.4145454545454541"/>
    <m/>
  </r>
  <r>
    <x v="3"/>
    <x v="16"/>
    <n v="4"/>
    <n v="5.5"/>
    <n v="7"/>
    <x v="0"/>
    <x v="0"/>
    <n v="7"/>
    <n v="35.636363636363633"/>
    <n v="6.4145454545454541"/>
    <m/>
  </r>
  <r>
    <x v="3"/>
    <x v="17"/>
    <n v="4"/>
    <n v="5"/>
    <n v="7"/>
    <x v="0"/>
    <x v="0"/>
    <n v="7"/>
    <n v="39.200000000000003"/>
    <n v="14.896000000000001"/>
    <m/>
  </r>
  <r>
    <x v="3"/>
    <x v="17"/>
    <n v="4"/>
    <n v="5"/>
    <n v="7"/>
    <x v="0"/>
    <x v="0"/>
    <n v="7"/>
    <n v="39.200000000000003"/>
    <n v="14.896000000000001"/>
    <m/>
  </r>
  <r>
    <x v="3"/>
    <x v="17"/>
    <n v="4"/>
    <n v="5"/>
    <n v="7"/>
    <x v="0"/>
    <x v="0"/>
    <n v="7"/>
    <n v="39.200000000000003"/>
    <n v="14.896000000000001"/>
    <m/>
  </r>
  <r>
    <x v="3"/>
    <x v="17"/>
    <n v="4"/>
    <n v="5"/>
    <n v="7"/>
    <x v="0"/>
    <x v="0"/>
    <n v="7"/>
    <n v="39.200000000000003"/>
    <n v="14.896000000000001"/>
    <m/>
  </r>
  <r>
    <x v="3"/>
    <x v="17"/>
    <n v="4"/>
    <n v="5"/>
    <n v="7"/>
    <x v="0"/>
    <x v="0"/>
    <n v="7"/>
    <n v="39.200000000000003"/>
    <n v="14.896000000000001"/>
    <m/>
  </r>
  <r>
    <x v="3"/>
    <x v="17"/>
    <n v="4"/>
    <n v="5"/>
    <n v="7"/>
    <x v="0"/>
    <x v="0"/>
    <n v="7"/>
    <n v="39.200000000000003"/>
    <n v="14.896000000000001"/>
    <m/>
  </r>
  <r>
    <x v="3"/>
    <x v="17"/>
    <n v="3"/>
    <n v="5.65"/>
    <n v="7"/>
    <x v="0"/>
    <x v="0"/>
    <n v="7"/>
    <n v="26.017699115044245"/>
    <n v="9.8867256637168133"/>
    <m/>
  </r>
  <r>
    <x v="3"/>
    <x v="17"/>
    <n v="3"/>
    <n v="5.65"/>
    <n v="7"/>
    <x v="0"/>
    <x v="0"/>
    <n v="7"/>
    <n v="26.017699115044245"/>
    <n v="9.8867256637168133"/>
    <m/>
  </r>
  <r>
    <x v="3"/>
    <x v="17"/>
    <n v="3"/>
    <n v="5.65"/>
    <n v="7"/>
    <x v="0"/>
    <x v="0"/>
    <n v="7"/>
    <n v="26.017699115044245"/>
    <n v="9.8867256637168133"/>
    <m/>
  </r>
  <r>
    <x v="3"/>
    <x v="17"/>
    <n v="3"/>
    <n v="5.65"/>
    <n v="7"/>
    <x v="0"/>
    <x v="0"/>
    <n v="7"/>
    <n v="26.017699115044245"/>
    <n v="9.8867256637168133"/>
    <m/>
  </r>
  <r>
    <x v="3"/>
    <x v="17"/>
    <n v="3"/>
    <n v="5.65"/>
    <n v="7"/>
    <x v="0"/>
    <x v="0"/>
    <n v="7"/>
    <n v="26.017699115044245"/>
    <n v="9.8867256637168133"/>
    <m/>
  </r>
  <r>
    <x v="3"/>
    <x v="17"/>
    <n v="3"/>
    <n v="5.65"/>
    <n v="7"/>
    <x v="0"/>
    <x v="0"/>
    <n v="7"/>
    <n v="26.017699115044245"/>
    <n v="9.8867256637168133"/>
    <m/>
  </r>
  <r>
    <x v="3"/>
    <x v="18"/>
    <n v="6"/>
    <n v="6.8"/>
    <n v="7"/>
    <x v="0"/>
    <x v="0"/>
    <n v="7"/>
    <n v="43.235294117647058"/>
    <n v="21"/>
    <m/>
  </r>
  <r>
    <x v="3"/>
    <x v="18"/>
    <n v="6.5"/>
    <n v="6.8"/>
    <n v="7"/>
    <x v="0"/>
    <x v="0"/>
    <n v="7"/>
    <n v="46.838235294117645"/>
    <n v="21"/>
    <m/>
  </r>
  <r>
    <x v="3"/>
    <x v="18"/>
    <n v="6.3"/>
    <n v="6.8"/>
    <n v="7"/>
    <x v="0"/>
    <x v="0"/>
    <n v="7"/>
    <n v="45.397058823529413"/>
    <n v="21"/>
    <m/>
  </r>
  <r>
    <x v="3"/>
    <x v="18"/>
    <n v="6.4"/>
    <n v="6.8"/>
    <n v="7"/>
    <x v="0"/>
    <x v="0"/>
    <n v="7"/>
    <n v="46.117647058823536"/>
    <n v="21"/>
    <m/>
  </r>
  <r>
    <x v="3"/>
    <x v="18"/>
    <n v="7"/>
    <n v="6.8"/>
    <n v="7"/>
    <x v="0"/>
    <x v="0"/>
    <n v="7"/>
    <n v="50.441176470588239"/>
    <n v="18"/>
    <m/>
  </r>
  <r>
    <x v="3"/>
    <x v="18"/>
    <n v="7"/>
    <n v="6.8"/>
    <n v="7"/>
    <x v="0"/>
    <x v="0"/>
    <n v="7"/>
    <n v="50.441176470588239"/>
    <n v="19.16764705882353"/>
    <m/>
  </r>
  <r>
    <x v="3"/>
    <x v="18"/>
    <n v="7"/>
    <n v="6.8"/>
    <n v="7"/>
    <x v="0"/>
    <x v="0"/>
    <n v="7"/>
    <n v="50.441176470588239"/>
    <n v="19.16764705882353"/>
    <m/>
  </r>
  <r>
    <x v="3"/>
    <x v="18"/>
    <n v="7"/>
    <n v="6.8"/>
    <n v="7"/>
    <x v="0"/>
    <x v="0"/>
    <n v="7"/>
    <n v="50.441176470588239"/>
    <n v="19.16764705882353"/>
    <m/>
  </r>
  <r>
    <x v="3"/>
    <x v="18"/>
    <n v="7"/>
    <n v="6.8"/>
    <n v="7"/>
    <x v="0"/>
    <x v="0"/>
    <n v="7"/>
    <n v="50.441176470588239"/>
    <n v="19.16764705882353"/>
    <m/>
  </r>
  <r>
    <x v="3"/>
    <x v="18"/>
    <n v="7"/>
    <n v="6.8"/>
    <n v="7"/>
    <x v="0"/>
    <x v="0"/>
    <n v="7"/>
    <n v="50.441176470588239"/>
    <n v="19.16764705882353"/>
    <m/>
  </r>
  <r>
    <x v="3"/>
    <x v="18"/>
    <n v="7"/>
    <n v="6.8"/>
    <n v="7"/>
    <x v="0"/>
    <x v="0"/>
    <n v="7"/>
    <n v="50.441176470588239"/>
    <n v="19.16764705882353"/>
    <m/>
  </r>
  <r>
    <x v="3"/>
    <x v="19"/>
    <n v="3"/>
    <n v="5"/>
    <n v="7"/>
    <x v="0"/>
    <x v="0"/>
    <n v="7"/>
    <n v="29.4"/>
    <n v="7.6440000000000001"/>
    <m/>
  </r>
  <r>
    <x v="3"/>
    <x v="19"/>
    <n v="3"/>
    <n v="5"/>
    <n v="7"/>
    <x v="0"/>
    <x v="0"/>
    <n v="7"/>
    <n v="29.4"/>
    <n v="7.6440000000000001"/>
    <m/>
  </r>
  <r>
    <x v="3"/>
    <x v="19"/>
    <n v="3"/>
    <n v="5"/>
    <n v="7"/>
    <x v="0"/>
    <x v="0"/>
    <n v="7"/>
    <n v="29.4"/>
    <n v="7.6440000000000001"/>
    <m/>
  </r>
  <r>
    <x v="3"/>
    <x v="19"/>
    <n v="3"/>
    <n v="5"/>
    <n v="7"/>
    <x v="0"/>
    <x v="0"/>
    <n v="7"/>
    <n v="29.4"/>
    <n v="7.6440000000000001"/>
    <m/>
  </r>
  <r>
    <x v="3"/>
    <x v="19"/>
    <n v="3"/>
    <n v="5"/>
    <n v="7"/>
    <x v="0"/>
    <x v="0"/>
    <n v="7"/>
    <n v="29.4"/>
    <n v="7.6440000000000001"/>
    <m/>
  </r>
  <r>
    <x v="3"/>
    <x v="19"/>
    <n v="3"/>
    <n v="5"/>
    <n v="7"/>
    <x v="0"/>
    <x v="0"/>
    <n v="7"/>
    <n v="29.4"/>
    <n v="7.6440000000000001"/>
    <m/>
  </r>
  <r>
    <x v="3"/>
    <x v="19"/>
    <n v="4"/>
    <n v="3.91"/>
    <n v="7"/>
    <x v="0"/>
    <x v="0"/>
    <n v="7"/>
    <n v="50.127877237851663"/>
    <n v="13.033248081841434"/>
    <m/>
  </r>
  <r>
    <x v="3"/>
    <x v="19"/>
    <n v="4"/>
    <n v="3.91"/>
    <n v="7"/>
    <x v="0"/>
    <x v="0"/>
    <n v="7"/>
    <n v="50.127877237851663"/>
    <n v="13.033248081841434"/>
    <m/>
  </r>
  <r>
    <x v="3"/>
    <x v="19"/>
    <n v="4"/>
    <n v="3.91"/>
    <n v="7"/>
    <x v="0"/>
    <x v="0"/>
    <n v="7"/>
    <n v="50.127877237851663"/>
    <n v="13.033248081841434"/>
    <m/>
  </r>
  <r>
    <x v="3"/>
    <x v="19"/>
    <n v="4"/>
    <n v="3.91"/>
    <n v="7"/>
    <x v="0"/>
    <x v="0"/>
    <n v="7"/>
    <n v="50.127877237851663"/>
    <n v="13.033248081841434"/>
    <m/>
  </r>
  <r>
    <x v="3"/>
    <x v="19"/>
    <n v="4"/>
    <n v="3.91"/>
    <n v="7"/>
    <x v="0"/>
    <x v="0"/>
    <n v="7"/>
    <n v="50.127877237851663"/>
    <n v="13.033248081841434"/>
    <m/>
  </r>
  <r>
    <x v="3"/>
    <x v="19"/>
    <n v="4"/>
    <n v="3.91"/>
    <n v="7"/>
    <x v="0"/>
    <x v="0"/>
    <n v="7"/>
    <n v="50.127877237851663"/>
    <n v="13.033248081841434"/>
    <m/>
  </r>
  <r>
    <x v="4"/>
    <x v="20"/>
    <n v="4"/>
    <n v="7.4"/>
    <n v="7"/>
    <x v="0"/>
    <x v="0"/>
    <n v="7"/>
    <n v="26.486486486486484"/>
    <m/>
    <m/>
  </r>
  <r>
    <x v="4"/>
    <x v="20"/>
    <n v="4"/>
    <n v="7.4"/>
    <n v="7"/>
    <x v="0"/>
    <x v="1"/>
    <n v="8"/>
    <n v="30.27027027027027"/>
    <m/>
    <m/>
  </r>
  <r>
    <x v="4"/>
    <x v="20"/>
    <n v="4"/>
    <n v="7.4"/>
    <n v="7"/>
    <x v="0"/>
    <x v="2"/>
    <n v="6"/>
    <n v="22.702702702702702"/>
    <m/>
    <m/>
  </r>
  <r>
    <x v="4"/>
    <x v="20"/>
    <n v="4"/>
    <n v="7.4"/>
    <n v="7"/>
    <x v="0"/>
    <x v="3"/>
    <n v="8"/>
    <n v="30.27027027027027"/>
    <m/>
    <m/>
  </r>
  <r>
    <x v="4"/>
    <x v="20"/>
    <n v="4"/>
    <n v="7.4"/>
    <n v="7"/>
    <x v="0"/>
    <x v="4"/>
    <n v="8"/>
    <n v="30.27027027027027"/>
    <m/>
    <m/>
  </r>
  <r>
    <x v="4"/>
    <x v="20"/>
    <n v="4"/>
    <n v="7.4"/>
    <n v="7"/>
    <x v="0"/>
    <x v="5"/>
    <n v="2"/>
    <n v="7.5675675675675675"/>
    <m/>
    <m/>
  </r>
  <r>
    <x v="4"/>
    <x v="20"/>
    <n v="4"/>
    <n v="10.1"/>
    <n v="7"/>
    <x v="1"/>
    <x v="6"/>
    <n v="7"/>
    <n v="19.405940594059405"/>
    <m/>
    <m/>
  </r>
  <r>
    <x v="4"/>
    <x v="20"/>
    <n v="4"/>
    <n v="10.1"/>
    <n v="7"/>
    <x v="1"/>
    <x v="7"/>
    <n v="7"/>
    <n v="19.405940594059405"/>
    <m/>
    <m/>
  </r>
  <r>
    <x v="4"/>
    <x v="20"/>
    <n v="4"/>
    <n v="10.1"/>
    <n v="7"/>
    <x v="1"/>
    <x v="8"/>
    <n v="8"/>
    <n v="22.17821782178218"/>
    <m/>
    <m/>
  </r>
  <r>
    <x v="4"/>
    <x v="20"/>
    <n v="4"/>
    <n v="10.1"/>
    <n v="7"/>
    <x v="1"/>
    <x v="9"/>
    <n v="7"/>
    <n v="19.405940594059405"/>
    <m/>
    <m/>
  </r>
  <r>
    <x v="4"/>
    <x v="20"/>
    <n v="4"/>
    <n v="10.1"/>
    <n v="7"/>
    <x v="1"/>
    <x v="10"/>
    <n v="8"/>
    <n v="22.17821782178218"/>
    <m/>
    <m/>
  </r>
  <r>
    <x v="4"/>
    <x v="20"/>
    <n v="4"/>
    <n v="10.1"/>
    <n v="7"/>
    <x v="1"/>
    <x v="11"/>
    <n v="3"/>
    <n v="8.3168316831683171"/>
    <m/>
    <m/>
  </r>
  <r>
    <x v="4"/>
    <x v="20"/>
    <n v="4"/>
    <n v="9.5"/>
    <n v="7"/>
    <x v="2"/>
    <x v="12"/>
    <n v="7"/>
    <n v="20.631578947368421"/>
    <m/>
    <m/>
  </r>
  <r>
    <x v="4"/>
    <x v="20"/>
    <n v="4"/>
    <n v="9.5"/>
    <n v="7"/>
    <x v="2"/>
    <x v="13"/>
    <n v="8"/>
    <n v="23.578947368421051"/>
    <m/>
    <m/>
  </r>
  <r>
    <x v="4"/>
    <x v="20"/>
    <n v="4"/>
    <n v="9.5"/>
    <n v="7"/>
    <x v="2"/>
    <x v="14"/>
    <n v="8"/>
    <n v="23.578947368421051"/>
    <m/>
    <m/>
  </r>
  <r>
    <x v="4"/>
    <x v="20"/>
    <n v="4"/>
    <n v="9.5"/>
    <n v="7"/>
    <x v="2"/>
    <x v="15"/>
    <n v="8"/>
    <n v="23.578947368421051"/>
    <m/>
    <m/>
  </r>
  <r>
    <x v="4"/>
    <x v="20"/>
    <n v="4"/>
    <n v="9.5"/>
    <n v="7"/>
    <x v="2"/>
    <x v="16"/>
    <n v="7"/>
    <n v="20.631578947368421"/>
    <m/>
    <m/>
  </r>
  <r>
    <x v="4"/>
    <x v="20"/>
    <n v="4"/>
    <n v="9.5"/>
    <n v="7"/>
    <x v="2"/>
    <x v="17"/>
    <n v="3"/>
    <n v="8.8421052631578956"/>
    <m/>
    <m/>
  </r>
  <r>
    <x v="4"/>
    <x v="20"/>
    <n v="4"/>
    <n v="9.5"/>
    <n v="7"/>
    <x v="3"/>
    <x v="18"/>
    <n v="8"/>
    <n v="23.578947368421051"/>
    <m/>
    <m/>
  </r>
  <r>
    <x v="4"/>
    <x v="20"/>
    <n v="4"/>
    <n v="9.5"/>
    <n v="7"/>
    <x v="3"/>
    <x v="19"/>
    <n v="7"/>
    <n v="20.631578947368421"/>
    <m/>
    <m/>
  </r>
  <r>
    <x v="4"/>
    <x v="20"/>
    <n v="4"/>
    <n v="9.5"/>
    <n v="7"/>
    <x v="3"/>
    <x v="20"/>
    <n v="7"/>
    <n v="20.631578947368421"/>
    <m/>
    <m/>
  </r>
  <r>
    <x v="4"/>
    <x v="20"/>
    <n v="4"/>
    <n v="9.5"/>
    <n v="7"/>
    <x v="3"/>
    <x v="21"/>
    <n v="7"/>
    <n v="20.631578947368421"/>
    <m/>
    <m/>
  </r>
  <r>
    <x v="4"/>
    <x v="20"/>
    <n v="4"/>
    <n v="9.5"/>
    <n v="7"/>
    <x v="3"/>
    <x v="22"/>
    <n v="8"/>
    <n v="23.578947368421051"/>
    <m/>
    <m/>
  </r>
  <r>
    <x v="4"/>
    <x v="20"/>
    <n v="4"/>
    <n v="9.5"/>
    <n v="7"/>
    <x v="3"/>
    <x v="23"/>
    <n v="8"/>
    <n v="23.578947368421051"/>
    <m/>
    <m/>
  </r>
  <r>
    <x v="4"/>
    <x v="21"/>
    <n v="7"/>
    <n v="5.4"/>
    <n v="7"/>
    <x v="0"/>
    <x v="0"/>
    <n v="7"/>
    <n v="63.518518518518512"/>
    <m/>
    <m/>
  </r>
  <r>
    <x v="4"/>
    <x v="21"/>
    <n v="7"/>
    <n v="5.4"/>
    <n v="7"/>
    <x v="0"/>
    <x v="1"/>
    <n v="8"/>
    <n v="72.592592592592581"/>
    <m/>
    <m/>
  </r>
  <r>
    <x v="4"/>
    <x v="21"/>
    <n v="7"/>
    <n v="5.4"/>
    <n v="7"/>
    <x v="0"/>
    <x v="2"/>
    <n v="6"/>
    <n v="54.444444444444443"/>
    <m/>
    <m/>
  </r>
  <r>
    <x v="4"/>
    <x v="21"/>
    <n v="7"/>
    <n v="5.4"/>
    <n v="7"/>
    <x v="0"/>
    <x v="3"/>
    <n v="8"/>
    <n v="72.592592592592581"/>
    <m/>
    <m/>
  </r>
  <r>
    <x v="4"/>
    <x v="21"/>
    <n v="7"/>
    <n v="5.4"/>
    <n v="7"/>
    <x v="0"/>
    <x v="4"/>
    <n v="8"/>
    <n v="72.592592592592581"/>
    <m/>
    <m/>
  </r>
  <r>
    <x v="4"/>
    <x v="21"/>
    <n v="7"/>
    <n v="5.4"/>
    <n v="7"/>
    <x v="0"/>
    <x v="5"/>
    <n v="2"/>
    <n v="18.148148148148145"/>
    <m/>
    <m/>
  </r>
  <r>
    <x v="4"/>
    <x v="21"/>
    <n v="7"/>
    <n v="5.4"/>
    <n v="7"/>
    <x v="1"/>
    <x v="6"/>
    <n v="7"/>
    <n v="63.518518518518512"/>
    <m/>
    <m/>
  </r>
  <r>
    <x v="4"/>
    <x v="21"/>
    <n v="7"/>
    <n v="5.4"/>
    <n v="7"/>
    <x v="1"/>
    <x v="7"/>
    <n v="7"/>
    <n v="63.518518518518512"/>
    <m/>
    <m/>
  </r>
  <r>
    <x v="4"/>
    <x v="21"/>
    <n v="7"/>
    <n v="5.4"/>
    <n v="7"/>
    <x v="1"/>
    <x v="8"/>
    <n v="8"/>
    <n v="72.592592592592581"/>
    <m/>
    <m/>
  </r>
  <r>
    <x v="4"/>
    <x v="21"/>
    <n v="7"/>
    <n v="5.4"/>
    <n v="7"/>
    <x v="1"/>
    <x v="9"/>
    <n v="7"/>
    <n v="63.518518518518512"/>
    <m/>
    <m/>
  </r>
  <r>
    <x v="4"/>
    <x v="21"/>
    <n v="7"/>
    <n v="5.4"/>
    <n v="7"/>
    <x v="1"/>
    <x v="10"/>
    <n v="8"/>
    <n v="72.592592592592581"/>
    <m/>
    <m/>
  </r>
  <r>
    <x v="4"/>
    <x v="21"/>
    <n v="7"/>
    <n v="5.4"/>
    <n v="7"/>
    <x v="1"/>
    <x v="11"/>
    <n v="3"/>
    <n v="27.222222222222221"/>
    <m/>
    <m/>
  </r>
  <r>
    <x v="4"/>
    <x v="21"/>
    <n v="7"/>
    <n v="5.4"/>
    <n v="7"/>
    <x v="2"/>
    <x v="12"/>
    <n v="7"/>
    <n v="63.518518518518512"/>
    <m/>
    <m/>
  </r>
  <r>
    <x v="4"/>
    <x v="21"/>
    <n v="7"/>
    <n v="5.4"/>
    <n v="7"/>
    <x v="2"/>
    <x v="13"/>
    <n v="8"/>
    <n v="72.592592592592581"/>
    <m/>
    <m/>
  </r>
  <r>
    <x v="4"/>
    <x v="21"/>
    <n v="7"/>
    <n v="5.4"/>
    <n v="7"/>
    <x v="2"/>
    <x v="14"/>
    <n v="8"/>
    <n v="72.592592592592581"/>
    <m/>
    <m/>
  </r>
  <r>
    <x v="4"/>
    <x v="21"/>
    <n v="7"/>
    <n v="5.4"/>
    <n v="7"/>
    <x v="2"/>
    <x v="15"/>
    <n v="8"/>
    <n v="72.592592592592581"/>
    <m/>
    <m/>
  </r>
  <r>
    <x v="4"/>
    <x v="21"/>
    <n v="7"/>
    <n v="5.4"/>
    <n v="7"/>
    <x v="2"/>
    <x v="16"/>
    <n v="7"/>
    <n v="63.518518518518512"/>
    <m/>
    <m/>
  </r>
  <r>
    <x v="4"/>
    <x v="21"/>
    <n v="7"/>
    <n v="5.4"/>
    <n v="7"/>
    <x v="2"/>
    <x v="17"/>
    <n v="3"/>
    <n v="27.222222222222221"/>
    <m/>
    <m/>
  </r>
  <r>
    <x v="4"/>
    <x v="21"/>
    <n v="7"/>
    <n v="5.4"/>
    <n v="7"/>
    <x v="3"/>
    <x v="18"/>
    <n v="8"/>
    <n v="72.592592592592581"/>
    <m/>
    <m/>
  </r>
  <r>
    <x v="4"/>
    <x v="21"/>
    <n v="7"/>
    <n v="5.4"/>
    <n v="7"/>
    <x v="3"/>
    <x v="19"/>
    <n v="7"/>
    <n v="63.518518518518512"/>
    <m/>
    <m/>
  </r>
  <r>
    <x v="4"/>
    <x v="21"/>
    <n v="7"/>
    <n v="5.4"/>
    <n v="7"/>
    <x v="3"/>
    <x v="20"/>
    <n v="7"/>
    <n v="63.518518518518512"/>
    <m/>
    <m/>
  </r>
  <r>
    <x v="4"/>
    <x v="21"/>
    <n v="7"/>
    <n v="5.4"/>
    <n v="7"/>
    <x v="3"/>
    <x v="21"/>
    <n v="7"/>
    <n v="63.518518518518512"/>
    <m/>
    <m/>
  </r>
  <r>
    <x v="4"/>
    <x v="21"/>
    <n v="7"/>
    <n v="5.4"/>
    <n v="7"/>
    <x v="3"/>
    <x v="22"/>
    <n v="8"/>
    <n v="72.592592592592581"/>
    <m/>
    <m/>
  </r>
  <r>
    <x v="4"/>
    <x v="21"/>
    <n v="7"/>
    <n v="5.4"/>
    <n v="7"/>
    <x v="3"/>
    <x v="23"/>
    <n v="8"/>
    <n v="72.592592592592581"/>
    <m/>
    <m/>
  </r>
  <r>
    <x v="4"/>
    <x v="22"/>
    <n v="7"/>
    <n v="7.3"/>
    <n v="7"/>
    <x v="0"/>
    <x v="0"/>
    <n v="7"/>
    <n v="46.986301369863014"/>
    <m/>
    <m/>
  </r>
  <r>
    <x v="4"/>
    <x v="22"/>
    <n v="7"/>
    <n v="7.3"/>
    <n v="7"/>
    <x v="0"/>
    <x v="1"/>
    <n v="8"/>
    <n v="53.698630136986303"/>
    <m/>
    <m/>
  </r>
  <r>
    <x v="4"/>
    <x v="22"/>
    <n v="7"/>
    <n v="7.3"/>
    <n v="7"/>
    <x v="0"/>
    <x v="2"/>
    <n v="6"/>
    <n v="40.273972602739725"/>
    <m/>
    <m/>
  </r>
  <r>
    <x v="4"/>
    <x v="22"/>
    <n v="7"/>
    <n v="7.3"/>
    <n v="7"/>
    <x v="0"/>
    <x v="3"/>
    <n v="8"/>
    <n v="53.698630136986303"/>
    <m/>
    <m/>
  </r>
  <r>
    <x v="4"/>
    <x v="22"/>
    <n v="7"/>
    <n v="7.3"/>
    <n v="7"/>
    <x v="0"/>
    <x v="4"/>
    <n v="8"/>
    <n v="53.698630136986303"/>
    <m/>
    <m/>
  </r>
  <r>
    <x v="4"/>
    <x v="22"/>
    <n v="7"/>
    <n v="7.3"/>
    <n v="7"/>
    <x v="0"/>
    <x v="5"/>
    <n v="2"/>
    <n v="13.424657534246576"/>
    <m/>
    <m/>
  </r>
  <r>
    <x v="4"/>
    <x v="22"/>
    <n v="7"/>
    <n v="7.3"/>
    <n v="7"/>
    <x v="1"/>
    <x v="6"/>
    <n v="7"/>
    <n v="46.986301369863014"/>
    <m/>
    <m/>
  </r>
  <r>
    <x v="4"/>
    <x v="22"/>
    <n v="7"/>
    <n v="7.3"/>
    <n v="7"/>
    <x v="1"/>
    <x v="7"/>
    <n v="7"/>
    <n v="46.986301369863014"/>
    <m/>
    <m/>
  </r>
  <r>
    <x v="4"/>
    <x v="22"/>
    <n v="7"/>
    <n v="7.3"/>
    <n v="7"/>
    <x v="1"/>
    <x v="8"/>
    <n v="8"/>
    <n v="53.698630136986303"/>
    <m/>
    <m/>
  </r>
  <r>
    <x v="4"/>
    <x v="22"/>
    <n v="7"/>
    <n v="7.3"/>
    <n v="7"/>
    <x v="1"/>
    <x v="9"/>
    <n v="7"/>
    <n v="46.986301369863014"/>
    <m/>
    <m/>
  </r>
  <r>
    <x v="4"/>
    <x v="22"/>
    <n v="7"/>
    <n v="7.3"/>
    <n v="7"/>
    <x v="1"/>
    <x v="10"/>
    <n v="8"/>
    <n v="53.698630136986303"/>
    <m/>
    <m/>
  </r>
  <r>
    <x v="4"/>
    <x v="22"/>
    <n v="7"/>
    <n v="7.3"/>
    <n v="7"/>
    <x v="1"/>
    <x v="11"/>
    <n v="3"/>
    <n v="20.136986301369863"/>
    <m/>
    <m/>
  </r>
  <r>
    <x v="4"/>
    <x v="22"/>
    <n v="7"/>
    <n v="7.3"/>
    <n v="7"/>
    <x v="2"/>
    <x v="12"/>
    <n v="7"/>
    <n v="46.986301369863014"/>
    <m/>
    <m/>
  </r>
  <r>
    <x v="4"/>
    <x v="22"/>
    <n v="7"/>
    <n v="7.3"/>
    <n v="7"/>
    <x v="2"/>
    <x v="13"/>
    <n v="8"/>
    <n v="53.698630136986303"/>
    <m/>
    <m/>
  </r>
  <r>
    <x v="4"/>
    <x v="22"/>
    <n v="7"/>
    <n v="7.3"/>
    <n v="7"/>
    <x v="2"/>
    <x v="14"/>
    <n v="8"/>
    <n v="53.698630136986303"/>
    <m/>
    <m/>
  </r>
  <r>
    <x v="4"/>
    <x v="22"/>
    <n v="7"/>
    <n v="7.3"/>
    <n v="7"/>
    <x v="2"/>
    <x v="15"/>
    <n v="8"/>
    <n v="53.698630136986303"/>
    <m/>
    <m/>
  </r>
  <r>
    <x v="4"/>
    <x v="22"/>
    <n v="7"/>
    <n v="7.3"/>
    <n v="7"/>
    <x v="2"/>
    <x v="16"/>
    <n v="7"/>
    <n v="46.986301369863014"/>
    <m/>
    <m/>
  </r>
  <r>
    <x v="4"/>
    <x v="22"/>
    <n v="7"/>
    <n v="7.3"/>
    <n v="7"/>
    <x v="2"/>
    <x v="17"/>
    <n v="3"/>
    <n v="20.136986301369863"/>
    <m/>
    <m/>
  </r>
  <r>
    <x v="4"/>
    <x v="22"/>
    <n v="7"/>
    <n v="7.3"/>
    <n v="7"/>
    <x v="3"/>
    <x v="18"/>
    <n v="8"/>
    <n v="53.698630136986303"/>
    <m/>
    <m/>
  </r>
  <r>
    <x v="4"/>
    <x v="22"/>
    <n v="7"/>
    <n v="7.3"/>
    <n v="7"/>
    <x v="3"/>
    <x v="19"/>
    <n v="7"/>
    <n v="46.986301369863014"/>
    <m/>
    <m/>
  </r>
  <r>
    <x v="4"/>
    <x v="22"/>
    <n v="7"/>
    <n v="7.3"/>
    <n v="7"/>
    <x v="3"/>
    <x v="20"/>
    <n v="7"/>
    <n v="46.986301369863014"/>
    <m/>
    <m/>
  </r>
  <r>
    <x v="4"/>
    <x v="22"/>
    <n v="7"/>
    <n v="7.3"/>
    <n v="7"/>
    <x v="3"/>
    <x v="21"/>
    <n v="7"/>
    <n v="46.986301369863014"/>
    <m/>
    <m/>
  </r>
  <r>
    <x v="4"/>
    <x v="22"/>
    <n v="7"/>
    <n v="7.3"/>
    <n v="7"/>
    <x v="3"/>
    <x v="22"/>
    <n v="8"/>
    <n v="53.698630136986303"/>
    <m/>
    <m/>
  </r>
  <r>
    <x v="4"/>
    <x v="22"/>
    <n v="7"/>
    <n v="7.3"/>
    <n v="7"/>
    <x v="3"/>
    <x v="23"/>
    <n v="8"/>
    <n v="53.698630136986303"/>
    <m/>
    <m/>
  </r>
  <r>
    <x v="4"/>
    <x v="23"/>
    <n v="7"/>
    <n v="7.2"/>
    <n v="7"/>
    <x v="0"/>
    <x v="0"/>
    <n v="7"/>
    <n v="47.638888888888886"/>
    <m/>
    <m/>
  </r>
  <r>
    <x v="4"/>
    <x v="23"/>
    <n v="7"/>
    <n v="7.2"/>
    <n v="7"/>
    <x v="0"/>
    <x v="1"/>
    <n v="8"/>
    <n v="54.444444444444443"/>
    <m/>
    <m/>
  </r>
  <r>
    <x v="4"/>
    <x v="23"/>
    <n v="7"/>
    <n v="7.2"/>
    <n v="7"/>
    <x v="0"/>
    <x v="2"/>
    <n v="6"/>
    <n v="40.833333333333336"/>
    <m/>
    <m/>
  </r>
  <r>
    <x v="4"/>
    <x v="23"/>
    <n v="7"/>
    <n v="7.2"/>
    <n v="7"/>
    <x v="0"/>
    <x v="3"/>
    <n v="8"/>
    <n v="54.444444444444443"/>
    <m/>
    <m/>
  </r>
  <r>
    <x v="4"/>
    <x v="23"/>
    <n v="7"/>
    <n v="7.2"/>
    <n v="7"/>
    <x v="0"/>
    <x v="4"/>
    <n v="8"/>
    <n v="54.444444444444443"/>
    <m/>
    <m/>
  </r>
  <r>
    <x v="4"/>
    <x v="23"/>
    <n v="7"/>
    <n v="7.2"/>
    <n v="7"/>
    <x v="0"/>
    <x v="5"/>
    <n v="2"/>
    <n v="13.611111111111111"/>
    <m/>
    <m/>
  </r>
  <r>
    <x v="4"/>
    <x v="23"/>
    <n v="7"/>
    <n v="7.2"/>
    <n v="7"/>
    <x v="1"/>
    <x v="6"/>
    <n v="7"/>
    <n v="47.638888888888886"/>
    <m/>
    <m/>
  </r>
  <r>
    <x v="4"/>
    <x v="23"/>
    <n v="7"/>
    <n v="7.2"/>
    <n v="7"/>
    <x v="1"/>
    <x v="7"/>
    <n v="7"/>
    <n v="47.638888888888886"/>
    <m/>
    <m/>
  </r>
  <r>
    <x v="4"/>
    <x v="23"/>
    <n v="7"/>
    <n v="7.2"/>
    <n v="7"/>
    <x v="1"/>
    <x v="8"/>
    <n v="8"/>
    <n v="54.444444444444443"/>
    <m/>
    <m/>
  </r>
  <r>
    <x v="4"/>
    <x v="23"/>
    <n v="7"/>
    <n v="7.2"/>
    <n v="7"/>
    <x v="1"/>
    <x v="9"/>
    <n v="7"/>
    <n v="47.638888888888886"/>
    <m/>
    <m/>
  </r>
  <r>
    <x v="4"/>
    <x v="23"/>
    <n v="7"/>
    <n v="7.2"/>
    <n v="7"/>
    <x v="1"/>
    <x v="10"/>
    <n v="8"/>
    <n v="54.444444444444443"/>
    <m/>
    <m/>
  </r>
  <r>
    <x v="4"/>
    <x v="23"/>
    <n v="7"/>
    <n v="7.2"/>
    <n v="7"/>
    <x v="1"/>
    <x v="11"/>
    <n v="3"/>
    <n v="20.416666666666668"/>
    <m/>
    <m/>
  </r>
  <r>
    <x v="4"/>
    <x v="23"/>
    <n v="7"/>
    <n v="7.2"/>
    <n v="7"/>
    <x v="2"/>
    <x v="12"/>
    <n v="7"/>
    <n v="47.638888888888886"/>
    <m/>
    <m/>
  </r>
  <r>
    <x v="4"/>
    <x v="23"/>
    <n v="7"/>
    <n v="7.2"/>
    <n v="7"/>
    <x v="2"/>
    <x v="13"/>
    <n v="8"/>
    <n v="54.444444444444443"/>
    <m/>
    <m/>
  </r>
  <r>
    <x v="4"/>
    <x v="23"/>
    <n v="7"/>
    <n v="7.2"/>
    <n v="7"/>
    <x v="2"/>
    <x v="14"/>
    <n v="8"/>
    <n v="54.444444444444443"/>
    <m/>
    <m/>
  </r>
  <r>
    <x v="4"/>
    <x v="23"/>
    <n v="7"/>
    <n v="7.2"/>
    <n v="7"/>
    <x v="2"/>
    <x v="15"/>
    <n v="8"/>
    <n v="54.444444444444443"/>
    <m/>
    <m/>
  </r>
  <r>
    <x v="4"/>
    <x v="23"/>
    <n v="7"/>
    <n v="7.2"/>
    <n v="7"/>
    <x v="2"/>
    <x v="16"/>
    <n v="7"/>
    <n v="47.638888888888886"/>
    <m/>
    <m/>
  </r>
  <r>
    <x v="4"/>
    <x v="23"/>
    <n v="7"/>
    <n v="7.2"/>
    <n v="7"/>
    <x v="2"/>
    <x v="17"/>
    <n v="3"/>
    <n v="20.416666666666668"/>
    <m/>
    <m/>
  </r>
  <r>
    <x v="4"/>
    <x v="23"/>
    <n v="7"/>
    <n v="7.2"/>
    <n v="7"/>
    <x v="3"/>
    <x v="18"/>
    <n v="8"/>
    <n v="54.444444444444443"/>
    <m/>
    <m/>
  </r>
  <r>
    <x v="4"/>
    <x v="23"/>
    <n v="7"/>
    <n v="7.2"/>
    <n v="7"/>
    <x v="3"/>
    <x v="19"/>
    <n v="7"/>
    <n v="47.638888888888886"/>
    <m/>
    <m/>
  </r>
  <r>
    <x v="4"/>
    <x v="23"/>
    <n v="7"/>
    <n v="7.2"/>
    <n v="7"/>
    <x v="3"/>
    <x v="20"/>
    <n v="7"/>
    <n v="47.638888888888886"/>
    <m/>
    <m/>
  </r>
  <r>
    <x v="4"/>
    <x v="23"/>
    <n v="7"/>
    <n v="7.2"/>
    <n v="7"/>
    <x v="3"/>
    <x v="21"/>
    <n v="7"/>
    <n v="47.638888888888886"/>
    <m/>
    <m/>
  </r>
  <r>
    <x v="4"/>
    <x v="23"/>
    <n v="7"/>
    <n v="7.2"/>
    <n v="7"/>
    <x v="3"/>
    <x v="22"/>
    <n v="8"/>
    <n v="54.444444444444443"/>
    <m/>
    <m/>
  </r>
  <r>
    <x v="4"/>
    <x v="23"/>
    <n v="7"/>
    <n v="7.2"/>
    <n v="7"/>
    <x v="3"/>
    <x v="23"/>
    <n v="8"/>
    <n v="54.444444444444443"/>
    <m/>
    <m/>
  </r>
  <r>
    <x v="4"/>
    <x v="24"/>
    <n v="2"/>
    <n v="6.5"/>
    <n v="7"/>
    <x v="0"/>
    <x v="0"/>
    <n v="7"/>
    <n v="15.076923076923077"/>
    <m/>
    <m/>
  </r>
  <r>
    <x v="4"/>
    <x v="24"/>
    <n v="2"/>
    <n v="6.5"/>
    <n v="7"/>
    <x v="0"/>
    <x v="1"/>
    <n v="8"/>
    <n v="17.23076923076923"/>
    <m/>
    <m/>
  </r>
  <r>
    <x v="4"/>
    <x v="24"/>
    <n v="2"/>
    <n v="6.5"/>
    <n v="7"/>
    <x v="0"/>
    <x v="2"/>
    <n v="6"/>
    <n v="12.923076923076923"/>
    <m/>
    <m/>
  </r>
  <r>
    <x v="4"/>
    <x v="24"/>
    <n v="2"/>
    <n v="6.5"/>
    <n v="7"/>
    <x v="0"/>
    <x v="3"/>
    <n v="8"/>
    <n v="17.23076923076923"/>
    <m/>
    <m/>
  </r>
  <r>
    <x v="4"/>
    <x v="24"/>
    <n v="2"/>
    <n v="6.5"/>
    <n v="7"/>
    <x v="0"/>
    <x v="4"/>
    <n v="8"/>
    <n v="17.23076923076923"/>
    <m/>
    <m/>
  </r>
  <r>
    <x v="4"/>
    <x v="24"/>
    <n v="2"/>
    <n v="6.5"/>
    <n v="7"/>
    <x v="0"/>
    <x v="5"/>
    <n v="2"/>
    <n v="4.3076923076923075"/>
    <m/>
    <m/>
  </r>
  <r>
    <x v="4"/>
    <x v="24"/>
    <n v="2"/>
    <n v="6.5"/>
    <n v="7"/>
    <x v="1"/>
    <x v="6"/>
    <n v="7"/>
    <n v="15.076923076923077"/>
    <m/>
    <m/>
  </r>
  <r>
    <x v="4"/>
    <x v="24"/>
    <n v="2"/>
    <n v="6.5"/>
    <n v="7"/>
    <x v="1"/>
    <x v="7"/>
    <n v="7"/>
    <n v="15.076923076923077"/>
    <m/>
    <m/>
  </r>
  <r>
    <x v="4"/>
    <x v="24"/>
    <n v="2"/>
    <n v="6.5"/>
    <n v="7"/>
    <x v="1"/>
    <x v="8"/>
    <n v="8"/>
    <n v="17.23076923076923"/>
    <m/>
    <m/>
  </r>
  <r>
    <x v="4"/>
    <x v="24"/>
    <n v="2"/>
    <n v="6.5"/>
    <n v="7"/>
    <x v="1"/>
    <x v="9"/>
    <n v="7"/>
    <n v="15.076923076923077"/>
    <m/>
    <m/>
  </r>
  <r>
    <x v="4"/>
    <x v="24"/>
    <n v="2"/>
    <n v="6.5"/>
    <n v="7"/>
    <x v="1"/>
    <x v="10"/>
    <n v="8"/>
    <n v="17.23076923076923"/>
    <m/>
    <m/>
  </r>
  <r>
    <x v="4"/>
    <x v="24"/>
    <n v="2"/>
    <n v="6.5"/>
    <n v="7"/>
    <x v="1"/>
    <x v="11"/>
    <n v="3"/>
    <n v="6.4615384615384617"/>
    <m/>
    <m/>
  </r>
  <r>
    <x v="4"/>
    <x v="24"/>
    <n v="2"/>
    <n v="6.5"/>
    <n v="7"/>
    <x v="2"/>
    <x v="12"/>
    <n v="7"/>
    <n v="15.076923076923077"/>
    <m/>
    <m/>
  </r>
  <r>
    <x v="4"/>
    <x v="24"/>
    <n v="2"/>
    <n v="6.5"/>
    <n v="7"/>
    <x v="2"/>
    <x v="13"/>
    <n v="8"/>
    <n v="17.23076923076923"/>
    <m/>
    <m/>
  </r>
  <r>
    <x v="4"/>
    <x v="24"/>
    <n v="2"/>
    <n v="6.5"/>
    <n v="7"/>
    <x v="2"/>
    <x v="14"/>
    <n v="8"/>
    <n v="17.23076923076923"/>
    <m/>
    <m/>
  </r>
  <r>
    <x v="4"/>
    <x v="24"/>
    <n v="2"/>
    <n v="6.5"/>
    <n v="7"/>
    <x v="2"/>
    <x v="15"/>
    <n v="8"/>
    <n v="17.23076923076923"/>
    <m/>
    <m/>
  </r>
  <r>
    <x v="4"/>
    <x v="24"/>
    <n v="2"/>
    <n v="6.5"/>
    <n v="7"/>
    <x v="2"/>
    <x v="16"/>
    <n v="7"/>
    <n v="15.076923076923077"/>
    <m/>
    <m/>
  </r>
  <r>
    <x v="4"/>
    <x v="24"/>
    <n v="2"/>
    <n v="6.5"/>
    <n v="7"/>
    <x v="2"/>
    <x v="17"/>
    <n v="3"/>
    <n v="6.4615384615384617"/>
    <m/>
    <m/>
  </r>
  <r>
    <x v="4"/>
    <x v="24"/>
    <n v="2"/>
    <n v="6.5"/>
    <n v="7"/>
    <x v="3"/>
    <x v="18"/>
    <n v="8"/>
    <n v="17.23076923076923"/>
    <m/>
    <m/>
  </r>
  <r>
    <x v="4"/>
    <x v="24"/>
    <n v="2"/>
    <n v="6.5"/>
    <n v="7"/>
    <x v="3"/>
    <x v="19"/>
    <n v="7"/>
    <n v="15.076923076923077"/>
    <m/>
    <m/>
  </r>
  <r>
    <x v="4"/>
    <x v="24"/>
    <n v="2"/>
    <n v="6.5"/>
    <n v="7"/>
    <x v="3"/>
    <x v="20"/>
    <n v="7"/>
    <n v="15.076923076923077"/>
    <m/>
    <m/>
  </r>
  <r>
    <x v="4"/>
    <x v="24"/>
    <n v="2"/>
    <n v="6.5"/>
    <n v="7"/>
    <x v="3"/>
    <x v="21"/>
    <n v="7"/>
    <n v="15.076923076923077"/>
    <m/>
    <m/>
  </r>
  <r>
    <x v="4"/>
    <x v="24"/>
    <n v="2"/>
    <n v="6.5"/>
    <n v="7"/>
    <x v="3"/>
    <x v="22"/>
    <n v="8"/>
    <n v="17.23076923076923"/>
    <m/>
    <m/>
  </r>
  <r>
    <x v="4"/>
    <x v="24"/>
    <n v="2"/>
    <n v="6.5"/>
    <n v="7"/>
    <x v="3"/>
    <x v="23"/>
    <n v="8"/>
    <n v="17.23076923076923"/>
    <m/>
    <m/>
  </r>
  <r>
    <x v="4"/>
    <x v="25"/>
    <n v="7"/>
    <n v="5.6"/>
    <n v="7"/>
    <x v="0"/>
    <x v="0"/>
    <n v="7"/>
    <n v="61.250000000000007"/>
    <m/>
    <m/>
  </r>
  <r>
    <x v="4"/>
    <x v="25"/>
    <n v="7"/>
    <n v="5.6"/>
    <n v="7"/>
    <x v="0"/>
    <x v="1"/>
    <n v="8"/>
    <n v="70"/>
    <m/>
    <m/>
  </r>
  <r>
    <x v="4"/>
    <x v="25"/>
    <n v="7"/>
    <n v="5.6"/>
    <n v="7"/>
    <x v="0"/>
    <x v="2"/>
    <n v="6"/>
    <n v="52.5"/>
    <m/>
    <m/>
  </r>
  <r>
    <x v="4"/>
    <x v="25"/>
    <n v="7"/>
    <n v="5.6"/>
    <n v="7"/>
    <x v="0"/>
    <x v="3"/>
    <n v="8"/>
    <n v="70"/>
    <m/>
    <m/>
  </r>
  <r>
    <x v="4"/>
    <x v="25"/>
    <n v="7"/>
    <n v="5.6"/>
    <n v="7"/>
    <x v="0"/>
    <x v="4"/>
    <n v="8"/>
    <n v="70"/>
    <m/>
    <m/>
  </r>
  <r>
    <x v="4"/>
    <x v="25"/>
    <n v="7"/>
    <n v="5.6"/>
    <n v="7"/>
    <x v="0"/>
    <x v="5"/>
    <n v="2"/>
    <n v="17.5"/>
    <m/>
    <m/>
  </r>
  <r>
    <x v="4"/>
    <x v="25"/>
    <n v="7"/>
    <n v="5.6"/>
    <n v="7"/>
    <x v="1"/>
    <x v="6"/>
    <n v="7"/>
    <n v="61.250000000000007"/>
    <m/>
    <m/>
  </r>
  <r>
    <x v="4"/>
    <x v="25"/>
    <n v="7"/>
    <n v="5.6"/>
    <n v="7"/>
    <x v="1"/>
    <x v="7"/>
    <n v="7"/>
    <n v="61.250000000000007"/>
    <m/>
    <m/>
  </r>
  <r>
    <x v="4"/>
    <x v="25"/>
    <n v="7"/>
    <n v="5.6"/>
    <n v="7"/>
    <x v="1"/>
    <x v="8"/>
    <n v="8"/>
    <n v="70"/>
    <m/>
    <m/>
  </r>
  <r>
    <x v="4"/>
    <x v="25"/>
    <n v="7"/>
    <n v="5.6"/>
    <n v="7"/>
    <x v="1"/>
    <x v="9"/>
    <n v="7"/>
    <n v="61.250000000000007"/>
    <m/>
    <m/>
  </r>
  <r>
    <x v="4"/>
    <x v="25"/>
    <n v="7"/>
    <n v="5.6"/>
    <n v="7"/>
    <x v="1"/>
    <x v="10"/>
    <n v="8"/>
    <n v="70"/>
    <m/>
    <m/>
  </r>
  <r>
    <x v="4"/>
    <x v="25"/>
    <n v="7"/>
    <n v="5.6"/>
    <n v="7"/>
    <x v="1"/>
    <x v="11"/>
    <n v="3"/>
    <n v="26.25"/>
    <m/>
    <m/>
  </r>
  <r>
    <x v="4"/>
    <x v="25"/>
    <n v="7"/>
    <n v="5.6"/>
    <n v="7"/>
    <x v="2"/>
    <x v="12"/>
    <n v="7"/>
    <n v="61.250000000000007"/>
    <m/>
    <m/>
  </r>
  <r>
    <x v="4"/>
    <x v="25"/>
    <n v="7"/>
    <n v="5.6"/>
    <n v="7"/>
    <x v="2"/>
    <x v="13"/>
    <n v="8"/>
    <n v="70"/>
    <m/>
    <m/>
  </r>
  <r>
    <x v="4"/>
    <x v="25"/>
    <n v="7"/>
    <n v="5.6"/>
    <n v="7"/>
    <x v="2"/>
    <x v="14"/>
    <n v="8"/>
    <n v="70"/>
    <m/>
    <m/>
  </r>
  <r>
    <x v="4"/>
    <x v="25"/>
    <n v="7"/>
    <n v="5.6"/>
    <n v="7"/>
    <x v="2"/>
    <x v="15"/>
    <n v="8"/>
    <n v="70"/>
    <m/>
    <m/>
  </r>
  <r>
    <x v="4"/>
    <x v="25"/>
    <n v="7"/>
    <n v="5.6"/>
    <n v="7"/>
    <x v="2"/>
    <x v="16"/>
    <n v="7"/>
    <n v="61.250000000000007"/>
    <m/>
    <m/>
  </r>
  <r>
    <x v="4"/>
    <x v="25"/>
    <n v="7"/>
    <n v="5.6"/>
    <n v="7"/>
    <x v="2"/>
    <x v="17"/>
    <n v="3"/>
    <n v="26.25"/>
    <m/>
    <m/>
  </r>
  <r>
    <x v="4"/>
    <x v="25"/>
    <n v="7"/>
    <n v="5.6"/>
    <n v="7"/>
    <x v="3"/>
    <x v="18"/>
    <n v="8"/>
    <n v="70"/>
    <m/>
    <m/>
  </r>
  <r>
    <x v="4"/>
    <x v="25"/>
    <n v="7"/>
    <n v="5.6"/>
    <n v="7"/>
    <x v="3"/>
    <x v="19"/>
    <n v="7"/>
    <n v="61.250000000000007"/>
    <m/>
    <m/>
  </r>
  <r>
    <x v="4"/>
    <x v="25"/>
    <n v="7"/>
    <n v="5.6"/>
    <n v="7"/>
    <x v="3"/>
    <x v="20"/>
    <n v="7"/>
    <n v="61.250000000000007"/>
    <m/>
    <m/>
  </r>
  <r>
    <x v="4"/>
    <x v="25"/>
    <n v="7"/>
    <n v="5.6"/>
    <n v="7"/>
    <x v="3"/>
    <x v="21"/>
    <n v="7"/>
    <n v="61.250000000000007"/>
    <m/>
    <m/>
  </r>
  <r>
    <x v="4"/>
    <x v="25"/>
    <n v="7"/>
    <n v="5.6"/>
    <n v="7"/>
    <x v="3"/>
    <x v="22"/>
    <n v="8"/>
    <n v="70"/>
    <m/>
    <m/>
  </r>
  <r>
    <x v="4"/>
    <x v="25"/>
    <n v="7"/>
    <n v="5.6"/>
    <n v="7"/>
    <x v="3"/>
    <x v="23"/>
    <n v="8"/>
    <n v="70"/>
    <m/>
    <m/>
  </r>
  <r>
    <x v="5"/>
    <x v="26"/>
    <n v="3"/>
    <n v="6.4"/>
    <n v="7"/>
    <x v="0"/>
    <x v="0"/>
    <n v="7"/>
    <n v="22.96875"/>
    <n v="7.5796875000000004"/>
    <m/>
  </r>
  <r>
    <x v="5"/>
    <x v="26"/>
    <n v="3"/>
    <n v="6.4"/>
    <n v="7"/>
    <x v="0"/>
    <x v="1"/>
    <n v="8"/>
    <n v="26.25"/>
    <n v="8.6624999999999996"/>
    <m/>
  </r>
  <r>
    <x v="5"/>
    <x v="26"/>
    <n v="3"/>
    <n v="6.4"/>
    <n v="7"/>
    <x v="0"/>
    <x v="2"/>
    <n v="6"/>
    <n v="19.6875"/>
    <n v="6.4968750000000002"/>
    <m/>
  </r>
  <r>
    <x v="5"/>
    <x v="26"/>
    <n v="3"/>
    <n v="6.4"/>
    <n v="7"/>
    <x v="0"/>
    <x v="3"/>
    <n v="8"/>
    <n v="26.25"/>
    <n v="8.6624999999999996"/>
    <m/>
  </r>
  <r>
    <x v="5"/>
    <x v="26"/>
    <n v="3"/>
    <n v="6.4"/>
    <n v="7"/>
    <x v="0"/>
    <x v="4"/>
    <n v="8"/>
    <n v="26.25"/>
    <n v="8.6624999999999996"/>
    <m/>
  </r>
  <r>
    <x v="5"/>
    <x v="26"/>
    <n v="3"/>
    <n v="6.4"/>
    <n v="7"/>
    <x v="0"/>
    <x v="5"/>
    <n v="2"/>
    <n v="6.5625"/>
    <n v="2.1656249999999999"/>
    <m/>
  </r>
  <r>
    <x v="5"/>
    <x v="26"/>
    <n v="3"/>
    <n v="6.4"/>
    <n v="7"/>
    <x v="1"/>
    <x v="6"/>
    <n v="7"/>
    <n v="22.96875"/>
    <n v="7.5796875000000004"/>
    <m/>
  </r>
  <r>
    <x v="5"/>
    <x v="26"/>
    <n v="3"/>
    <n v="6.4"/>
    <n v="7"/>
    <x v="1"/>
    <x v="7"/>
    <n v="7"/>
    <n v="22.96875"/>
    <n v="7.5796875000000004"/>
    <m/>
  </r>
  <r>
    <x v="5"/>
    <x v="26"/>
    <n v="3"/>
    <n v="6.4"/>
    <n v="7"/>
    <x v="1"/>
    <x v="8"/>
    <n v="8"/>
    <n v="26.25"/>
    <n v="8.6624999999999996"/>
    <m/>
  </r>
  <r>
    <x v="5"/>
    <x v="26"/>
    <n v="3"/>
    <n v="6.4"/>
    <n v="7"/>
    <x v="1"/>
    <x v="9"/>
    <n v="7"/>
    <n v="22.96875"/>
    <n v="7.5796875000000004"/>
    <m/>
  </r>
  <r>
    <x v="5"/>
    <x v="26"/>
    <n v="3"/>
    <n v="6.4"/>
    <n v="7"/>
    <x v="1"/>
    <x v="10"/>
    <n v="8"/>
    <n v="26.25"/>
    <n v="8.6624999999999996"/>
    <m/>
  </r>
  <r>
    <x v="5"/>
    <x v="26"/>
    <n v="3"/>
    <n v="6.4"/>
    <n v="7"/>
    <x v="1"/>
    <x v="11"/>
    <n v="3"/>
    <n v="9.84375"/>
    <n v="3.2484375000000001"/>
    <m/>
  </r>
  <r>
    <x v="5"/>
    <x v="26"/>
    <n v="3"/>
    <n v="6.4"/>
    <n v="7"/>
    <x v="2"/>
    <x v="12"/>
    <n v="7"/>
    <n v="22.96875"/>
    <n v="7.5796875000000004"/>
    <m/>
  </r>
  <r>
    <x v="5"/>
    <x v="26"/>
    <n v="3"/>
    <n v="6.4"/>
    <n v="7"/>
    <x v="2"/>
    <x v="13"/>
    <n v="8"/>
    <n v="26.25"/>
    <n v="8.6624999999999996"/>
    <m/>
  </r>
  <r>
    <x v="5"/>
    <x v="26"/>
    <n v="3"/>
    <n v="6.4"/>
    <n v="7"/>
    <x v="2"/>
    <x v="14"/>
    <n v="8"/>
    <n v="26.25"/>
    <n v="8.6624999999999996"/>
    <m/>
  </r>
  <r>
    <x v="5"/>
    <x v="26"/>
    <n v="3"/>
    <n v="6.4"/>
    <n v="7"/>
    <x v="2"/>
    <x v="15"/>
    <n v="8"/>
    <n v="26.25"/>
    <n v="8.6624999999999996"/>
    <m/>
  </r>
  <r>
    <x v="5"/>
    <x v="26"/>
    <n v="3"/>
    <n v="6.4"/>
    <n v="7"/>
    <x v="2"/>
    <x v="16"/>
    <n v="7"/>
    <n v="22.96875"/>
    <n v="7.5796875000000004"/>
    <m/>
  </r>
  <r>
    <x v="5"/>
    <x v="26"/>
    <n v="3"/>
    <n v="6.4"/>
    <n v="7"/>
    <x v="2"/>
    <x v="17"/>
    <n v="3"/>
    <n v="9.84375"/>
    <n v="3.2484375000000001"/>
    <m/>
  </r>
  <r>
    <x v="5"/>
    <x v="26"/>
    <n v="3"/>
    <n v="6.4"/>
    <n v="7"/>
    <x v="3"/>
    <x v="18"/>
    <n v="8"/>
    <n v="26.25"/>
    <n v="8.6624999999999996"/>
    <m/>
  </r>
  <r>
    <x v="5"/>
    <x v="26"/>
    <n v="3"/>
    <n v="6.4"/>
    <n v="7"/>
    <x v="3"/>
    <x v="19"/>
    <n v="7"/>
    <n v="22.96875"/>
    <n v="7.5796875000000004"/>
    <m/>
  </r>
  <r>
    <x v="5"/>
    <x v="26"/>
    <n v="3"/>
    <n v="6.4"/>
    <n v="7"/>
    <x v="3"/>
    <x v="20"/>
    <n v="7"/>
    <n v="22.96875"/>
    <n v="7.5796875000000004"/>
    <m/>
  </r>
  <r>
    <x v="5"/>
    <x v="26"/>
    <n v="3"/>
    <n v="6.4"/>
    <n v="7"/>
    <x v="3"/>
    <x v="21"/>
    <n v="7"/>
    <n v="22.96875"/>
    <n v="7.5796875000000004"/>
    <m/>
  </r>
  <r>
    <x v="5"/>
    <x v="26"/>
    <n v="3"/>
    <n v="6.4"/>
    <n v="7"/>
    <x v="3"/>
    <x v="22"/>
    <n v="8"/>
    <n v="26.25"/>
    <n v="8.6624999999999996"/>
    <m/>
  </r>
  <r>
    <x v="5"/>
    <x v="26"/>
    <n v="3"/>
    <n v="6.4"/>
    <n v="7"/>
    <x v="3"/>
    <x v="23"/>
    <n v="8"/>
    <n v="26.25"/>
    <n v="6"/>
    <m/>
  </r>
  <r>
    <x v="5"/>
    <x v="27"/>
    <n v="3"/>
    <n v="4.8"/>
    <n v="7"/>
    <x v="0"/>
    <x v="0"/>
    <n v="7"/>
    <n v="30.625"/>
    <n v="6.7374999999999998"/>
    <m/>
  </r>
  <r>
    <x v="5"/>
    <x v="27"/>
    <n v="3"/>
    <n v="4.8"/>
    <n v="7"/>
    <x v="0"/>
    <x v="1"/>
    <n v="8"/>
    <n v="35"/>
    <n v="7.7"/>
    <m/>
  </r>
  <r>
    <x v="5"/>
    <x v="27"/>
    <n v="3"/>
    <n v="4.8"/>
    <n v="7"/>
    <x v="0"/>
    <x v="2"/>
    <n v="6"/>
    <n v="26.25"/>
    <n v="5.7750000000000004"/>
    <m/>
  </r>
  <r>
    <x v="5"/>
    <x v="27"/>
    <n v="3"/>
    <n v="4.8"/>
    <n v="7"/>
    <x v="0"/>
    <x v="3"/>
    <n v="8"/>
    <n v="35"/>
    <n v="7.7"/>
    <m/>
  </r>
  <r>
    <x v="5"/>
    <x v="27"/>
    <n v="3"/>
    <n v="4.8"/>
    <n v="7"/>
    <x v="0"/>
    <x v="4"/>
    <n v="8"/>
    <n v="35"/>
    <n v="7.7"/>
    <m/>
  </r>
  <r>
    <x v="5"/>
    <x v="27"/>
    <n v="3"/>
    <n v="4.8"/>
    <n v="7"/>
    <x v="0"/>
    <x v="5"/>
    <n v="2"/>
    <n v="8.75"/>
    <n v="1.925"/>
    <m/>
  </r>
  <r>
    <x v="5"/>
    <x v="27"/>
    <n v="3"/>
    <n v="4.8"/>
    <n v="7"/>
    <x v="1"/>
    <x v="6"/>
    <n v="7"/>
    <n v="30.625"/>
    <n v="6.7374999999999998"/>
    <m/>
  </r>
  <r>
    <x v="5"/>
    <x v="27"/>
    <n v="3"/>
    <n v="4.8"/>
    <n v="7"/>
    <x v="1"/>
    <x v="7"/>
    <n v="7"/>
    <n v="30.625"/>
    <n v="6.7374999999999998"/>
    <m/>
  </r>
  <r>
    <x v="5"/>
    <x v="27"/>
    <n v="3"/>
    <n v="4.8"/>
    <n v="7"/>
    <x v="1"/>
    <x v="8"/>
    <n v="8"/>
    <n v="35"/>
    <n v="7.7"/>
    <m/>
  </r>
  <r>
    <x v="5"/>
    <x v="27"/>
    <n v="3"/>
    <n v="4.8"/>
    <n v="7"/>
    <x v="1"/>
    <x v="9"/>
    <n v="7"/>
    <n v="30.625"/>
    <n v="6.7374999999999998"/>
    <m/>
  </r>
  <r>
    <x v="5"/>
    <x v="27"/>
    <n v="3"/>
    <n v="4.8"/>
    <n v="7"/>
    <x v="1"/>
    <x v="10"/>
    <n v="8"/>
    <n v="35"/>
    <n v="7.7"/>
    <m/>
  </r>
  <r>
    <x v="5"/>
    <x v="27"/>
    <n v="3"/>
    <n v="4.8"/>
    <n v="7"/>
    <x v="1"/>
    <x v="11"/>
    <n v="3"/>
    <n v="13.125"/>
    <n v="2.8875000000000002"/>
    <m/>
  </r>
  <r>
    <x v="5"/>
    <x v="27"/>
    <n v="3"/>
    <n v="4.8"/>
    <n v="7"/>
    <x v="2"/>
    <x v="12"/>
    <n v="7"/>
    <n v="30.625"/>
    <n v="6.7374999999999998"/>
    <m/>
  </r>
  <r>
    <x v="5"/>
    <x v="27"/>
    <n v="3"/>
    <n v="4.8"/>
    <n v="7"/>
    <x v="2"/>
    <x v="13"/>
    <n v="8"/>
    <n v="35"/>
    <n v="7.7"/>
    <m/>
  </r>
  <r>
    <x v="5"/>
    <x v="27"/>
    <n v="3"/>
    <n v="4.8"/>
    <n v="7"/>
    <x v="2"/>
    <x v="14"/>
    <n v="8"/>
    <n v="35"/>
    <n v="7.7"/>
    <m/>
  </r>
  <r>
    <x v="5"/>
    <x v="27"/>
    <n v="3"/>
    <n v="4.8"/>
    <n v="7"/>
    <x v="2"/>
    <x v="15"/>
    <n v="8"/>
    <n v="35"/>
    <n v="7.7"/>
    <m/>
  </r>
  <r>
    <x v="5"/>
    <x v="27"/>
    <n v="3"/>
    <n v="4.8"/>
    <n v="7"/>
    <x v="2"/>
    <x v="16"/>
    <n v="7"/>
    <n v="30.625"/>
    <n v="6.7374999999999998"/>
    <m/>
  </r>
  <r>
    <x v="5"/>
    <x v="27"/>
    <n v="3"/>
    <n v="4.8"/>
    <n v="7"/>
    <x v="2"/>
    <x v="17"/>
    <n v="3"/>
    <n v="13.125"/>
    <n v="2.8875000000000002"/>
    <m/>
  </r>
  <r>
    <x v="5"/>
    <x v="27"/>
    <n v="3"/>
    <n v="4.8"/>
    <n v="7"/>
    <x v="3"/>
    <x v="18"/>
    <n v="8"/>
    <n v="35"/>
    <n v="7.7"/>
    <m/>
  </r>
  <r>
    <x v="5"/>
    <x v="27"/>
    <n v="3"/>
    <n v="4.8"/>
    <n v="7"/>
    <x v="3"/>
    <x v="19"/>
    <n v="7"/>
    <n v="30.625"/>
    <n v="6.7374999999999998"/>
    <m/>
  </r>
  <r>
    <x v="5"/>
    <x v="27"/>
    <n v="3"/>
    <n v="4.8"/>
    <n v="7"/>
    <x v="3"/>
    <x v="20"/>
    <n v="7"/>
    <n v="30.625"/>
    <n v="6.7374999999999998"/>
    <m/>
  </r>
  <r>
    <x v="5"/>
    <x v="27"/>
    <n v="3"/>
    <n v="4.8"/>
    <n v="7"/>
    <x v="3"/>
    <x v="21"/>
    <n v="7"/>
    <n v="30.625"/>
    <n v="6.7374999999999998"/>
    <m/>
  </r>
  <r>
    <x v="5"/>
    <x v="27"/>
    <n v="3"/>
    <n v="4.8"/>
    <n v="7"/>
    <x v="3"/>
    <x v="22"/>
    <n v="8"/>
    <n v="35"/>
    <n v="12"/>
    <m/>
  </r>
  <r>
    <x v="5"/>
    <x v="27"/>
    <n v="3"/>
    <n v="4.8"/>
    <n v="7"/>
    <x v="3"/>
    <x v="23"/>
    <n v="8"/>
    <n v="35"/>
    <n v="11"/>
    <m/>
  </r>
  <r>
    <x v="5"/>
    <x v="28"/>
    <n v="2"/>
    <n v="4.5"/>
    <n v="7"/>
    <x v="0"/>
    <x v="0"/>
    <n v="7"/>
    <n v="21.777777777777779"/>
    <n v="12.195555555555558"/>
    <m/>
  </r>
  <r>
    <x v="5"/>
    <x v="28"/>
    <n v="2"/>
    <n v="4.5"/>
    <n v="7"/>
    <x v="0"/>
    <x v="1"/>
    <n v="8"/>
    <n v="24.888888888888889"/>
    <n v="13.937777777777779"/>
    <m/>
  </r>
  <r>
    <x v="5"/>
    <x v="28"/>
    <n v="2"/>
    <n v="4.5"/>
    <n v="7"/>
    <x v="0"/>
    <x v="2"/>
    <n v="6"/>
    <n v="18.666666666666668"/>
    <n v="10.453333333333335"/>
    <m/>
  </r>
  <r>
    <x v="5"/>
    <x v="28"/>
    <n v="2"/>
    <n v="4.5"/>
    <n v="7"/>
    <x v="0"/>
    <x v="3"/>
    <n v="8"/>
    <n v="24.888888888888889"/>
    <n v="13.937777777777779"/>
    <m/>
  </r>
  <r>
    <x v="5"/>
    <x v="28"/>
    <n v="2"/>
    <n v="4.5"/>
    <n v="7"/>
    <x v="0"/>
    <x v="4"/>
    <n v="8"/>
    <n v="24.888888888888889"/>
    <n v="13.937777777777779"/>
    <m/>
  </r>
  <r>
    <x v="5"/>
    <x v="28"/>
    <n v="2"/>
    <n v="4.5"/>
    <n v="7"/>
    <x v="0"/>
    <x v="5"/>
    <n v="2"/>
    <n v="6.2222222222222223"/>
    <n v="3.4844444444444447"/>
    <m/>
  </r>
  <r>
    <x v="5"/>
    <x v="28"/>
    <n v="2"/>
    <n v="4.5"/>
    <n v="7"/>
    <x v="1"/>
    <x v="6"/>
    <n v="7"/>
    <n v="21.777777777777779"/>
    <n v="12.195555555555558"/>
    <m/>
  </r>
  <r>
    <x v="5"/>
    <x v="28"/>
    <n v="2"/>
    <n v="4.5"/>
    <n v="7"/>
    <x v="1"/>
    <x v="7"/>
    <n v="7"/>
    <n v="21.777777777777779"/>
    <n v="12.195555555555558"/>
    <m/>
  </r>
  <r>
    <x v="5"/>
    <x v="28"/>
    <n v="2"/>
    <n v="4.5"/>
    <n v="7"/>
    <x v="1"/>
    <x v="8"/>
    <n v="8"/>
    <n v="24.888888888888889"/>
    <n v="13.937777777777779"/>
    <m/>
  </r>
  <r>
    <x v="5"/>
    <x v="28"/>
    <n v="2"/>
    <n v="4.5"/>
    <n v="7"/>
    <x v="1"/>
    <x v="9"/>
    <n v="7"/>
    <n v="21.777777777777779"/>
    <n v="12.195555555555558"/>
    <m/>
  </r>
  <r>
    <x v="5"/>
    <x v="28"/>
    <n v="2"/>
    <n v="4.5"/>
    <n v="7"/>
    <x v="1"/>
    <x v="10"/>
    <n v="8"/>
    <n v="24.888888888888889"/>
    <n v="13.937777777777779"/>
    <m/>
  </r>
  <r>
    <x v="5"/>
    <x v="28"/>
    <n v="2"/>
    <n v="4.5"/>
    <n v="7"/>
    <x v="1"/>
    <x v="11"/>
    <n v="3"/>
    <n v="9.3333333333333339"/>
    <n v="5.2266666666666675"/>
    <m/>
  </r>
  <r>
    <x v="5"/>
    <x v="28"/>
    <n v="2"/>
    <n v="4.5"/>
    <n v="7"/>
    <x v="2"/>
    <x v="12"/>
    <n v="7"/>
    <n v="21.777777777777779"/>
    <n v="12.195555555555558"/>
    <m/>
  </r>
  <r>
    <x v="5"/>
    <x v="28"/>
    <n v="2"/>
    <n v="4.5"/>
    <n v="7"/>
    <x v="2"/>
    <x v="13"/>
    <n v="8"/>
    <n v="24.888888888888889"/>
    <n v="13.937777777777779"/>
    <m/>
  </r>
  <r>
    <x v="5"/>
    <x v="28"/>
    <n v="2"/>
    <n v="4.5"/>
    <n v="7"/>
    <x v="2"/>
    <x v="14"/>
    <n v="8"/>
    <n v="24.888888888888889"/>
    <n v="13.937777777777779"/>
    <m/>
  </r>
  <r>
    <x v="5"/>
    <x v="28"/>
    <n v="2"/>
    <n v="4.5"/>
    <n v="7"/>
    <x v="2"/>
    <x v="15"/>
    <n v="8"/>
    <n v="24.888888888888889"/>
    <n v="13.937777777777779"/>
    <m/>
  </r>
  <r>
    <x v="5"/>
    <x v="28"/>
    <n v="2"/>
    <n v="4.5"/>
    <n v="7"/>
    <x v="2"/>
    <x v="16"/>
    <n v="7"/>
    <n v="21.777777777777779"/>
    <n v="12.195555555555558"/>
    <m/>
  </r>
  <r>
    <x v="5"/>
    <x v="28"/>
    <n v="2"/>
    <n v="4.5"/>
    <n v="7"/>
    <x v="2"/>
    <x v="17"/>
    <n v="3"/>
    <n v="9.3333333333333339"/>
    <n v="5.2266666666666675"/>
    <m/>
  </r>
  <r>
    <x v="5"/>
    <x v="28"/>
    <n v="2"/>
    <n v="4.5"/>
    <n v="7"/>
    <x v="3"/>
    <x v="18"/>
    <n v="8"/>
    <n v="24.888888888888889"/>
    <n v="13.937777777777779"/>
    <m/>
  </r>
  <r>
    <x v="5"/>
    <x v="28"/>
    <n v="2"/>
    <n v="4.5"/>
    <n v="7"/>
    <x v="3"/>
    <x v="19"/>
    <n v="7"/>
    <n v="21.777777777777779"/>
    <n v="12.195555555555558"/>
    <m/>
  </r>
  <r>
    <x v="5"/>
    <x v="28"/>
    <n v="2"/>
    <n v="4.5"/>
    <n v="7"/>
    <x v="3"/>
    <x v="20"/>
    <n v="7"/>
    <n v="21.777777777777779"/>
    <n v="12.195555555555558"/>
    <m/>
  </r>
  <r>
    <x v="5"/>
    <x v="28"/>
    <n v="2"/>
    <n v="4.5"/>
    <n v="7"/>
    <x v="3"/>
    <x v="21"/>
    <n v="7"/>
    <n v="21.777777777777779"/>
    <n v="12.195555555555558"/>
    <m/>
  </r>
  <r>
    <x v="5"/>
    <x v="28"/>
    <n v="2"/>
    <n v="4.5"/>
    <n v="7"/>
    <x v="3"/>
    <x v="22"/>
    <n v="8"/>
    <n v="24.888888888888889"/>
    <n v="13.937777777777779"/>
    <m/>
  </r>
  <r>
    <x v="5"/>
    <x v="28"/>
    <n v="2"/>
    <n v="4.5"/>
    <n v="7"/>
    <x v="3"/>
    <x v="23"/>
    <n v="8"/>
    <n v="24.888888888888889"/>
    <n v="11"/>
    <m/>
  </r>
  <r>
    <x v="5"/>
    <x v="29"/>
    <n v="8"/>
    <n v="5.8"/>
    <n v="7"/>
    <x v="0"/>
    <x v="0"/>
    <n v="7"/>
    <n v="67.58620689655173"/>
    <n v="10.13793103448276"/>
    <m/>
  </r>
  <r>
    <x v="5"/>
    <x v="29"/>
    <n v="8"/>
    <n v="5.8"/>
    <n v="7"/>
    <x v="0"/>
    <x v="1"/>
    <n v="8"/>
    <n v="77.241379310344826"/>
    <n v="11.586206896551724"/>
    <m/>
  </r>
  <r>
    <x v="5"/>
    <x v="29"/>
    <n v="8"/>
    <n v="5.8"/>
    <n v="7"/>
    <x v="0"/>
    <x v="2"/>
    <n v="6"/>
    <n v="57.931034482758619"/>
    <n v="8.6896551724137918"/>
    <m/>
  </r>
  <r>
    <x v="5"/>
    <x v="29"/>
    <n v="8"/>
    <n v="5.8"/>
    <n v="7"/>
    <x v="0"/>
    <x v="3"/>
    <n v="8"/>
    <n v="77.241379310344826"/>
    <n v="11.586206896551724"/>
    <m/>
  </r>
  <r>
    <x v="5"/>
    <x v="29"/>
    <n v="8"/>
    <n v="5.8"/>
    <n v="7"/>
    <x v="0"/>
    <x v="4"/>
    <n v="8"/>
    <n v="77.241379310344826"/>
    <n v="11.586206896551724"/>
    <m/>
  </r>
  <r>
    <x v="5"/>
    <x v="29"/>
    <n v="8"/>
    <n v="5.8"/>
    <n v="7"/>
    <x v="0"/>
    <x v="5"/>
    <n v="2"/>
    <n v="19.310344827586206"/>
    <n v="2.896551724137931"/>
    <m/>
  </r>
  <r>
    <x v="5"/>
    <x v="29"/>
    <n v="8"/>
    <n v="5.8"/>
    <n v="7"/>
    <x v="1"/>
    <x v="6"/>
    <n v="7"/>
    <n v="67.58620689655173"/>
    <n v="10.13793103448276"/>
    <m/>
  </r>
  <r>
    <x v="5"/>
    <x v="29"/>
    <n v="8"/>
    <n v="5.8"/>
    <n v="7"/>
    <x v="1"/>
    <x v="7"/>
    <n v="7"/>
    <n v="67.58620689655173"/>
    <n v="10.13793103448276"/>
    <m/>
  </r>
  <r>
    <x v="5"/>
    <x v="29"/>
    <n v="8"/>
    <n v="5.8"/>
    <n v="7"/>
    <x v="1"/>
    <x v="8"/>
    <n v="8"/>
    <n v="77.241379310344826"/>
    <n v="11.586206896551724"/>
    <m/>
  </r>
  <r>
    <x v="5"/>
    <x v="29"/>
    <n v="8"/>
    <n v="5.8"/>
    <n v="7"/>
    <x v="1"/>
    <x v="9"/>
    <n v="7"/>
    <n v="67.58620689655173"/>
    <n v="10.13793103448276"/>
    <m/>
  </r>
  <r>
    <x v="5"/>
    <x v="29"/>
    <n v="8"/>
    <n v="5.8"/>
    <n v="7"/>
    <x v="1"/>
    <x v="10"/>
    <n v="8"/>
    <n v="77.241379310344826"/>
    <n v="11.586206896551724"/>
    <m/>
  </r>
  <r>
    <x v="5"/>
    <x v="29"/>
    <n v="8"/>
    <n v="5.8"/>
    <n v="7"/>
    <x v="1"/>
    <x v="11"/>
    <n v="3"/>
    <n v="28.96551724137931"/>
    <n v="4.3448275862068959"/>
    <m/>
  </r>
  <r>
    <x v="5"/>
    <x v="29"/>
    <n v="8"/>
    <n v="5.8"/>
    <n v="7"/>
    <x v="2"/>
    <x v="12"/>
    <n v="7"/>
    <n v="67.58620689655173"/>
    <n v="10.13793103448276"/>
    <m/>
  </r>
  <r>
    <x v="5"/>
    <x v="29"/>
    <n v="8"/>
    <n v="5.8"/>
    <n v="7"/>
    <x v="2"/>
    <x v="13"/>
    <n v="8"/>
    <n v="77.241379310344826"/>
    <n v="11.586206896551724"/>
    <m/>
  </r>
  <r>
    <x v="5"/>
    <x v="29"/>
    <n v="8"/>
    <n v="5.8"/>
    <n v="7"/>
    <x v="2"/>
    <x v="14"/>
    <n v="8"/>
    <n v="77.241379310344826"/>
    <n v="11.586206896551724"/>
    <m/>
  </r>
  <r>
    <x v="5"/>
    <x v="29"/>
    <n v="8"/>
    <n v="5.8"/>
    <n v="7"/>
    <x v="2"/>
    <x v="15"/>
    <n v="8"/>
    <n v="77.241379310344826"/>
    <n v="11.586206896551724"/>
    <m/>
  </r>
  <r>
    <x v="5"/>
    <x v="29"/>
    <n v="8"/>
    <n v="5.8"/>
    <n v="7"/>
    <x v="2"/>
    <x v="16"/>
    <n v="7"/>
    <n v="67.58620689655173"/>
    <n v="10.13793103448276"/>
    <m/>
  </r>
  <r>
    <x v="5"/>
    <x v="29"/>
    <n v="8"/>
    <n v="5.8"/>
    <n v="7"/>
    <x v="2"/>
    <x v="17"/>
    <n v="3"/>
    <n v="28.96551724137931"/>
    <n v="4.3448275862068959"/>
    <m/>
  </r>
  <r>
    <x v="5"/>
    <x v="29"/>
    <n v="8"/>
    <n v="5.8"/>
    <n v="7"/>
    <x v="3"/>
    <x v="18"/>
    <n v="8"/>
    <n v="77.241379310344826"/>
    <n v="11.586206896551724"/>
    <m/>
  </r>
  <r>
    <x v="5"/>
    <x v="29"/>
    <n v="8"/>
    <n v="5.8"/>
    <n v="7"/>
    <x v="3"/>
    <x v="19"/>
    <n v="7"/>
    <n v="67.58620689655173"/>
    <n v="10.13793103448276"/>
    <m/>
  </r>
  <r>
    <x v="5"/>
    <x v="29"/>
    <n v="8"/>
    <n v="5.8"/>
    <n v="7"/>
    <x v="3"/>
    <x v="20"/>
    <n v="7"/>
    <n v="67.58620689655173"/>
    <n v="10.13793103448276"/>
    <m/>
  </r>
  <r>
    <x v="5"/>
    <x v="29"/>
    <n v="8"/>
    <n v="5.8"/>
    <n v="7"/>
    <x v="3"/>
    <x v="21"/>
    <n v="7"/>
    <n v="67.58620689655173"/>
    <n v="10.13793103448276"/>
    <m/>
  </r>
  <r>
    <x v="5"/>
    <x v="29"/>
    <n v="8"/>
    <n v="5.8"/>
    <n v="7"/>
    <x v="3"/>
    <x v="22"/>
    <n v="8"/>
    <n v="77.241379310344826"/>
    <n v="11.586206896551724"/>
    <m/>
  </r>
  <r>
    <x v="5"/>
    <x v="29"/>
    <n v="8"/>
    <n v="5.8"/>
    <n v="7"/>
    <x v="3"/>
    <x v="23"/>
    <n v="8"/>
    <n v="77.241379310344826"/>
    <n v="11.586206896551724"/>
    <m/>
  </r>
  <r>
    <x v="6"/>
    <x v="30"/>
    <n v="7"/>
    <n v="6.8"/>
    <n v="7"/>
    <x v="0"/>
    <x v="0"/>
    <n v="7"/>
    <n v="50.441176470588239"/>
    <m/>
    <m/>
  </r>
  <r>
    <x v="6"/>
    <x v="30"/>
    <n v="7"/>
    <n v="6.8"/>
    <n v="7"/>
    <x v="0"/>
    <x v="1"/>
    <n v="8"/>
    <n v="57.647058823529413"/>
    <m/>
    <m/>
  </r>
  <r>
    <x v="6"/>
    <x v="30"/>
    <n v="7"/>
    <n v="6.8"/>
    <n v="7"/>
    <x v="0"/>
    <x v="2"/>
    <n v="6"/>
    <n v="43.235294117647058"/>
    <m/>
    <m/>
  </r>
  <r>
    <x v="6"/>
    <x v="30"/>
    <n v="7"/>
    <n v="6.8"/>
    <n v="7"/>
    <x v="0"/>
    <x v="3"/>
    <n v="8"/>
    <n v="57.647058823529413"/>
    <m/>
    <m/>
  </r>
  <r>
    <x v="6"/>
    <x v="30"/>
    <n v="7"/>
    <n v="6.8"/>
    <n v="7"/>
    <x v="0"/>
    <x v="4"/>
    <n v="8"/>
    <n v="57.647058823529413"/>
    <m/>
    <m/>
  </r>
  <r>
    <x v="6"/>
    <x v="30"/>
    <n v="7"/>
    <n v="6.8"/>
    <n v="7"/>
    <x v="0"/>
    <x v="5"/>
    <n v="2"/>
    <n v="14.411764705882353"/>
    <m/>
    <m/>
  </r>
  <r>
    <x v="6"/>
    <x v="30"/>
    <n v="7"/>
    <n v="6.8"/>
    <n v="7"/>
    <x v="1"/>
    <x v="6"/>
    <n v="7"/>
    <n v="50.441176470588239"/>
    <m/>
    <m/>
  </r>
  <r>
    <x v="6"/>
    <x v="30"/>
    <n v="7"/>
    <n v="6.8"/>
    <n v="7"/>
    <x v="1"/>
    <x v="7"/>
    <n v="7"/>
    <n v="50.441176470588239"/>
    <m/>
    <m/>
  </r>
  <r>
    <x v="6"/>
    <x v="30"/>
    <n v="7"/>
    <n v="6.8"/>
    <n v="7"/>
    <x v="1"/>
    <x v="8"/>
    <n v="8"/>
    <n v="57.647058823529413"/>
    <m/>
    <m/>
  </r>
  <r>
    <x v="6"/>
    <x v="30"/>
    <n v="7"/>
    <n v="6.8"/>
    <n v="7"/>
    <x v="1"/>
    <x v="9"/>
    <n v="7"/>
    <n v="50.441176470588239"/>
    <m/>
    <m/>
  </r>
  <r>
    <x v="6"/>
    <x v="30"/>
    <n v="7"/>
    <n v="6.8"/>
    <n v="7"/>
    <x v="1"/>
    <x v="10"/>
    <n v="8"/>
    <n v="57.647058823529413"/>
    <m/>
    <m/>
  </r>
  <r>
    <x v="6"/>
    <x v="30"/>
    <n v="7"/>
    <n v="6.8"/>
    <n v="7"/>
    <x v="1"/>
    <x v="11"/>
    <n v="3"/>
    <n v="21.617647058823529"/>
    <m/>
    <m/>
  </r>
  <r>
    <x v="6"/>
    <x v="30"/>
    <n v="7"/>
    <n v="6.8"/>
    <n v="7"/>
    <x v="2"/>
    <x v="12"/>
    <n v="7"/>
    <n v="50.441176470588239"/>
    <m/>
    <m/>
  </r>
  <r>
    <x v="6"/>
    <x v="30"/>
    <n v="7"/>
    <n v="6.8"/>
    <n v="7"/>
    <x v="2"/>
    <x v="13"/>
    <n v="8"/>
    <n v="57.647058823529413"/>
    <m/>
    <m/>
  </r>
  <r>
    <x v="6"/>
    <x v="30"/>
    <n v="7"/>
    <n v="6.8"/>
    <n v="7"/>
    <x v="2"/>
    <x v="14"/>
    <n v="8"/>
    <n v="57.647058823529413"/>
    <m/>
    <m/>
  </r>
  <r>
    <x v="6"/>
    <x v="30"/>
    <n v="7"/>
    <n v="6.8"/>
    <n v="7"/>
    <x v="2"/>
    <x v="15"/>
    <n v="8"/>
    <n v="57.647058823529413"/>
    <m/>
    <m/>
  </r>
  <r>
    <x v="6"/>
    <x v="30"/>
    <n v="7"/>
    <n v="6.8"/>
    <n v="7"/>
    <x v="2"/>
    <x v="16"/>
    <n v="7"/>
    <n v="50.441176470588239"/>
    <m/>
    <m/>
  </r>
  <r>
    <x v="6"/>
    <x v="30"/>
    <n v="7"/>
    <n v="6.8"/>
    <n v="7"/>
    <x v="2"/>
    <x v="17"/>
    <n v="3"/>
    <n v="21.617647058823529"/>
    <m/>
    <m/>
  </r>
  <r>
    <x v="6"/>
    <x v="30"/>
    <n v="7"/>
    <n v="6.8"/>
    <n v="7"/>
    <x v="3"/>
    <x v="18"/>
    <n v="8"/>
    <n v="57.647058823529413"/>
    <m/>
    <m/>
  </r>
  <r>
    <x v="6"/>
    <x v="30"/>
    <n v="7"/>
    <n v="6.8"/>
    <n v="7"/>
    <x v="3"/>
    <x v="19"/>
    <n v="7"/>
    <n v="50.441176470588239"/>
    <m/>
    <m/>
  </r>
  <r>
    <x v="6"/>
    <x v="30"/>
    <n v="7"/>
    <n v="6.8"/>
    <n v="7"/>
    <x v="3"/>
    <x v="20"/>
    <n v="7"/>
    <n v="50.441176470588239"/>
    <m/>
    <m/>
  </r>
  <r>
    <x v="6"/>
    <x v="30"/>
    <n v="7"/>
    <n v="6.8"/>
    <n v="7"/>
    <x v="3"/>
    <x v="21"/>
    <n v="7"/>
    <n v="50.441176470588239"/>
    <m/>
    <m/>
  </r>
  <r>
    <x v="6"/>
    <x v="30"/>
    <n v="7"/>
    <n v="6.8"/>
    <n v="7"/>
    <x v="3"/>
    <x v="22"/>
    <n v="8"/>
    <n v="57.647058823529413"/>
    <m/>
    <m/>
  </r>
  <r>
    <x v="6"/>
    <x v="30"/>
    <n v="7"/>
    <n v="6.8"/>
    <n v="7"/>
    <x v="3"/>
    <x v="23"/>
    <n v="8"/>
    <n v="57.647058823529413"/>
    <m/>
    <m/>
  </r>
  <r>
    <x v="7"/>
    <x v="31"/>
    <n v="10"/>
    <n v="6.6"/>
    <n v="7"/>
    <x v="0"/>
    <x v="0"/>
    <n v="7"/>
    <n v="74.242424242424249"/>
    <m/>
    <m/>
  </r>
  <r>
    <x v="7"/>
    <x v="31"/>
    <n v="10"/>
    <n v="6.6"/>
    <n v="7"/>
    <x v="0"/>
    <x v="1"/>
    <n v="8"/>
    <n v="84.848484848484858"/>
    <m/>
    <m/>
  </r>
  <r>
    <x v="7"/>
    <x v="31"/>
    <n v="10"/>
    <n v="6.6"/>
    <n v="7"/>
    <x v="0"/>
    <x v="2"/>
    <n v="6"/>
    <n v="63.63636363636364"/>
    <m/>
    <m/>
  </r>
  <r>
    <x v="7"/>
    <x v="31"/>
    <n v="10"/>
    <n v="6.6"/>
    <n v="7"/>
    <x v="0"/>
    <x v="3"/>
    <n v="8"/>
    <n v="84.848484848484858"/>
    <m/>
    <m/>
  </r>
  <r>
    <x v="7"/>
    <x v="31"/>
    <n v="10"/>
    <n v="6.6"/>
    <n v="7"/>
    <x v="0"/>
    <x v="4"/>
    <n v="8"/>
    <n v="84.848484848484858"/>
    <m/>
    <m/>
  </r>
  <r>
    <x v="7"/>
    <x v="31"/>
    <n v="10"/>
    <n v="6.6"/>
    <n v="7"/>
    <x v="0"/>
    <x v="5"/>
    <n v="2"/>
    <n v="21.212121212121215"/>
    <m/>
    <m/>
  </r>
  <r>
    <x v="7"/>
    <x v="31"/>
    <n v="10"/>
    <n v="6.6"/>
    <n v="7"/>
    <x v="1"/>
    <x v="6"/>
    <n v="7"/>
    <n v="74.242424242424249"/>
    <m/>
    <m/>
  </r>
  <r>
    <x v="7"/>
    <x v="31"/>
    <n v="10"/>
    <n v="6.6"/>
    <n v="7"/>
    <x v="1"/>
    <x v="7"/>
    <n v="7"/>
    <n v="74.242424242424249"/>
    <m/>
    <m/>
  </r>
  <r>
    <x v="7"/>
    <x v="31"/>
    <n v="10"/>
    <n v="6.6"/>
    <n v="7"/>
    <x v="1"/>
    <x v="8"/>
    <n v="8"/>
    <n v="84.848484848484858"/>
    <m/>
    <m/>
  </r>
  <r>
    <x v="7"/>
    <x v="31"/>
    <n v="10"/>
    <n v="6.6"/>
    <n v="7"/>
    <x v="1"/>
    <x v="9"/>
    <n v="7"/>
    <n v="74.242424242424249"/>
    <m/>
    <m/>
  </r>
  <r>
    <x v="7"/>
    <x v="31"/>
    <n v="10"/>
    <n v="6.6"/>
    <n v="7"/>
    <x v="1"/>
    <x v="10"/>
    <n v="8"/>
    <n v="84.848484848484858"/>
    <m/>
    <m/>
  </r>
  <r>
    <x v="7"/>
    <x v="31"/>
    <n v="10"/>
    <n v="6.6"/>
    <n v="7"/>
    <x v="1"/>
    <x v="11"/>
    <n v="3"/>
    <n v="31.81818181818182"/>
    <m/>
    <m/>
  </r>
  <r>
    <x v="7"/>
    <x v="31"/>
    <n v="10"/>
    <n v="6.6"/>
    <n v="7"/>
    <x v="2"/>
    <x v="12"/>
    <n v="7"/>
    <n v="74.242424242424249"/>
    <n v="2"/>
    <m/>
  </r>
  <r>
    <x v="7"/>
    <x v="31"/>
    <n v="10"/>
    <n v="6.6"/>
    <n v="7"/>
    <x v="2"/>
    <x v="13"/>
    <n v="8"/>
    <n v="84.848484848484858"/>
    <n v="2"/>
    <m/>
  </r>
  <r>
    <x v="7"/>
    <x v="31"/>
    <n v="10"/>
    <n v="6.6"/>
    <n v="7"/>
    <x v="2"/>
    <x v="14"/>
    <n v="8"/>
    <n v="84.848484848484858"/>
    <n v="2"/>
    <m/>
  </r>
  <r>
    <x v="7"/>
    <x v="31"/>
    <n v="10"/>
    <n v="6.6"/>
    <n v="7"/>
    <x v="2"/>
    <x v="15"/>
    <n v="8"/>
    <n v="84.848484848484858"/>
    <m/>
    <m/>
  </r>
  <r>
    <x v="7"/>
    <x v="31"/>
    <n v="10"/>
    <n v="6.6"/>
    <n v="7"/>
    <x v="2"/>
    <x v="16"/>
    <n v="7"/>
    <n v="74.242424242424249"/>
    <m/>
    <m/>
  </r>
  <r>
    <x v="7"/>
    <x v="31"/>
    <n v="10"/>
    <n v="6.6"/>
    <n v="7"/>
    <x v="2"/>
    <x v="17"/>
    <n v="3"/>
    <n v="31.81818181818182"/>
    <m/>
    <m/>
  </r>
  <r>
    <x v="7"/>
    <x v="31"/>
    <n v="10"/>
    <n v="6.6"/>
    <n v="7"/>
    <x v="3"/>
    <x v="18"/>
    <n v="8"/>
    <n v="84.848484848484858"/>
    <m/>
    <m/>
  </r>
  <r>
    <x v="7"/>
    <x v="31"/>
    <n v="10"/>
    <n v="6.6"/>
    <n v="7"/>
    <x v="3"/>
    <x v="19"/>
    <n v="7"/>
    <n v="74.242424242424249"/>
    <m/>
    <m/>
  </r>
  <r>
    <x v="7"/>
    <x v="31"/>
    <n v="10"/>
    <n v="6.6"/>
    <n v="7"/>
    <x v="3"/>
    <x v="20"/>
    <n v="7"/>
    <n v="74.242424242424249"/>
    <m/>
    <m/>
  </r>
  <r>
    <x v="7"/>
    <x v="31"/>
    <n v="10"/>
    <n v="6.6"/>
    <n v="7"/>
    <x v="3"/>
    <x v="21"/>
    <n v="7"/>
    <n v="74.242424242424249"/>
    <m/>
    <m/>
  </r>
  <r>
    <x v="7"/>
    <x v="31"/>
    <n v="10"/>
    <n v="6.6"/>
    <n v="7"/>
    <x v="3"/>
    <x v="22"/>
    <n v="8"/>
    <n v="84.848484848484858"/>
    <m/>
    <m/>
  </r>
  <r>
    <x v="7"/>
    <x v="31"/>
    <n v="10"/>
    <n v="6.6"/>
    <n v="7"/>
    <x v="3"/>
    <x v="23"/>
    <n v="8"/>
    <n v="84.848484848484858"/>
    <m/>
    <m/>
  </r>
  <r>
    <x v="6"/>
    <x v="32"/>
    <n v="6"/>
    <n v="7"/>
    <n v="7"/>
    <x v="0"/>
    <x v="0"/>
    <n v="7"/>
    <n v="42"/>
    <m/>
    <m/>
  </r>
  <r>
    <x v="6"/>
    <x v="32"/>
    <n v="6"/>
    <n v="7"/>
    <n v="7"/>
    <x v="0"/>
    <x v="1"/>
    <n v="8"/>
    <n v="48"/>
    <m/>
    <m/>
  </r>
  <r>
    <x v="6"/>
    <x v="32"/>
    <n v="6"/>
    <n v="7"/>
    <n v="7"/>
    <x v="0"/>
    <x v="2"/>
    <n v="6"/>
    <n v="36"/>
    <m/>
    <m/>
  </r>
  <r>
    <x v="6"/>
    <x v="32"/>
    <n v="6"/>
    <n v="7"/>
    <n v="7"/>
    <x v="0"/>
    <x v="3"/>
    <n v="8"/>
    <n v="48"/>
    <m/>
    <m/>
  </r>
  <r>
    <x v="6"/>
    <x v="32"/>
    <n v="6"/>
    <n v="7"/>
    <n v="7"/>
    <x v="0"/>
    <x v="4"/>
    <n v="8"/>
    <n v="48"/>
    <m/>
    <m/>
  </r>
  <r>
    <x v="6"/>
    <x v="32"/>
    <n v="6"/>
    <n v="7"/>
    <n v="7"/>
    <x v="0"/>
    <x v="5"/>
    <n v="2"/>
    <n v="12"/>
    <m/>
    <m/>
  </r>
  <r>
    <x v="6"/>
    <x v="32"/>
    <n v="6"/>
    <n v="7"/>
    <n v="7"/>
    <x v="1"/>
    <x v="6"/>
    <n v="7"/>
    <n v="42"/>
    <m/>
    <m/>
  </r>
  <r>
    <x v="6"/>
    <x v="32"/>
    <n v="6"/>
    <n v="7"/>
    <n v="7"/>
    <x v="1"/>
    <x v="7"/>
    <n v="7"/>
    <n v="42"/>
    <m/>
    <m/>
  </r>
  <r>
    <x v="6"/>
    <x v="32"/>
    <n v="6"/>
    <n v="7"/>
    <n v="7"/>
    <x v="1"/>
    <x v="8"/>
    <n v="8"/>
    <n v="48"/>
    <m/>
    <m/>
  </r>
  <r>
    <x v="6"/>
    <x v="32"/>
    <n v="6"/>
    <n v="7"/>
    <n v="7"/>
    <x v="1"/>
    <x v="9"/>
    <n v="7"/>
    <n v="42"/>
    <m/>
    <m/>
  </r>
  <r>
    <x v="6"/>
    <x v="32"/>
    <n v="6"/>
    <n v="7"/>
    <n v="7"/>
    <x v="1"/>
    <x v="10"/>
    <n v="8"/>
    <n v="48"/>
    <m/>
    <m/>
  </r>
  <r>
    <x v="6"/>
    <x v="32"/>
    <n v="6"/>
    <n v="7"/>
    <n v="7"/>
    <x v="1"/>
    <x v="11"/>
    <n v="3"/>
    <n v="18"/>
    <m/>
    <m/>
  </r>
  <r>
    <x v="6"/>
    <x v="32"/>
    <n v="6"/>
    <n v="7"/>
    <n v="7"/>
    <x v="2"/>
    <x v="12"/>
    <n v="7"/>
    <n v="42"/>
    <m/>
    <m/>
  </r>
  <r>
    <x v="6"/>
    <x v="32"/>
    <n v="6"/>
    <n v="7"/>
    <n v="7"/>
    <x v="2"/>
    <x v="13"/>
    <n v="8"/>
    <n v="48"/>
    <m/>
    <m/>
  </r>
  <r>
    <x v="6"/>
    <x v="32"/>
    <n v="6"/>
    <n v="7"/>
    <n v="7"/>
    <x v="2"/>
    <x v="14"/>
    <n v="8"/>
    <n v="48"/>
    <m/>
    <m/>
  </r>
  <r>
    <x v="6"/>
    <x v="32"/>
    <n v="6"/>
    <n v="7"/>
    <n v="7"/>
    <x v="2"/>
    <x v="15"/>
    <n v="8"/>
    <n v="48"/>
    <m/>
    <m/>
  </r>
  <r>
    <x v="6"/>
    <x v="32"/>
    <n v="6"/>
    <n v="7"/>
    <n v="7"/>
    <x v="2"/>
    <x v="16"/>
    <n v="7"/>
    <n v="42"/>
    <m/>
    <m/>
  </r>
  <r>
    <x v="6"/>
    <x v="32"/>
    <n v="6"/>
    <n v="7"/>
    <n v="7"/>
    <x v="2"/>
    <x v="17"/>
    <n v="3"/>
    <n v="18"/>
    <m/>
    <m/>
  </r>
  <r>
    <x v="6"/>
    <x v="32"/>
    <n v="6"/>
    <n v="7"/>
    <n v="7"/>
    <x v="3"/>
    <x v="18"/>
    <n v="8"/>
    <n v="48"/>
    <m/>
    <m/>
  </r>
  <r>
    <x v="6"/>
    <x v="32"/>
    <n v="6"/>
    <n v="7"/>
    <n v="7"/>
    <x v="3"/>
    <x v="19"/>
    <n v="7"/>
    <n v="42"/>
    <m/>
    <m/>
  </r>
  <r>
    <x v="6"/>
    <x v="32"/>
    <n v="6"/>
    <n v="7"/>
    <n v="7"/>
    <x v="3"/>
    <x v="20"/>
    <n v="7"/>
    <n v="42"/>
    <m/>
    <m/>
  </r>
  <r>
    <x v="6"/>
    <x v="32"/>
    <n v="6"/>
    <n v="7"/>
    <n v="7"/>
    <x v="3"/>
    <x v="21"/>
    <n v="7"/>
    <n v="42"/>
    <m/>
    <m/>
  </r>
  <r>
    <x v="6"/>
    <x v="32"/>
    <n v="6"/>
    <n v="7"/>
    <n v="7"/>
    <x v="3"/>
    <x v="22"/>
    <n v="8"/>
    <n v="48"/>
    <m/>
    <m/>
  </r>
  <r>
    <x v="6"/>
    <x v="32"/>
    <n v="6"/>
    <n v="7"/>
    <n v="7"/>
    <x v="3"/>
    <x v="23"/>
    <n v="8"/>
    <n v="48"/>
    <m/>
    <m/>
  </r>
  <r>
    <x v="7"/>
    <x v="33"/>
    <n v="4"/>
    <n v="7.3"/>
    <n v="7"/>
    <x v="0"/>
    <x v="0"/>
    <n v="7"/>
    <n v="26.849315068493151"/>
    <m/>
    <m/>
  </r>
  <r>
    <x v="7"/>
    <x v="33"/>
    <n v="4"/>
    <n v="7.3"/>
    <n v="7"/>
    <x v="0"/>
    <x v="1"/>
    <n v="8"/>
    <n v="30.684931506849317"/>
    <m/>
    <m/>
  </r>
  <r>
    <x v="7"/>
    <x v="33"/>
    <n v="4"/>
    <n v="7.3"/>
    <n v="7"/>
    <x v="0"/>
    <x v="2"/>
    <n v="6"/>
    <n v="23.013698630136986"/>
    <m/>
    <m/>
  </r>
  <r>
    <x v="7"/>
    <x v="33"/>
    <n v="4"/>
    <n v="7.3"/>
    <n v="7"/>
    <x v="0"/>
    <x v="3"/>
    <n v="8"/>
    <n v="30.684931506849317"/>
    <m/>
    <m/>
  </r>
  <r>
    <x v="7"/>
    <x v="33"/>
    <n v="4"/>
    <n v="7.3"/>
    <n v="7"/>
    <x v="0"/>
    <x v="4"/>
    <n v="8"/>
    <n v="30.684931506849317"/>
    <m/>
    <m/>
  </r>
  <r>
    <x v="7"/>
    <x v="33"/>
    <n v="4"/>
    <n v="7.3"/>
    <n v="7"/>
    <x v="0"/>
    <x v="5"/>
    <n v="2"/>
    <n v="7.6712328767123292"/>
    <m/>
    <m/>
  </r>
  <r>
    <x v="7"/>
    <x v="33"/>
    <n v="4"/>
    <n v="7.3"/>
    <n v="7"/>
    <x v="1"/>
    <x v="6"/>
    <n v="7"/>
    <n v="26.849315068493151"/>
    <m/>
    <m/>
  </r>
  <r>
    <x v="7"/>
    <x v="33"/>
    <n v="4"/>
    <n v="7.3"/>
    <n v="7"/>
    <x v="1"/>
    <x v="7"/>
    <n v="7"/>
    <n v="26.849315068493151"/>
    <m/>
    <m/>
  </r>
  <r>
    <x v="7"/>
    <x v="33"/>
    <n v="4"/>
    <n v="7.3"/>
    <n v="7"/>
    <x v="1"/>
    <x v="8"/>
    <n v="8"/>
    <n v="30.684931506849317"/>
    <m/>
    <m/>
  </r>
  <r>
    <x v="7"/>
    <x v="33"/>
    <n v="4"/>
    <n v="7.3"/>
    <n v="7"/>
    <x v="1"/>
    <x v="9"/>
    <n v="7"/>
    <n v="26.849315068493151"/>
    <m/>
    <m/>
  </r>
  <r>
    <x v="7"/>
    <x v="33"/>
    <n v="4"/>
    <n v="7.3"/>
    <n v="7"/>
    <x v="1"/>
    <x v="10"/>
    <n v="8"/>
    <n v="30.684931506849317"/>
    <m/>
    <m/>
  </r>
  <r>
    <x v="7"/>
    <x v="33"/>
    <n v="4"/>
    <n v="7.3"/>
    <n v="7"/>
    <x v="1"/>
    <x v="11"/>
    <n v="3"/>
    <n v="11.506849315068493"/>
    <m/>
    <m/>
  </r>
  <r>
    <x v="7"/>
    <x v="33"/>
    <n v="4"/>
    <n v="7.3"/>
    <n v="7"/>
    <x v="2"/>
    <x v="12"/>
    <n v="7"/>
    <n v="26.849315068493151"/>
    <n v="1"/>
    <m/>
  </r>
  <r>
    <x v="7"/>
    <x v="33"/>
    <n v="4"/>
    <n v="7.3"/>
    <n v="7"/>
    <x v="2"/>
    <x v="13"/>
    <n v="8"/>
    <n v="30.684931506849317"/>
    <n v="1"/>
    <m/>
  </r>
  <r>
    <x v="7"/>
    <x v="33"/>
    <n v="4"/>
    <n v="7.3"/>
    <n v="7"/>
    <x v="2"/>
    <x v="14"/>
    <n v="8"/>
    <n v="30.684931506849317"/>
    <n v="1"/>
    <m/>
  </r>
  <r>
    <x v="7"/>
    <x v="33"/>
    <n v="4"/>
    <n v="7.3"/>
    <n v="7"/>
    <x v="2"/>
    <x v="15"/>
    <n v="8"/>
    <n v="30.684931506849317"/>
    <m/>
    <m/>
  </r>
  <r>
    <x v="7"/>
    <x v="33"/>
    <n v="4"/>
    <n v="7.3"/>
    <n v="7"/>
    <x v="2"/>
    <x v="16"/>
    <n v="7"/>
    <n v="26.849315068493151"/>
    <m/>
    <m/>
  </r>
  <r>
    <x v="7"/>
    <x v="33"/>
    <n v="4"/>
    <n v="7.3"/>
    <n v="7"/>
    <x v="2"/>
    <x v="17"/>
    <n v="3"/>
    <n v="11.506849315068493"/>
    <m/>
    <m/>
  </r>
  <r>
    <x v="7"/>
    <x v="33"/>
    <n v="4"/>
    <n v="7.3"/>
    <n v="7"/>
    <x v="3"/>
    <x v="18"/>
    <n v="8"/>
    <n v="30.684931506849317"/>
    <m/>
    <m/>
  </r>
  <r>
    <x v="7"/>
    <x v="33"/>
    <n v="4"/>
    <n v="7.3"/>
    <n v="7"/>
    <x v="3"/>
    <x v="19"/>
    <n v="7"/>
    <n v="26.849315068493151"/>
    <m/>
    <m/>
  </r>
  <r>
    <x v="7"/>
    <x v="33"/>
    <n v="4"/>
    <n v="7.3"/>
    <n v="7"/>
    <x v="3"/>
    <x v="20"/>
    <n v="7"/>
    <n v="26.849315068493151"/>
    <m/>
    <m/>
  </r>
  <r>
    <x v="7"/>
    <x v="33"/>
    <n v="4"/>
    <n v="7.3"/>
    <n v="7"/>
    <x v="3"/>
    <x v="21"/>
    <n v="7"/>
    <n v="26.849315068493151"/>
    <m/>
    <m/>
  </r>
  <r>
    <x v="7"/>
    <x v="34"/>
    <n v="4"/>
    <n v="7.3"/>
    <n v="7"/>
    <x v="3"/>
    <x v="22"/>
    <n v="8"/>
    <n v="30.684931506849317"/>
    <m/>
    <m/>
  </r>
  <r>
    <x v="7"/>
    <x v="34"/>
    <n v="4"/>
    <n v="7.3"/>
    <n v="7"/>
    <x v="3"/>
    <x v="23"/>
    <n v="8"/>
    <n v="30.684931506849317"/>
    <m/>
    <m/>
  </r>
  <r>
    <x v="7"/>
    <x v="35"/>
    <n v="2"/>
    <n v="7"/>
    <n v="7"/>
    <x v="0"/>
    <x v="0"/>
    <n v="7"/>
    <n v="14"/>
    <m/>
    <m/>
  </r>
  <r>
    <x v="7"/>
    <x v="35"/>
    <n v="2"/>
    <n v="7"/>
    <n v="7"/>
    <x v="0"/>
    <x v="1"/>
    <n v="8"/>
    <n v="16"/>
    <m/>
    <m/>
  </r>
  <r>
    <x v="7"/>
    <x v="35"/>
    <n v="2"/>
    <n v="7"/>
    <n v="7"/>
    <x v="0"/>
    <x v="2"/>
    <n v="6"/>
    <n v="12"/>
    <m/>
    <m/>
  </r>
  <r>
    <x v="7"/>
    <x v="35"/>
    <n v="2"/>
    <n v="7"/>
    <n v="7"/>
    <x v="0"/>
    <x v="3"/>
    <n v="8"/>
    <n v="16"/>
    <m/>
    <m/>
  </r>
  <r>
    <x v="7"/>
    <x v="35"/>
    <n v="2"/>
    <n v="7"/>
    <n v="7"/>
    <x v="0"/>
    <x v="4"/>
    <n v="8"/>
    <n v="16"/>
    <m/>
    <m/>
  </r>
  <r>
    <x v="7"/>
    <x v="35"/>
    <n v="2"/>
    <n v="7"/>
    <n v="7"/>
    <x v="0"/>
    <x v="5"/>
    <n v="2"/>
    <n v="4"/>
    <m/>
    <m/>
  </r>
  <r>
    <x v="7"/>
    <x v="35"/>
    <n v="2"/>
    <n v="7"/>
    <n v="7"/>
    <x v="1"/>
    <x v="6"/>
    <n v="7"/>
    <n v="14"/>
    <m/>
    <m/>
  </r>
  <r>
    <x v="7"/>
    <x v="35"/>
    <n v="2"/>
    <n v="7"/>
    <n v="7"/>
    <x v="1"/>
    <x v="7"/>
    <n v="7"/>
    <n v="14"/>
    <m/>
    <m/>
  </r>
  <r>
    <x v="7"/>
    <x v="35"/>
    <n v="2"/>
    <n v="7"/>
    <n v="7"/>
    <x v="1"/>
    <x v="8"/>
    <n v="8"/>
    <n v="16"/>
    <m/>
    <m/>
  </r>
  <r>
    <x v="7"/>
    <x v="35"/>
    <n v="2"/>
    <n v="7"/>
    <n v="7"/>
    <x v="1"/>
    <x v="9"/>
    <n v="7"/>
    <n v="14"/>
    <m/>
    <m/>
  </r>
  <r>
    <x v="7"/>
    <x v="35"/>
    <n v="2"/>
    <n v="7"/>
    <n v="7"/>
    <x v="1"/>
    <x v="10"/>
    <n v="8"/>
    <n v="16"/>
    <m/>
    <m/>
  </r>
  <r>
    <x v="7"/>
    <x v="35"/>
    <n v="2"/>
    <n v="7"/>
    <n v="7"/>
    <x v="1"/>
    <x v="11"/>
    <n v="3"/>
    <n v="6"/>
    <m/>
    <m/>
  </r>
  <r>
    <x v="7"/>
    <x v="35"/>
    <n v="2"/>
    <n v="7"/>
    <n v="7"/>
    <x v="2"/>
    <x v="12"/>
    <n v="7"/>
    <n v="14"/>
    <m/>
    <m/>
  </r>
  <r>
    <x v="7"/>
    <x v="35"/>
    <n v="2"/>
    <n v="7"/>
    <n v="7"/>
    <x v="2"/>
    <x v="13"/>
    <n v="8"/>
    <n v="16"/>
    <m/>
    <m/>
  </r>
  <r>
    <x v="7"/>
    <x v="35"/>
    <n v="2"/>
    <n v="7"/>
    <n v="7"/>
    <x v="2"/>
    <x v="14"/>
    <n v="8"/>
    <n v="16"/>
    <m/>
    <m/>
  </r>
  <r>
    <x v="7"/>
    <x v="35"/>
    <n v="2"/>
    <n v="7"/>
    <n v="7"/>
    <x v="2"/>
    <x v="15"/>
    <n v="8"/>
    <n v="16"/>
    <m/>
    <m/>
  </r>
  <r>
    <x v="7"/>
    <x v="35"/>
    <n v="2"/>
    <n v="7"/>
    <n v="7"/>
    <x v="2"/>
    <x v="16"/>
    <n v="7"/>
    <n v="14"/>
    <m/>
    <m/>
  </r>
  <r>
    <x v="7"/>
    <x v="35"/>
    <n v="2"/>
    <n v="7"/>
    <n v="7"/>
    <x v="2"/>
    <x v="17"/>
    <n v="3"/>
    <n v="6"/>
    <m/>
    <m/>
  </r>
  <r>
    <x v="7"/>
    <x v="35"/>
    <n v="2"/>
    <n v="7"/>
    <n v="7"/>
    <x v="3"/>
    <x v="18"/>
    <n v="8"/>
    <n v="16"/>
    <m/>
    <m/>
  </r>
  <r>
    <x v="7"/>
    <x v="35"/>
    <n v="2"/>
    <n v="7"/>
    <n v="7"/>
    <x v="3"/>
    <x v="19"/>
    <n v="7"/>
    <n v="14"/>
    <m/>
    <m/>
  </r>
  <r>
    <x v="7"/>
    <x v="35"/>
    <n v="2"/>
    <n v="7"/>
    <n v="7"/>
    <x v="3"/>
    <x v="20"/>
    <n v="7"/>
    <n v="14"/>
    <m/>
    <m/>
  </r>
  <r>
    <x v="7"/>
    <x v="35"/>
    <n v="2"/>
    <n v="7"/>
    <n v="7"/>
    <x v="3"/>
    <x v="21"/>
    <n v="7"/>
    <n v="14"/>
    <m/>
    <m/>
  </r>
  <r>
    <x v="7"/>
    <x v="35"/>
    <n v="2"/>
    <n v="7"/>
    <n v="7"/>
    <x v="3"/>
    <x v="22"/>
    <n v="8"/>
    <n v="16"/>
    <m/>
    <m/>
  </r>
  <r>
    <x v="7"/>
    <x v="35"/>
    <n v="2"/>
    <n v="7"/>
    <n v="7"/>
    <x v="3"/>
    <x v="23"/>
    <n v="8"/>
    <n v="16"/>
    <m/>
    <m/>
  </r>
  <r>
    <x v="8"/>
    <x v="36"/>
    <n v="7"/>
    <n v="4.8"/>
    <n v="7"/>
    <x v="0"/>
    <x v="0"/>
    <n v="7"/>
    <n v="71.458333333333343"/>
    <n v="14.29166666666667"/>
    <m/>
  </r>
  <r>
    <x v="8"/>
    <x v="36"/>
    <n v="7"/>
    <n v="4.8"/>
    <n v="7"/>
    <x v="0"/>
    <x v="1"/>
    <n v="8"/>
    <n v="81.666666666666671"/>
    <n v="16.333333333333336"/>
    <m/>
  </r>
  <r>
    <x v="8"/>
    <x v="36"/>
    <n v="7"/>
    <n v="4.8"/>
    <n v="7"/>
    <x v="0"/>
    <x v="2"/>
    <n v="6"/>
    <n v="61.25"/>
    <n v="12.25"/>
    <m/>
  </r>
  <r>
    <x v="8"/>
    <x v="36"/>
    <n v="7"/>
    <n v="4.8"/>
    <n v="7"/>
    <x v="0"/>
    <x v="3"/>
    <n v="8"/>
    <n v="81.666666666666671"/>
    <n v="16.333333333333336"/>
    <m/>
  </r>
  <r>
    <x v="8"/>
    <x v="36"/>
    <n v="7"/>
    <n v="4.8"/>
    <n v="7"/>
    <x v="0"/>
    <x v="4"/>
    <n v="8"/>
    <n v="81.666666666666671"/>
    <n v="16.333333333333336"/>
    <m/>
  </r>
  <r>
    <x v="8"/>
    <x v="36"/>
    <n v="7"/>
    <n v="4.8"/>
    <n v="7"/>
    <x v="0"/>
    <x v="5"/>
    <n v="2"/>
    <n v="20.416666666666668"/>
    <n v="4.0833333333333339"/>
    <m/>
  </r>
  <r>
    <x v="8"/>
    <x v="36"/>
    <n v="7"/>
    <n v="4.8"/>
    <n v="7"/>
    <x v="1"/>
    <x v="6"/>
    <n v="7"/>
    <n v="71.458333333333343"/>
    <n v="14.29166666666667"/>
    <m/>
  </r>
  <r>
    <x v="8"/>
    <x v="36"/>
    <n v="7"/>
    <n v="4.8"/>
    <n v="7"/>
    <x v="1"/>
    <x v="7"/>
    <n v="7"/>
    <n v="71.458333333333343"/>
    <n v="14.29166666666667"/>
    <m/>
  </r>
  <r>
    <x v="8"/>
    <x v="36"/>
    <n v="7"/>
    <n v="4.8"/>
    <n v="7"/>
    <x v="1"/>
    <x v="8"/>
    <n v="8"/>
    <n v="81.666666666666671"/>
    <n v="16.333333333333336"/>
    <m/>
  </r>
  <r>
    <x v="8"/>
    <x v="36"/>
    <n v="7"/>
    <n v="4.8"/>
    <n v="7"/>
    <x v="1"/>
    <x v="9"/>
    <n v="7"/>
    <n v="71.458333333333343"/>
    <n v="14.29166666666667"/>
    <m/>
  </r>
  <r>
    <x v="8"/>
    <x v="36"/>
    <n v="7"/>
    <n v="4.8"/>
    <n v="7"/>
    <x v="1"/>
    <x v="10"/>
    <n v="8"/>
    <n v="81.666666666666671"/>
    <n v="16.333333333333336"/>
    <m/>
  </r>
  <r>
    <x v="8"/>
    <x v="36"/>
    <n v="7"/>
    <n v="4.8"/>
    <n v="7"/>
    <x v="1"/>
    <x v="11"/>
    <n v="3"/>
    <n v="30.625"/>
    <n v="6.125"/>
    <m/>
  </r>
  <r>
    <x v="8"/>
    <x v="36"/>
    <n v="7"/>
    <n v="4.8"/>
    <n v="7"/>
    <x v="2"/>
    <x v="12"/>
    <n v="7"/>
    <n v="71.458333333333343"/>
    <n v="14.29166666666667"/>
    <m/>
  </r>
  <r>
    <x v="8"/>
    <x v="36"/>
    <n v="7"/>
    <n v="4.8"/>
    <n v="7"/>
    <x v="2"/>
    <x v="13"/>
    <n v="8"/>
    <n v="81.666666666666671"/>
    <n v="16.333333333333336"/>
    <m/>
  </r>
  <r>
    <x v="8"/>
    <x v="36"/>
    <n v="7"/>
    <n v="4.8"/>
    <n v="7"/>
    <x v="2"/>
    <x v="14"/>
    <n v="8"/>
    <n v="81.666666666666671"/>
    <n v="20.416666666666668"/>
    <m/>
  </r>
  <r>
    <x v="8"/>
    <x v="36"/>
    <n v="7"/>
    <n v="4.8"/>
    <n v="7"/>
    <x v="2"/>
    <x v="15"/>
    <n v="8"/>
    <n v="81.666666666666671"/>
    <n v="24.5"/>
    <m/>
  </r>
  <r>
    <x v="8"/>
    <x v="36"/>
    <n v="7"/>
    <n v="4.8"/>
    <n v="7"/>
    <x v="2"/>
    <x v="16"/>
    <n v="7"/>
    <n v="71.458333333333343"/>
    <n v="18.221875000000004"/>
    <m/>
  </r>
  <r>
    <x v="8"/>
    <x v="36"/>
    <n v="7"/>
    <n v="4.8"/>
    <n v="7"/>
    <x v="2"/>
    <x v="17"/>
    <n v="3"/>
    <n v="30.625"/>
    <n v="14.7"/>
    <m/>
  </r>
  <r>
    <x v="8"/>
    <x v="36"/>
    <n v="7"/>
    <n v="4.8"/>
    <n v="7"/>
    <x v="3"/>
    <x v="18"/>
    <n v="8"/>
    <n v="81.666666666666671"/>
    <n v="12.25"/>
    <m/>
  </r>
  <r>
    <x v="8"/>
    <x v="36"/>
    <n v="7"/>
    <n v="4.8"/>
    <n v="7"/>
    <x v="3"/>
    <x v="19"/>
    <n v="7"/>
    <n v="71.458333333333343"/>
    <n v="10.718750000000002"/>
    <m/>
  </r>
  <r>
    <x v="8"/>
    <x v="36"/>
    <n v="7"/>
    <n v="4.8"/>
    <n v="7"/>
    <x v="3"/>
    <x v="20"/>
    <n v="7"/>
    <n v="71.458333333333343"/>
    <n v="10.718750000000002"/>
    <m/>
  </r>
  <r>
    <x v="8"/>
    <x v="36"/>
    <n v="7"/>
    <n v="4.8"/>
    <n v="7"/>
    <x v="3"/>
    <x v="21"/>
    <n v="7"/>
    <n v="71.458333333333343"/>
    <n v="10.718750000000002"/>
    <m/>
  </r>
  <r>
    <x v="8"/>
    <x v="36"/>
    <n v="7"/>
    <n v="4.8"/>
    <n v="7"/>
    <x v="3"/>
    <x v="22"/>
    <n v="8"/>
    <n v="81.666666666666671"/>
    <n v="12.25"/>
    <m/>
  </r>
  <r>
    <x v="8"/>
    <x v="36"/>
    <n v="7"/>
    <n v="4.8"/>
    <n v="7"/>
    <x v="3"/>
    <x v="23"/>
    <n v="8"/>
    <n v="81.666666666666671"/>
    <n v="12.25"/>
    <m/>
  </r>
  <r>
    <x v="8"/>
    <x v="37"/>
    <n v="6"/>
    <n v="5.0999999999999996"/>
    <n v="7"/>
    <x v="0"/>
    <x v="0"/>
    <n v="7"/>
    <n v="57.647058823529413"/>
    <n v="5.764705882352942"/>
    <m/>
  </r>
  <r>
    <x v="8"/>
    <x v="37"/>
    <n v="6"/>
    <n v="5.0999999999999996"/>
    <n v="7"/>
    <x v="0"/>
    <x v="1"/>
    <n v="8"/>
    <n v="65.882352941176478"/>
    <n v="13.176470588235297"/>
    <m/>
  </r>
  <r>
    <x v="8"/>
    <x v="37"/>
    <n v="6"/>
    <n v="5.0999999999999996"/>
    <n v="7"/>
    <x v="0"/>
    <x v="2"/>
    <n v="6"/>
    <n v="49.411764705882355"/>
    <n v="7"/>
    <m/>
  </r>
  <r>
    <x v="8"/>
    <x v="37"/>
    <n v="6"/>
    <n v="5.0999999999999996"/>
    <n v="7"/>
    <x v="0"/>
    <x v="3"/>
    <n v="8"/>
    <n v="65.882352941176478"/>
    <n v="5.25"/>
    <m/>
  </r>
  <r>
    <x v="8"/>
    <x v="37"/>
    <n v="6"/>
    <n v="5.0999999999999996"/>
    <n v="7"/>
    <x v="0"/>
    <x v="4"/>
    <n v="8"/>
    <n v="65.882352941176478"/>
    <n v="6.9999999999999991"/>
    <m/>
  </r>
  <r>
    <x v="8"/>
    <x v="37"/>
    <n v="6"/>
    <n v="5.0999999999999996"/>
    <n v="7"/>
    <x v="0"/>
    <x v="5"/>
    <n v="2"/>
    <n v="16.47058823529412"/>
    <n v="3.2941176470588243"/>
    <m/>
  </r>
  <r>
    <x v="8"/>
    <x v="37"/>
    <n v="6"/>
    <n v="5.0999999999999996"/>
    <n v="7"/>
    <x v="1"/>
    <x v="6"/>
    <n v="7"/>
    <n v="57.647058823529413"/>
    <n v="2.625"/>
    <m/>
  </r>
  <r>
    <x v="8"/>
    <x v="37"/>
    <n v="6"/>
    <n v="5.0999999999999996"/>
    <n v="7"/>
    <x v="1"/>
    <x v="7"/>
    <n v="7"/>
    <n v="57.647058823529413"/>
    <n v="11.529411764705884"/>
    <m/>
  </r>
  <r>
    <x v="8"/>
    <x v="37"/>
    <n v="6"/>
    <n v="5.0999999999999996"/>
    <n v="7"/>
    <x v="1"/>
    <x v="8"/>
    <n v="8"/>
    <n v="65.882352941176478"/>
    <n v="13.176470588235297"/>
    <m/>
  </r>
  <r>
    <x v="8"/>
    <x v="37"/>
    <n v="6"/>
    <n v="5.0999999999999996"/>
    <n v="7"/>
    <x v="1"/>
    <x v="9"/>
    <n v="7"/>
    <n v="57.647058823529413"/>
    <n v="11.529411764705884"/>
    <m/>
  </r>
  <r>
    <x v="8"/>
    <x v="37"/>
    <n v="6"/>
    <n v="5.0999999999999996"/>
    <n v="7"/>
    <x v="1"/>
    <x v="10"/>
    <n v="8"/>
    <n v="65.882352941176478"/>
    <n v="13.176470588235297"/>
    <m/>
  </r>
  <r>
    <x v="8"/>
    <x v="37"/>
    <n v="6"/>
    <n v="5.0999999999999996"/>
    <n v="7"/>
    <x v="1"/>
    <x v="11"/>
    <n v="3"/>
    <n v="24.705882352941178"/>
    <n v="4.9411764705882355"/>
    <m/>
  </r>
  <r>
    <x v="8"/>
    <x v="37"/>
    <n v="6"/>
    <n v="5.0999999999999996"/>
    <n v="7"/>
    <x v="2"/>
    <x v="12"/>
    <n v="7"/>
    <n v="57.647058823529413"/>
    <n v="11.529411764705884"/>
    <m/>
  </r>
  <r>
    <x v="8"/>
    <x v="37"/>
    <n v="6"/>
    <n v="5.0999999999999996"/>
    <n v="7"/>
    <x v="2"/>
    <x v="13"/>
    <n v="8"/>
    <n v="65.882352941176478"/>
    <n v="16.47058823529412"/>
    <m/>
  </r>
  <r>
    <x v="8"/>
    <x v="37"/>
    <n v="6"/>
    <n v="5.0999999999999996"/>
    <n v="7"/>
    <x v="2"/>
    <x v="14"/>
    <n v="8"/>
    <n v="65.882352941176478"/>
    <n v="16.47058823529412"/>
    <m/>
  </r>
  <r>
    <x v="8"/>
    <x v="37"/>
    <n v="6"/>
    <n v="5.0999999999999996"/>
    <n v="7"/>
    <x v="2"/>
    <x v="15"/>
    <n v="8"/>
    <n v="65.882352941176478"/>
    <n v="16.47058823529412"/>
    <m/>
  </r>
  <r>
    <x v="8"/>
    <x v="37"/>
    <n v="6"/>
    <n v="5.0999999999999996"/>
    <n v="7"/>
    <x v="2"/>
    <x v="16"/>
    <n v="7"/>
    <n v="57.647058823529413"/>
    <n v="14.411764705882353"/>
    <m/>
  </r>
  <r>
    <x v="8"/>
    <x v="37"/>
    <n v="6"/>
    <n v="5.0999999999999996"/>
    <n v="7"/>
    <x v="2"/>
    <x v="17"/>
    <n v="3"/>
    <n v="24.705882352941178"/>
    <n v="6.1764705882352944"/>
    <m/>
  </r>
  <r>
    <x v="8"/>
    <x v="37"/>
    <n v="6"/>
    <n v="5.0999999999999996"/>
    <n v="7"/>
    <x v="3"/>
    <x v="18"/>
    <n v="8"/>
    <n v="65.882352941176478"/>
    <n v="11.374999999999998"/>
    <m/>
  </r>
  <r>
    <x v="8"/>
    <x v="37"/>
    <n v="6"/>
    <n v="5.0999999999999996"/>
    <n v="7"/>
    <x v="3"/>
    <x v="19"/>
    <n v="7"/>
    <n v="57.647058823529413"/>
    <n v="6.9999999999999991"/>
    <m/>
  </r>
  <r>
    <x v="8"/>
    <x v="37"/>
    <n v="6"/>
    <n v="5.0999999999999996"/>
    <n v="7"/>
    <x v="3"/>
    <x v="20"/>
    <n v="7"/>
    <n v="57.647058823529413"/>
    <n v="6.9999999999999991"/>
    <m/>
  </r>
  <r>
    <x v="8"/>
    <x v="37"/>
    <n v="6"/>
    <n v="5.0999999999999996"/>
    <n v="7"/>
    <x v="3"/>
    <x v="21"/>
    <n v="7"/>
    <n v="57.647058823529413"/>
    <n v="6.125"/>
    <m/>
  </r>
  <r>
    <x v="8"/>
    <x v="37"/>
    <n v="6"/>
    <n v="5.0999999999999996"/>
    <n v="7"/>
    <x v="3"/>
    <x v="22"/>
    <n v="8"/>
    <n v="65.882352941176478"/>
    <n v="6.9999999999999991"/>
    <m/>
  </r>
  <r>
    <x v="8"/>
    <x v="37"/>
    <n v="6"/>
    <n v="5.0999999999999996"/>
    <n v="7"/>
    <x v="3"/>
    <x v="23"/>
    <n v="8"/>
    <n v="65.882352941176478"/>
    <n v="6.9999999999999991"/>
    <m/>
  </r>
  <r>
    <x v="8"/>
    <x v="38"/>
    <n v="10"/>
    <n v="5.9"/>
    <n v="7"/>
    <x v="0"/>
    <x v="0"/>
    <n v="7"/>
    <n v="83.050847457627114"/>
    <n v="7.8400000000000007"/>
    <m/>
  </r>
  <r>
    <x v="8"/>
    <x v="38"/>
    <n v="10"/>
    <n v="5.9"/>
    <n v="7"/>
    <x v="0"/>
    <x v="1"/>
    <n v="8"/>
    <n v="94.915254237288124"/>
    <n v="8.9599999999999991"/>
    <m/>
  </r>
  <r>
    <x v="8"/>
    <x v="38"/>
    <n v="10"/>
    <n v="5.9"/>
    <n v="7"/>
    <x v="0"/>
    <x v="2"/>
    <n v="6"/>
    <n v="71.186440677966104"/>
    <n v="8.9599999999999991"/>
    <m/>
  </r>
  <r>
    <x v="8"/>
    <x v="38"/>
    <n v="10"/>
    <n v="5.9"/>
    <n v="7"/>
    <x v="0"/>
    <x v="3"/>
    <n v="8"/>
    <n v="94.915254237288124"/>
    <n v="8.9599999999999991"/>
    <m/>
  </r>
  <r>
    <x v="8"/>
    <x v="38"/>
    <n v="10"/>
    <n v="5.9"/>
    <n v="7"/>
    <x v="0"/>
    <x v="4"/>
    <n v="8"/>
    <n v="94.915254237288124"/>
    <n v="6.7200000000000006"/>
    <m/>
  </r>
  <r>
    <x v="8"/>
    <x v="38"/>
    <n v="10"/>
    <n v="5.9"/>
    <n v="7"/>
    <x v="0"/>
    <x v="5"/>
    <n v="2"/>
    <n v="23.728813559322031"/>
    <n v="8.9599999999999991"/>
    <m/>
  </r>
  <r>
    <x v="8"/>
    <x v="38"/>
    <n v="10"/>
    <n v="5.9"/>
    <n v="7"/>
    <x v="1"/>
    <x v="6"/>
    <n v="7"/>
    <n v="83.050847457627114"/>
    <n v="3.3600000000000003"/>
    <m/>
  </r>
  <r>
    <x v="8"/>
    <x v="38"/>
    <n v="10"/>
    <n v="5.9"/>
    <n v="7"/>
    <x v="1"/>
    <x v="7"/>
    <n v="7"/>
    <n v="83.050847457627114"/>
    <n v="16.610169491525422"/>
    <m/>
  </r>
  <r>
    <x v="8"/>
    <x v="38"/>
    <n v="10"/>
    <n v="5.9"/>
    <n v="7"/>
    <x v="1"/>
    <x v="8"/>
    <n v="8"/>
    <n v="94.915254237288124"/>
    <n v="18.983050847457626"/>
    <m/>
  </r>
  <r>
    <x v="8"/>
    <x v="38"/>
    <n v="10"/>
    <n v="5.9"/>
    <n v="7"/>
    <x v="1"/>
    <x v="9"/>
    <n v="7"/>
    <n v="83.050847457627114"/>
    <n v="16.610169491525422"/>
    <m/>
  </r>
  <r>
    <x v="8"/>
    <x v="38"/>
    <n v="10"/>
    <n v="5.9"/>
    <n v="7"/>
    <x v="1"/>
    <x v="10"/>
    <n v="8"/>
    <n v="94.915254237288124"/>
    <n v="18.983050847457626"/>
    <m/>
  </r>
  <r>
    <x v="8"/>
    <x v="38"/>
    <n v="10"/>
    <n v="5.9"/>
    <n v="7"/>
    <x v="1"/>
    <x v="11"/>
    <n v="3"/>
    <n v="35.593220338983052"/>
    <n v="7.1186440677966107"/>
    <m/>
  </r>
  <r>
    <x v="8"/>
    <x v="38"/>
    <n v="10"/>
    <n v="5.9"/>
    <n v="7"/>
    <x v="2"/>
    <x v="12"/>
    <n v="7"/>
    <n v="83.050847457627114"/>
    <n v="16.610169491525422"/>
    <m/>
  </r>
  <r>
    <x v="8"/>
    <x v="38"/>
    <n v="10"/>
    <n v="5.9"/>
    <n v="7"/>
    <x v="2"/>
    <x v="13"/>
    <n v="8"/>
    <n v="94.915254237288124"/>
    <n v="23.728813559322031"/>
    <m/>
  </r>
  <r>
    <x v="8"/>
    <x v="38"/>
    <n v="10"/>
    <n v="5.9"/>
    <n v="7"/>
    <x v="2"/>
    <x v="14"/>
    <n v="8"/>
    <n v="94.915254237288124"/>
    <n v="23.728813559322031"/>
    <m/>
  </r>
  <r>
    <x v="8"/>
    <x v="38"/>
    <n v="10"/>
    <n v="5.9"/>
    <n v="7"/>
    <x v="2"/>
    <x v="15"/>
    <n v="8"/>
    <n v="94.915254237288124"/>
    <n v="23.728813559322031"/>
    <m/>
  </r>
  <r>
    <x v="8"/>
    <x v="38"/>
    <n v="10"/>
    <n v="5.9"/>
    <n v="7"/>
    <x v="2"/>
    <x v="16"/>
    <n v="7"/>
    <n v="83.050847457627114"/>
    <n v="20.762711864406779"/>
    <m/>
  </r>
  <r>
    <x v="8"/>
    <x v="38"/>
    <n v="10"/>
    <n v="5.9"/>
    <n v="7"/>
    <x v="2"/>
    <x v="17"/>
    <n v="3"/>
    <n v="35.593220338983052"/>
    <n v="8.898305084745763"/>
    <m/>
  </r>
  <r>
    <x v="8"/>
    <x v="38"/>
    <n v="10"/>
    <n v="5.9"/>
    <n v="7"/>
    <x v="3"/>
    <x v="18"/>
    <n v="8"/>
    <n v="94.915254237288124"/>
    <n v="14.56"/>
    <m/>
  </r>
  <r>
    <x v="8"/>
    <x v="38"/>
    <n v="10"/>
    <n v="5.9"/>
    <n v="7"/>
    <x v="3"/>
    <x v="19"/>
    <n v="7"/>
    <n v="83.050847457627114"/>
    <n v="8.9599999999999991"/>
    <m/>
  </r>
  <r>
    <x v="8"/>
    <x v="38"/>
    <n v="10"/>
    <n v="5.9"/>
    <n v="7"/>
    <x v="3"/>
    <x v="20"/>
    <n v="7"/>
    <n v="83.050847457627114"/>
    <n v="8.9599999999999991"/>
    <m/>
  </r>
  <r>
    <x v="8"/>
    <x v="38"/>
    <n v="10"/>
    <n v="5.9"/>
    <n v="7"/>
    <x v="3"/>
    <x v="21"/>
    <n v="7"/>
    <n v="83.050847457627114"/>
    <n v="7.8400000000000007"/>
    <m/>
  </r>
  <r>
    <x v="8"/>
    <x v="38"/>
    <n v="10"/>
    <n v="5.9"/>
    <n v="7"/>
    <x v="3"/>
    <x v="22"/>
    <n v="8"/>
    <n v="94.915254237288124"/>
    <n v="8.9599999999999991"/>
    <m/>
  </r>
  <r>
    <x v="8"/>
    <x v="38"/>
    <n v="10"/>
    <n v="5.9"/>
    <n v="7"/>
    <x v="3"/>
    <x v="23"/>
    <n v="8"/>
    <n v="94.915254237288124"/>
    <n v="8.9599999999999991"/>
    <m/>
  </r>
  <r>
    <x v="9"/>
    <x v="39"/>
    <n v="6"/>
    <n v="6.4"/>
    <n v="7"/>
    <x v="0"/>
    <x v="0"/>
    <n v="7"/>
    <n v="45.9375"/>
    <m/>
    <m/>
  </r>
  <r>
    <x v="9"/>
    <x v="39"/>
    <n v="6"/>
    <n v="6.4"/>
    <n v="7"/>
    <x v="0"/>
    <x v="1"/>
    <n v="8"/>
    <n v="52.5"/>
    <m/>
    <m/>
  </r>
  <r>
    <x v="9"/>
    <x v="39"/>
    <n v="6"/>
    <n v="6.4"/>
    <n v="7"/>
    <x v="0"/>
    <x v="2"/>
    <n v="6"/>
    <n v="39.375"/>
    <m/>
    <m/>
  </r>
  <r>
    <x v="9"/>
    <x v="39"/>
    <n v="6"/>
    <n v="6.4"/>
    <n v="7"/>
    <x v="0"/>
    <x v="3"/>
    <n v="8"/>
    <n v="52.5"/>
    <m/>
    <m/>
  </r>
  <r>
    <x v="9"/>
    <x v="39"/>
    <n v="6"/>
    <n v="6.4"/>
    <n v="7"/>
    <x v="0"/>
    <x v="4"/>
    <n v="8"/>
    <n v="52.5"/>
    <m/>
    <m/>
  </r>
  <r>
    <x v="9"/>
    <x v="39"/>
    <n v="6"/>
    <n v="6.4"/>
    <n v="7"/>
    <x v="0"/>
    <x v="5"/>
    <n v="2"/>
    <n v="13.125"/>
    <m/>
    <m/>
  </r>
  <r>
    <x v="9"/>
    <x v="39"/>
    <n v="6"/>
    <n v="6.4"/>
    <n v="7"/>
    <x v="1"/>
    <x v="6"/>
    <n v="7"/>
    <n v="45.9375"/>
    <m/>
    <m/>
  </r>
  <r>
    <x v="9"/>
    <x v="39"/>
    <n v="6"/>
    <n v="6.4"/>
    <n v="7"/>
    <x v="1"/>
    <x v="7"/>
    <n v="7"/>
    <n v="45.9375"/>
    <m/>
    <m/>
  </r>
  <r>
    <x v="9"/>
    <x v="39"/>
    <n v="6"/>
    <n v="6.4"/>
    <n v="7"/>
    <x v="1"/>
    <x v="8"/>
    <n v="8"/>
    <n v="52.5"/>
    <m/>
    <m/>
  </r>
  <r>
    <x v="9"/>
    <x v="39"/>
    <n v="6"/>
    <n v="6.4"/>
    <n v="7"/>
    <x v="1"/>
    <x v="9"/>
    <n v="7"/>
    <n v="45.9375"/>
    <m/>
    <m/>
  </r>
  <r>
    <x v="9"/>
    <x v="39"/>
    <n v="6"/>
    <n v="6.4"/>
    <n v="7"/>
    <x v="1"/>
    <x v="10"/>
    <n v="8"/>
    <n v="52.5"/>
    <m/>
    <m/>
  </r>
  <r>
    <x v="9"/>
    <x v="39"/>
    <n v="6"/>
    <n v="6.4"/>
    <n v="7"/>
    <x v="1"/>
    <x v="11"/>
    <n v="3"/>
    <n v="19.6875"/>
    <m/>
    <m/>
  </r>
  <r>
    <x v="9"/>
    <x v="39"/>
    <n v="6"/>
    <n v="6.4"/>
    <n v="7"/>
    <x v="2"/>
    <x v="12"/>
    <n v="7"/>
    <n v="45.9375"/>
    <m/>
    <m/>
  </r>
  <r>
    <x v="9"/>
    <x v="39"/>
    <n v="6"/>
    <n v="6.4"/>
    <n v="7"/>
    <x v="2"/>
    <x v="13"/>
    <n v="8"/>
    <n v="52.5"/>
    <m/>
    <m/>
  </r>
  <r>
    <x v="9"/>
    <x v="39"/>
    <n v="6"/>
    <n v="6.4"/>
    <n v="7"/>
    <x v="2"/>
    <x v="14"/>
    <n v="8"/>
    <n v="52.5"/>
    <m/>
    <m/>
  </r>
  <r>
    <x v="9"/>
    <x v="39"/>
    <n v="6"/>
    <n v="6.4"/>
    <n v="7"/>
    <x v="2"/>
    <x v="15"/>
    <n v="8"/>
    <n v="52.5"/>
    <m/>
    <m/>
  </r>
  <r>
    <x v="9"/>
    <x v="39"/>
    <n v="6"/>
    <n v="6.4"/>
    <n v="7"/>
    <x v="2"/>
    <x v="16"/>
    <n v="7"/>
    <n v="45.9375"/>
    <m/>
    <m/>
  </r>
  <r>
    <x v="9"/>
    <x v="39"/>
    <n v="6"/>
    <n v="6.4"/>
    <n v="7"/>
    <x v="2"/>
    <x v="17"/>
    <n v="3"/>
    <n v="19.6875"/>
    <m/>
    <m/>
  </r>
  <r>
    <x v="9"/>
    <x v="39"/>
    <n v="6"/>
    <n v="6.4"/>
    <n v="7"/>
    <x v="3"/>
    <x v="18"/>
    <n v="8"/>
    <n v="52.5"/>
    <m/>
    <m/>
  </r>
  <r>
    <x v="9"/>
    <x v="39"/>
    <n v="6"/>
    <n v="6.4"/>
    <n v="7"/>
    <x v="3"/>
    <x v="19"/>
    <n v="7"/>
    <n v="45.9375"/>
    <m/>
    <m/>
  </r>
  <r>
    <x v="9"/>
    <x v="39"/>
    <n v="6"/>
    <n v="6.4"/>
    <n v="7"/>
    <x v="3"/>
    <x v="20"/>
    <n v="7"/>
    <n v="45.9375"/>
    <m/>
    <m/>
  </r>
  <r>
    <x v="9"/>
    <x v="39"/>
    <n v="6"/>
    <n v="6.4"/>
    <n v="7"/>
    <x v="3"/>
    <x v="21"/>
    <n v="7"/>
    <n v="45.9375"/>
    <m/>
    <m/>
  </r>
  <r>
    <x v="9"/>
    <x v="39"/>
    <n v="6"/>
    <n v="6.4"/>
    <n v="7"/>
    <x v="3"/>
    <x v="22"/>
    <n v="8"/>
    <n v="52.5"/>
    <m/>
    <m/>
  </r>
  <r>
    <x v="9"/>
    <x v="39"/>
    <n v="6"/>
    <n v="6.4"/>
    <n v="7"/>
    <x v="3"/>
    <x v="23"/>
    <n v="8"/>
    <n v="52.5"/>
    <m/>
    <m/>
  </r>
  <r>
    <x v="9"/>
    <x v="40"/>
    <n v="6"/>
    <n v="5.7"/>
    <n v="7"/>
    <x v="0"/>
    <x v="0"/>
    <n v="7"/>
    <n v="51.578947368421048"/>
    <m/>
    <m/>
  </r>
  <r>
    <x v="9"/>
    <x v="40"/>
    <n v="6"/>
    <n v="5.7"/>
    <n v="7"/>
    <x v="0"/>
    <x v="1"/>
    <n v="8"/>
    <n v="58.94736842105263"/>
    <m/>
    <m/>
  </r>
  <r>
    <x v="9"/>
    <x v="40"/>
    <n v="6"/>
    <n v="5.7"/>
    <n v="7"/>
    <x v="0"/>
    <x v="2"/>
    <n v="6"/>
    <n v="44.210526315789473"/>
    <m/>
    <m/>
  </r>
  <r>
    <x v="9"/>
    <x v="40"/>
    <n v="6"/>
    <n v="5.7"/>
    <n v="7"/>
    <x v="0"/>
    <x v="3"/>
    <n v="8"/>
    <n v="58.94736842105263"/>
    <m/>
    <m/>
  </r>
  <r>
    <x v="9"/>
    <x v="40"/>
    <n v="6"/>
    <n v="5.7"/>
    <n v="7"/>
    <x v="0"/>
    <x v="4"/>
    <n v="8"/>
    <n v="58.94736842105263"/>
    <m/>
    <m/>
  </r>
  <r>
    <x v="9"/>
    <x v="40"/>
    <n v="6"/>
    <n v="5.7"/>
    <n v="7"/>
    <x v="0"/>
    <x v="5"/>
    <n v="2"/>
    <n v="14.736842105263158"/>
    <m/>
    <m/>
  </r>
  <r>
    <x v="9"/>
    <x v="40"/>
    <n v="6"/>
    <n v="5.7"/>
    <n v="7"/>
    <x v="1"/>
    <x v="6"/>
    <n v="7"/>
    <n v="51.578947368421048"/>
    <m/>
    <m/>
  </r>
  <r>
    <x v="9"/>
    <x v="40"/>
    <n v="6"/>
    <n v="5.7"/>
    <n v="7"/>
    <x v="1"/>
    <x v="7"/>
    <n v="7"/>
    <n v="51.578947368421048"/>
    <m/>
    <m/>
  </r>
  <r>
    <x v="9"/>
    <x v="40"/>
    <n v="6"/>
    <n v="5.7"/>
    <n v="7"/>
    <x v="1"/>
    <x v="8"/>
    <n v="8"/>
    <n v="58.94736842105263"/>
    <m/>
    <m/>
  </r>
  <r>
    <x v="9"/>
    <x v="40"/>
    <n v="6"/>
    <n v="5.7"/>
    <n v="7"/>
    <x v="1"/>
    <x v="9"/>
    <n v="7"/>
    <n v="51.578947368421048"/>
    <m/>
    <m/>
  </r>
  <r>
    <x v="9"/>
    <x v="40"/>
    <n v="6"/>
    <n v="5.7"/>
    <n v="7"/>
    <x v="1"/>
    <x v="10"/>
    <n v="8"/>
    <n v="58.94736842105263"/>
    <m/>
    <m/>
  </r>
  <r>
    <x v="9"/>
    <x v="40"/>
    <n v="6"/>
    <n v="5.7"/>
    <n v="7"/>
    <x v="1"/>
    <x v="11"/>
    <n v="3"/>
    <n v="22.105263157894736"/>
    <m/>
    <m/>
  </r>
  <r>
    <x v="9"/>
    <x v="40"/>
    <n v="6"/>
    <n v="5.7"/>
    <n v="7"/>
    <x v="2"/>
    <x v="12"/>
    <n v="7"/>
    <n v="51.578947368421048"/>
    <m/>
    <m/>
  </r>
  <r>
    <x v="9"/>
    <x v="40"/>
    <n v="6"/>
    <n v="5.7"/>
    <n v="7"/>
    <x v="2"/>
    <x v="13"/>
    <n v="8"/>
    <n v="58.94736842105263"/>
    <m/>
    <m/>
  </r>
  <r>
    <x v="9"/>
    <x v="40"/>
    <n v="6"/>
    <n v="5.7"/>
    <n v="7"/>
    <x v="2"/>
    <x v="14"/>
    <n v="8"/>
    <n v="58.94736842105263"/>
    <m/>
    <m/>
  </r>
  <r>
    <x v="9"/>
    <x v="40"/>
    <n v="6"/>
    <n v="5.7"/>
    <n v="7"/>
    <x v="2"/>
    <x v="15"/>
    <n v="8"/>
    <n v="58.94736842105263"/>
    <m/>
    <m/>
  </r>
  <r>
    <x v="9"/>
    <x v="40"/>
    <n v="6"/>
    <n v="5.7"/>
    <n v="7"/>
    <x v="2"/>
    <x v="16"/>
    <n v="7"/>
    <n v="51.578947368421048"/>
    <m/>
    <m/>
  </r>
  <r>
    <x v="9"/>
    <x v="40"/>
    <n v="6"/>
    <n v="5.7"/>
    <n v="7"/>
    <x v="2"/>
    <x v="17"/>
    <n v="3"/>
    <n v="22.105263157894736"/>
    <m/>
    <m/>
  </r>
  <r>
    <x v="9"/>
    <x v="40"/>
    <n v="6"/>
    <n v="5.7"/>
    <n v="7"/>
    <x v="3"/>
    <x v="18"/>
    <n v="8"/>
    <n v="58.94736842105263"/>
    <m/>
    <m/>
  </r>
  <r>
    <x v="9"/>
    <x v="40"/>
    <n v="6"/>
    <n v="5.7"/>
    <n v="7"/>
    <x v="3"/>
    <x v="19"/>
    <n v="7"/>
    <n v="51.578947368421048"/>
    <m/>
    <m/>
  </r>
  <r>
    <x v="9"/>
    <x v="40"/>
    <n v="6"/>
    <n v="5.7"/>
    <n v="7"/>
    <x v="3"/>
    <x v="20"/>
    <n v="7"/>
    <n v="51.578947368421048"/>
    <m/>
    <m/>
  </r>
  <r>
    <x v="9"/>
    <x v="40"/>
    <n v="6"/>
    <n v="5.7"/>
    <n v="7"/>
    <x v="3"/>
    <x v="21"/>
    <n v="7"/>
    <n v="51.578947368421048"/>
    <m/>
    <m/>
  </r>
  <r>
    <x v="9"/>
    <x v="40"/>
    <n v="6"/>
    <n v="5.7"/>
    <n v="7"/>
    <x v="3"/>
    <x v="22"/>
    <n v="8"/>
    <n v="58.94736842105263"/>
    <m/>
    <m/>
  </r>
  <r>
    <x v="9"/>
    <x v="40"/>
    <n v="6"/>
    <n v="5.7"/>
    <n v="7"/>
    <x v="3"/>
    <x v="23"/>
    <n v="8"/>
    <n v="58.94736842105263"/>
    <m/>
    <m/>
  </r>
  <r>
    <x v="9"/>
    <x v="41"/>
    <n v="6"/>
    <n v="7.1"/>
    <n v="7"/>
    <x v="0"/>
    <x v="0"/>
    <n v="7"/>
    <n v="41.408450704225352"/>
    <m/>
    <m/>
  </r>
  <r>
    <x v="9"/>
    <x v="41"/>
    <n v="6"/>
    <n v="7.1"/>
    <n v="7"/>
    <x v="0"/>
    <x v="1"/>
    <n v="8"/>
    <n v="47.323943661971832"/>
    <m/>
    <m/>
  </r>
  <r>
    <x v="9"/>
    <x v="41"/>
    <n v="6"/>
    <n v="7.1"/>
    <n v="7"/>
    <x v="0"/>
    <x v="2"/>
    <n v="6"/>
    <n v="35.492957746478872"/>
    <m/>
    <m/>
  </r>
  <r>
    <x v="9"/>
    <x v="41"/>
    <n v="6"/>
    <n v="7.1"/>
    <n v="7"/>
    <x v="0"/>
    <x v="3"/>
    <n v="8"/>
    <n v="47.323943661971832"/>
    <m/>
    <m/>
  </r>
  <r>
    <x v="9"/>
    <x v="41"/>
    <n v="6"/>
    <n v="7.1"/>
    <n v="7"/>
    <x v="0"/>
    <x v="4"/>
    <n v="8"/>
    <n v="47.323943661971832"/>
    <m/>
    <m/>
  </r>
  <r>
    <x v="9"/>
    <x v="41"/>
    <n v="6"/>
    <n v="7.1"/>
    <n v="7"/>
    <x v="0"/>
    <x v="5"/>
    <n v="2"/>
    <n v="11.830985915492958"/>
    <m/>
    <m/>
  </r>
  <r>
    <x v="9"/>
    <x v="41"/>
    <n v="6"/>
    <n v="7.1"/>
    <n v="7"/>
    <x v="1"/>
    <x v="6"/>
    <n v="7"/>
    <n v="41.408450704225352"/>
    <m/>
    <m/>
  </r>
  <r>
    <x v="9"/>
    <x v="41"/>
    <n v="6"/>
    <n v="7.1"/>
    <n v="7"/>
    <x v="1"/>
    <x v="7"/>
    <n v="7"/>
    <n v="41.408450704225352"/>
    <m/>
    <m/>
  </r>
  <r>
    <x v="9"/>
    <x v="41"/>
    <n v="6"/>
    <n v="7.1"/>
    <n v="7"/>
    <x v="1"/>
    <x v="8"/>
    <n v="8"/>
    <n v="47.323943661971832"/>
    <m/>
    <m/>
  </r>
  <r>
    <x v="9"/>
    <x v="41"/>
    <n v="6"/>
    <n v="7.1"/>
    <n v="7"/>
    <x v="1"/>
    <x v="9"/>
    <n v="7"/>
    <n v="41.408450704225352"/>
    <m/>
    <m/>
  </r>
  <r>
    <x v="9"/>
    <x v="41"/>
    <n v="6"/>
    <n v="7.1"/>
    <n v="7"/>
    <x v="1"/>
    <x v="10"/>
    <n v="8"/>
    <n v="47.323943661971832"/>
    <m/>
    <m/>
  </r>
  <r>
    <x v="9"/>
    <x v="41"/>
    <n v="6"/>
    <n v="7.1"/>
    <n v="7"/>
    <x v="1"/>
    <x v="11"/>
    <n v="3"/>
    <n v="17.746478873239436"/>
    <m/>
    <m/>
  </r>
  <r>
    <x v="9"/>
    <x v="41"/>
    <n v="6"/>
    <n v="7.1"/>
    <n v="7"/>
    <x v="2"/>
    <x v="12"/>
    <n v="7"/>
    <n v="41.408450704225352"/>
    <m/>
    <m/>
  </r>
  <r>
    <x v="9"/>
    <x v="41"/>
    <n v="6"/>
    <n v="7.1"/>
    <n v="7"/>
    <x v="2"/>
    <x v="13"/>
    <n v="8"/>
    <n v="47.323943661971832"/>
    <m/>
    <m/>
  </r>
  <r>
    <x v="9"/>
    <x v="41"/>
    <n v="6"/>
    <n v="7.1"/>
    <n v="7"/>
    <x v="2"/>
    <x v="14"/>
    <n v="8"/>
    <n v="47.323943661971832"/>
    <m/>
    <m/>
  </r>
  <r>
    <x v="9"/>
    <x v="41"/>
    <n v="6"/>
    <n v="7.1"/>
    <n v="7"/>
    <x v="2"/>
    <x v="15"/>
    <n v="8"/>
    <n v="47.323943661971832"/>
    <m/>
    <m/>
  </r>
  <r>
    <x v="9"/>
    <x v="41"/>
    <n v="6"/>
    <n v="7.1"/>
    <n v="7"/>
    <x v="2"/>
    <x v="16"/>
    <n v="7"/>
    <n v="41.408450704225352"/>
    <m/>
    <m/>
  </r>
  <r>
    <x v="9"/>
    <x v="41"/>
    <n v="6"/>
    <n v="7.1"/>
    <n v="7"/>
    <x v="2"/>
    <x v="17"/>
    <n v="3"/>
    <n v="17.746478873239436"/>
    <m/>
    <m/>
  </r>
  <r>
    <x v="9"/>
    <x v="41"/>
    <n v="6"/>
    <n v="7.1"/>
    <n v="7"/>
    <x v="3"/>
    <x v="18"/>
    <n v="8"/>
    <n v="47.323943661971832"/>
    <m/>
    <m/>
  </r>
  <r>
    <x v="9"/>
    <x v="41"/>
    <n v="6"/>
    <n v="7.1"/>
    <n v="7"/>
    <x v="3"/>
    <x v="19"/>
    <n v="7"/>
    <n v="41.408450704225352"/>
    <m/>
    <m/>
  </r>
  <r>
    <x v="9"/>
    <x v="41"/>
    <n v="6"/>
    <n v="7.1"/>
    <n v="7"/>
    <x v="3"/>
    <x v="20"/>
    <n v="7"/>
    <n v="41.408450704225352"/>
    <m/>
    <m/>
  </r>
  <r>
    <x v="9"/>
    <x v="41"/>
    <n v="6"/>
    <n v="7.1"/>
    <n v="7"/>
    <x v="3"/>
    <x v="21"/>
    <n v="7"/>
    <n v="41.408450704225352"/>
    <m/>
    <m/>
  </r>
  <r>
    <x v="9"/>
    <x v="41"/>
    <n v="6"/>
    <n v="7.1"/>
    <n v="7"/>
    <x v="3"/>
    <x v="22"/>
    <n v="8"/>
    <n v="47.323943661971832"/>
    <m/>
    <m/>
  </r>
  <r>
    <x v="9"/>
    <x v="41"/>
    <n v="6"/>
    <n v="7.1"/>
    <n v="7"/>
    <x v="3"/>
    <x v="22"/>
    <n v="8"/>
    <n v="47.323943661971832"/>
    <m/>
    <m/>
  </r>
  <r>
    <x v="9"/>
    <x v="41"/>
    <n v="6"/>
    <n v="7.1"/>
    <n v="7"/>
    <x v="3"/>
    <x v="23"/>
    <n v="8"/>
    <n v="47.323943661971832"/>
    <m/>
    <m/>
  </r>
  <r>
    <x v="9"/>
    <x v="42"/>
    <n v="4"/>
    <n v="6.4"/>
    <n v="7"/>
    <x v="0"/>
    <x v="0"/>
    <n v="7"/>
    <n v="30.625"/>
    <m/>
    <m/>
  </r>
  <r>
    <x v="9"/>
    <x v="42"/>
    <n v="4"/>
    <n v="6.4"/>
    <n v="7"/>
    <x v="0"/>
    <x v="1"/>
    <n v="8"/>
    <n v="35"/>
    <m/>
    <m/>
  </r>
  <r>
    <x v="9"/>
    <x v="42"/>
    <n v="4"/>
    <n v="6.4"/>
    <n v="7"/>
    <x v="0"/>
    <x v="2"/>
    <n v="6"/>
    <n v="26.25"/>
    <m/>
    <m/>
  </r>
  <r>
    <x v="9"/>
    <x v="42"/>
    <n v="4"/>
    <n v="6.4"/>
    <n v="7"/>
    <x v="0"/>
    <x v="3"/>
    <n v="8"/>
    <n v="35"/>
    <m/>
    <m/>
  </r>
  <r>
    <x v="9"/>
    <x v="42"/>
    <n v="4"/>
    <n v="6.4"/>
    <n v="7"/>
    <x v="0"/>
    <x v="4"/>
    <n v="8"/>
    <n v="35"/>
    <m/>
    <m/>
  </r>
  <r>
    <x v="9"/>
    <x v="42"/>
    <n v="4"/>
    <n v="6.4"/>
    <n v="7"/>
    <x v="0"/>
    <x v="5"/>
    <n v="2"/>
    <n v="8.75"/>
    <m/>
    <m/>
  </r>
  <r>
    <x v="9"/>
    <x v="42"/>
    <n v="4"/>
    <n v="6.4"/>
    <n v="7"/>
    <x v="1"/>
    <x v="6"/>
    <n v="7"/>
    <n v="30.625"/>
    <m/>
    <m/>
  </r>
  <r>
    <x v="9"/>
    <x v="42"/>
    <n v="4"/>
    <n v="6.4"/>
    <n v="7"/>
    <x v="1"/>
    <x v="7"/>
    <n v="7"/>
    <n v="30.625"/>
    <m/>
    <m/>
  </r>
  <r>
    <x v="9"/>
    <x v="42"/>
    <n v="4"/>
    <n v="6.4"/>
    <n v="7"/>
    <x v="1"/>
    <x v="8"/>
    <n v="8"/>
    <n v="35"/>
    <m/>
    <m/>
  </r>
  <r>
    <x v="9"/>
    <x v="42"/>
    <n v="4"/>
    <n v="6.4"/>
    <n v="7"/>
    <x v="1"/>
    <x v="9"/>
    <n v="7"/>
    <n v="30.625"/>
    <m/>
    <m/>
  </r>
  <r>
    <x v="9"/>
    <x v="42"/>
    <n v="4"/>
    <n v="6.4"/>
    <n v="7"/>
    <x v="1"/>
    <x v="10"/>
    <n v="8"/>
    <n v="35"/>
    <m/>
    <m/>
  </r>
  <r>
    <x v="9"/>
    <x v="42"/>
    <n v="4"/>
    <n v="6.4"/>
    <n v="7"/>
    <x v="1"/>
    <x v="11"/>
    <n v="3"/>
    <n v="13.125"/>
    <m/>
    <m/>
  </r>
  <r>
    <x v="9"/>
    <x v="42"/>
    <n v="4"/>
    <n v="6.4"/>
    <n v="7"/>
    <x v="2"/>
    <x v="12"/>
    <n v="7"/>
    <n v="30.625"/>
    <m/>
    <m/>
  </r>
  <r>
    <x v="9"/>
    <x v="42"/>
    <n v="4"/>
    <n v="6.4"/>
    <n v="7"/>
    <x v="2"/>
    <x v="13"/>
    <n v="8"/>
    <n v="35"/>
    <m/>
    <m/>
  </r>
  <r>
    <x v="9"/>
    <x v="42"/>
    <n v="4"/>
    <n v="6.4"/>
    <n v="7"/>
    <x v="2"/>
    <x v="14"/>
    <n v="8"/>
    <n v="35"/>
    <m/>
    <m/>
  </r>
  <r>
    <x v="9"/>
    <x v="42"/>
    <n v="4"/>
    <n v="6.4"/>
    <n v="7"/>
    <x v="2"/>
    <x v="15"/>
    <n v="8"/>
    <n v="35"/>
    <m/>
    <m/>
  </r>
  <r>
    <x v="9"/>
    <x v="42"/>
    <n v="4"/>
    <n v="6.4"/>
    <n v="7"/>
    <x v="2"/>
    <x v="16"/>
    <n v="7"/>
    <n v="30.625"/>
    <m/>
    <m/>
  </r>
  <r>
    <x v="9"/>
    <x v="42"/>
    <n v="4"/>
    <n v="6.4"/>
    <n v="7"/>
    <x v="2"/>
    <x v="17"/>
    <n v="3"/>
    <n v="13.125"/>
    <m/>
    <m/>
  </r>
  <r>
    <x v="9"/>
    <x v="42"/>
    <n v="4"/>
    <n v="6.4"/>
    <n v="7"/>
    <x v="3"/>
    <x v="18"/>
    <n v="8"/>
    <n v="35"/>
    <m/>
    <m/>
  </r>
  <r>
    <x v="9"/>
    <x v="42"/>
    <n v="4"/>
    <n v="6.4"/>
    <n v="7"/>
    <x v="3"/>
    <x v="19"/>
    <n v="7"/>
    <n v="30.625"/>
    <m/>
    <m/>
  </r>
  <r>
    <x v="9"/>
    <x v="42"/>
    <n v="4"/>
    <n v="6.4"/>
    <n v="7"/>
    <x v="3"/>
    <x v="20"/>
    <n v="7"/>
    <n v="30.625"/>
    <m/>
    <m/>
  </r>
  <r>
    <x v="9"/>
    <x v="42"/>
    <n v="4"/>
    <n v="6.4"/>
    <n v="7"/>
    <x v="3"/>
    <x v="21"/>
    <n v="7"/>
    <n v="30.625"/>
    <m/>
    <m/>
  </r>
  <r>
    <x v="9"/>
    <x v="42"/>
    <n v="4"/>
    <n v="6.4"/>
    <n v="7"/>
    <x v="3"/>
    <x v="22"/>
    <n v="8"/>
    <n v="35"/>
    <m/>
    <m/>
  </r>
  <r>
    <x v="9"/>
    <x v="42"/>
    <n v="4"/>
    <n v="6.4"/>
    <n v="7"/>
    <x v="3"/>
    <x v="22"/>
    <n v="8"/>
    <n v="35"/>
    <m/>
    <m/>
  </r>
  <r>
    <x v="9"/>
    <x v="42"/>
    <n v="4"/>
    <n v="6.4"/>
    <n v="7"/>
    <x v="3"/>
    <x v="23"/>
    <n v="8"/>
    <n v="35"/>
    <m/>
    <m/>
  </r>
  <r>
    <x v="9"/>
    <x v="43"/>
    <n v="5"/>
    <n v="6.8"/>
    <n v="7"/>
    <x v="0"/>
    <x v="0"/>
    <n v="7"/>
    <n v="36.029411764705884"/>
    <m/>
    <m/>
  </r>
  <r>
    <x v="9"/>
    <x v="43"/>
    <n v="5"/>
    <n v="6.8"/>
    <n v="7"/>
    <x v="0"/>
    <x v="1"/>
    <n v="8"/>
    <n v="41.176470588235297"/>
    <m/>
    <m/>
  </r>
  <r>
    <x v="9"/>
    <x v="43"/>
    <n v="5"/>
    <n v="6.8"/>
    <n v="7"/>
    <x v="0"/>
    <x v="2"/>
    <n v="6"/>
    <n v="30.882352941176471"/>
    <m/>
    <m/>
  </r>
  <r>
    <x v="9"/>
    <x v="43"/>
    <n v="5"/>
    <n v="6.8"/>
    <n v="7"/>
    <x v="0"/>
    <x v="3"/>
    <n v="8"/>
    <n v="41.176470588235297"/>
    <m/>
    <m/>
  </r>
  <r>
    <x v="9"/>
    <x v="43"/>
    <n v="5"/>
    <n v="6.8"/>
    <n v="7"/>
    <x v="0"/>
    <x v="4"/>
    <n v="8"/>
    <n v="41.176470588235297"/>
    <m/>
    <m/>
  </r>
  <r>
    <x v="9"/>
    <x v="43"/>
    <n v="5"/>
    <n v="6.8"/>
    <n v="7"/>
    <x v="0"/>
    <x v="5"/>
    <n v="2"/>
    <n v="10.294117647058824"/>
    <m/>
    <m/>
  </r>
  <r>
    <x v="9"/>
    <x v="43"/>
    <n v="5"/>
    <n v="6.8"/>
    <n v="7"/>
    <x v="1"/>
    <x v="6"/>
    <n v="7"/>
    <n v="36.029411764705884"/>
    <m/>
    <m/>
  </r>
  <r>
    <x v="9"/>
    <x v="43"/>
    <n v="5"/>
    <n v="6.8"/>
    <n v="7"/>
    <x v="1"/>
    <x v="7"/>
    <n v="7"/>
    <n v="36.029411764705884"/>
    <m/>
    <m/>
  </r>
  <r>
    <x v="9"/>
    <x v="43"/>
    <n v="5"/>
    <n v="6.8"/>
    <n v="7"/>
    <x v="1"/>
    <x v="8"/>
    <n v="8"/>
    <n v="41.176470588235297"/>
    <m/>
    <m/>
  </r>
  <r>
    <x v="9"/>
    <x v="43"/>
    <n v="5"/>
    <n v="6.8"/>
    <n v="7"/>
    <x v="1"/>
    <x v="9"/>
    <n v="7"/>
    <n v="36.029411764705884"/>
    <m/>
    <m/>
  </r>
  <r>
    <x v="9"/>
    <x v="43"/>
    <n v="5"/>
    <n v="6.8"/>
    <n v="7"/>
    <x v="1"/>
    <x v="10"/>
    <n v="8"/>
    <n v="41.176470588235297"/>
    <m/>
    <m/>
  </r>
  <r>
    <x v="9"/>
    <x v="43"/>
    <n v="5"/>
    <n v="6.8"/>
    <n v="7"/>
    <x v="1"/>
    <x v="11"/>
    <n v="3"/>
    <n v="15.441176470588236"/>
    <m/>
    <m/>
  </r>
  <r>
    <x v="9"/>
    <x v="43"/>
    <n v="5"/>
    <n v="6.8"/>
    <n v="7"/>
    <x v="2"/>
    <x v="12"/>
    <n v="7"/>
    <n v="36.029411764705884"/>
    <m/>
    <m/>
  </r>
  <r>
    <x v="9"/>
    <x v="43"/>
    <n v="5"/>
    <n v="6.8"/>
    <n v="7"/>
    <x v="2"/>
    <x v="13"/>
    <n v="8"/>
    <n v="41.176470588235297"/>
    <m/>
    <m/>
  </r>
  <r>
    <x v="9"/>
    <x v="43"/>
    <n v="5"/>
    <n v="6.8"/>
    <n v="7"/>
    <x v="2"/>
    <x v="14"/>
    <n v="8"/>
    <n v="41.176470588235297"/>
    <m/>
    <m/>
  </r>
  <r>
    <x v="9"/>
    <x v="43"/>
    <n v="5"/>
    <n v="6.8"/>
    <n v="7"/>
    <x v="2"/>
    <x v="15"/>
    <n v="8"/>
    <n v="41.176470588235297"/>
    <m/>
    <m/>
  </r>
  <r>
    <x v="9"/>
    <x v="43"/>
    <n v="5"/>
    <n v="6.8"/>
    <n v="7"/>
    <x v="2"/>
    <x v="16"/>
    <n v="7"/>
    <n v="36.029411764705884"/>
    <m/>
    <m/>
  </r>
  <r>
    <x v="9"/>
    <x v="43"/>
    <n v="5"/>
    <n v="6.8"/>
    <n v="7"/>
    <x v="2"/>
    <x v="17"/>
    <n v="3"/>
    <n v="15.441176470588236"/>
    <m/>
    <m/>
  </r>
  <r>
    <x v="9"/>
    <x v="43"/>
    <n v="5"/>
    <n v="6.8"/>
    <n v="7"/>
    <x v="3"/>
    <x v="18"/>
    <n v="8"/>
    <n v="41.176470588235297"/>
    <m/>
    <m/>
  </r>
  <r>
    <x v="9"/>
    <x v="43"/>
    <n v="5"/>
    <n v="6.8"/>
    <n v="7"/>
    <x v="3"/>
    <x v="19"/>
    <n v="7"/>
    <n v="36.029411764705884"/>
    <m/>
    <m/>
  </r>
  <r>
    <x v="9"/>
    <x v="43"/>
    <n v="5"/>
    <n v="6.8"/>
    <n v="7"/>
    <x v="3"/>
    <x v="20"/>
    <n v="7"/>
    <n v="36.029411764705884"/>
    <m/>
    <m/>
  </r>
  <r>
    <x v="9"/>
    <x v="43"/>
    <n v="5"/>
    <n v="6.8"/>
    <n v="7"/>
    <x v="3"/>
    <x v="21"/>
    <n v="7"/>
    <n v="36.029411764705884"/>
    <m/>
    <m/>
  </r>
  <r>
    <x v="9"/>
    <x v="43"/>
    <n v="5"/>
    <n v="6.8"/>
    <n v="7"/>
    <x v="3"/>
    <x v="22"/>
    <n v="8"/>
    <n v="41.176470588235297"/>
    <m/>
    <m/>
  </r>
  <r>
    <x v="9"/>
    <x v="43"/>
    <n v="5"/>
    <n v="6.8"/>
    <n v="7"/>
    <x v="3"/>
    <x v="22"/>
    <n v="8"/>
    <n v="41.176470588235297"/>
    <m/>
    <m/>
  </r>
  <r>
    <x v="9"/>
    <x v="43"/>
    <n v="5"/>
    <n v="6.8"/>
    <n v="7"/>
    <x v="3"/>
    <x v="23"/>
    <n v="8"/>
    <n v="41.176470588235297"/>
    <m/>
    <m/>
  </r>
  <r>
    <x v="9"/>
    <x v="44"/>
    <n v="4"/>
    <n v="7"/>
    <n v="7"/>
    <x v="0"/>
    <x v="0"/>
    <n v="7"/>
    <n v="28"/>
    <m/>
    <m/>
  </r>
  <r>
    <x v="9"/>
    <x v="44"/>
    <n v="4"/>
    <n v="7"/>
    <n v="7"/>
    <x v="0"/>
    <x v="1"/>
    <n v="8"/>
    <n v="32"/>
    <m/>
    <m/>
  </r>
  <r>
    <x v="9"/>
    <x v="44"/>
    <n v="4"/>
    <n v="7"/>
    <n v="7"/>
    <x v="0"/>
    <x v="2"/>
    <n v="6"/>
    <n v="24"/>
    <m/>
    <m/>
  </r>
  <r>
    <x v="9"/>
    <x v="44"/>
    <n v="4"/>
    <n v="7"/>
    <n v="7"/>
    <x v="0"/>
    <x v="3"/>
    <n v="8"/>
    <n v="32"/>
    <m/>
    <m/>
  </r>
  <r>
    <x v="9"/>
    <x v="44"/>
    <n v="4"/>
    <n v="7"/>
    <n v="7"/>
    <x v="0"/>
    <x v="4"/>
    <n v="8"/>
    <n v="32"/>
    <m/>
    <m/>
  </r>
  <r>
    <x v="9"/>
    <x v="44"/>
    <n v="4"/>
    <n v="7"/>
    <n v="7"/>
    <x v="0"/>
    <x v="5"/>
    <n v="2"/>
    <n v="8"/>
    <m/>
    <m/>
  </r>
  <r>
    <x v="9"/>
    <x v="44"/>
    <n v="4"/>
    <n v="7"/>
    <n v="7"/>
    <x v="1"/>
    <x v="6"/>
    <n v="7"/>
    <n v="28"/>
    <m/>
    <m/>
  </r>
  <r>
    <x v="9"/>
    <x v="44"/>
    <n v="4"/>
    <n v="7"/>
    <n v="7"/>
    <x v="1"/>
    <x v="7"/>
    <n v="7"/>
    <n v="28"/>
    <m/>
    <m/>
  </r>
  <r>
    <x v="9"/>
    <x v="44"/>
    <n v="4"/>
    <n v="7"/>
    <n v="7"/>
    <x v="1"/>
    <x v="8"/>
    <n v="8"/>
    <n v="32"/>
    <m/>
    <m/>
  </r>
  <r>
    <x v="9"/>
    <x v="44"/>
    <n v="4"/>
    <n v="7"/>
    <n v="7"/>
    <x v="1"/>
    <x v="9"/>
    <n v="7"/>
    <n v="28"/>
    <m/>
    <m/>
  </r>
  <r>
    <x v="9"/>
    <x v="44"/>
    <n v="4"/>
    <n v="7"/>
    <n v="7"/>
    <x v="1"/>
    <x v="10"/>
    <n v="8"/>
    <n v="32"/>
    <m/>
    <m/>
  </r>
  <r>
    <x v="9"/>
    <x v="44"/>
    <n v="4"/>
    <n v="7"/>
    <n v="7"/>
    <x v="1"/>
    <x v="11"/>
    <n v="3"/>
    <n v="12"/>
    <m/>
    <m/>
  </r>
  <r>
    <x v="9"/>
    <x v="44"/>
    <n v="4"/>
    <n v="7"/>
    <n v="7"/>
    <x v="2"/>
    <x v="12"/>
    <n v="7"/>
    <n v="28"/>
    <m/>
    <m/>
  </r>
  <r>
    <x v="9"/>
    <x v="44"/>
    <n v="4"/>
    <n v="7"/>
    <n v="7"/>
    <x v="2"/>
    <x v="13"/>
    <n v="8"/>
    <n v="32"/>
    <m/>
    <m/>
  </r>
  <r>
    <x v="9"/>
    <x v="44"/>
    <n v="4"/>
    <n v="7"/>
    <n v="7"/>
    <x v="2"/>
    <x v="14"/>
    <n v="8"/>
    <n v="32"/>
    <m/>
    <m/>
  </r>
  <r>
    <x v="9"/>
    <x v="44"/>
    <n v="4"/>
    <n v="7"/>
    <n v="7"/>
    <x v="2"/>
    <x v="15"/>
    <n v="8"/>
    <n v="32"/>
    <m/>
    <m/>
  </r>
  <r>
    <x v="9"/>
    <x v="44"/>
    <n v="4"/>
    <n v="7"/>
    <n v="7"/>
    <x v="2"/>
    <x v="16"/>
    <n v="7"/>
    <n v="28"/>
    <m/>
    <m/>
  </r>
  <r>
    <x v="9"/>
    <x v="44"/>
    <n v="4"/>
    <n v="7"/>
    <n v="7"/>
    <x v="2"/>
    <x v="17"/>
    <n v="3"/>
    <n v="12"/>
    <m/>
    <m/>
  </r>
  <r>
    <x v="9"/>
    <x v="44"/>
    <n v="4"/>
    <n v="7"/>
    <n v="7"/>
    <x v="3"/>
    <x v="18"/>
    <n v="8"/>
    <n v="32"/>
    <m/>
    <m/>
  </r>
  <r>
    <x v="9"/>
    <x v="44"/>
    <n v="4"/>
    <n v="7"/>
    <n v="7"/>
    <x v="3"/>
    <x v="19"/>
    <n v="7"/>
    <n v="28"/>
    <m/>
    <m/>
  </r>
  <r>
    <x v="9"/>
    <x v="44"/>
    <n v="4"/>
    <n v="7"/>
    <n v="7"/>
    <x v="3"/>
    <x v="20"/>
    <n v="7"/>
    <n v="28"/>
    <m/>
    <m/>
  </r>
  <r>
    <x v="9"/>
    <x v="44"/>
    <n v="4"/>
    <n v="7"/>
    <n v="7"/>
    <x v="3"/>
    <x v="21"/>
    <n v="7"/>
    <n v="28"/>
    <m/>
    <m/>
  </r>
  <r>
    <x v="9"/>
    <x v="44"/>
    <n v="4"/>
    <n v="7"/>
    <n v="7"/>
    <x v="3"/>
    <x v="22"/>
    <n v="8"/>
    <n v="32"/>
    <m/>
    <m/>
  </r>
  <r>
    <x v="9"/>
    <x v="44"/>
    <n v="4"/>
    <n v="7"/>
    <n v="7"/>
    <x v="3"/>
    <x v="22"/>
    <n v="8"/>
    <n v="32"/>
    <m/>
    <m/>
  </r>
  <r>
    <x v="9"/>
    <x v="44"/>
    <n v="4"/>
    <n v="7"/>
    <n v="7"/>
    <x v="3"/>
    <x v="23"/>
    <n v="8"/>
    <n v="32"/>
    <m/>
    <m/>
  </r>
  <r>
    <x v="9"/>
    <x v="45"/>
    <n v="5"/>
    <n v="7"/>
    <n v="7"/>
    <x v="0"/>
    <x v="0"/>
    <n v="7"/>
    <n v="35"/>
    <m/>
    <m/>
  </r>
  <r>
    <x v="9"/>
    <x v="45"/>
    <n v="5"/>
    <n v="7"/>
    <n v="7"/>
    <x v="0"/>
    <x v="1"/>
    <n v="8"/>
    <n v="40"/>
    <m/>
    <m/>
  </r>
  <r>
    <x v="9"/>
    <x v="45"/>
    <n v="5"/>
    <n v="7"/>
    <n v="7"/>
    <x v="0"/>
    <x v="2"/>
    <n v="6"/>
    <n v="30"/>
    <m/>
    <m/>
  </r>
  <r>
    <x v="9"/>
    <x v="45"/>
    <n v="5"/>
    <n v="7"/>
    <n v="7"/>
    <x v="0"/>
    <x v="3"/>
    <n v="8"/>
    <n v="40"/>
    <m/>
    <m/>
  </r>
  <r>
    <x v="9"/>
    <x v="45"/>
    <n v="5"/>
    <n v="7"/>
    <n v="7"/>
    <x v="0"/>
    <x v="4"/>
    <n v="8"/>
    <n v="40"/>
    <m/>
    <m/>
  </r>
  <r>
    <x v="9"/>
    <x v="45"/>
    <n v="5"/>
    <n v="7"/>
    <n v="7"/>
    <x v="0"/>
    <x v="5"/>
    <n v="2"/>
    <n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96AB2-0328-0B45-A135-808A05AD2765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15" firstHeaderRow="0" firstDataRow="1" firstDataCol="1" rowPageCount="2" colPageCount="1"/>
  <pivotFields count="11">
    <pivotField axis="axisRow" multipleItemSelectionAllowed="1" showAll="0">
      <items count="13">
        <item x="0"/>
        <item sd="0" x="3"/>
        <item sd="0" x="5"/>
        <item sd="0" x="6"/>
        <item sd="0" x="4"/>
        <item sd="0" x="7"/>
        <item sd="0" x="9"/>
        <item sd="0" x="8"/>
        <item sd="0" x="10"/>
        <item x="11"/>
        <item sd="0" x="1"/>
        <item sd="0" x="2"/>
        <item t="default"/>
      </items>
    </pivotField>
    <pivotField axis="axisRow" showAll="0">
      <items count="49">
        <item x="22"/>
        <item x="10"/>
        <item x="11"/>
        <item x="24"/>
        <item x="25"/>
        <item x="33"/>
        <item x="30"/>
        <item x="12"/>
        <item x="26"/>
        <item x="27"/>
        <item x="39"/>
        <item x="13"/>
        <item x="17"/>
        <item x="28"/>
        <item x="18"/>
        <item x="14"/>
        <item x="40"/>
        <item x="0"/>
        <item x="1"/>
        <item x="31"/>
        <item x="35"/>
        <item x="2"/>
        <item x="15"/>
        <item x="3"/>
        <item x="19"/>
        <item x="41"/>
        <item x="8"/>
        <item x="9"/>
        <item x="21"/>
        <item x="4"/>
        <item x="5"/>
        <item x="6"/>
        <item x="7"/>
        <item x="16"/>
        <item x="23"/>
        <item x="29"/>
        <item x="32"/>
        <item x="34"/>
        <item x="36"/>
        <item x="42"/>
        <item x="43"/>
        <item x="44"/>
        <item x="45"/>
        <item x="46"/>
        <item x="20"/>
        <item x="47"/>
        <item x="37"/>
        <item x="38"/>
        <item t="default"/>
      </items>
    </pivotField>
    <pivotField showAll="0"/>
    <pivotField showAll="0"/>
    <pivotField numFmtId="164" showAll="0"/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showAll="0"/>
    <pivotField showAll="0"/>
    <pivotField dataField="1" numFmtId="1" showAll="0"/>
    <pivotField dataField="1" showAll="0"/>
    <pivotField axis="axisPage" multipleItemSelectionAllowed="1" showAll="0">
      <items count="5">
        <item h="1" x="2"/>
        <item x="0"/>
        <item x="1"/>
        <item x="3"/>
        <item t="default"/>
      </items>
    </pivotField>
  </pivotFields>
  <rowFields count="2">
    <field x="0"/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10" hier="-1"/>
  </pageFields>
  <dataFields count="2">
    <dataField name="Soma de Velocity" fld="8" baseField="0" baseItem="0"/>
    <dataField name="Soma de Sustentação" fld="9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4E333-E5F5-9445-8D6B-BE3FCCFEAF70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4" firstHeaderRow="1" firstDataRow="1" firstDataCol="1" rowPageCount="2" colPageCount="1"/>
  <pivotFields count="11">
    <pivotField axis="axisRow" showAll="0">
      <items count="11">
        <item x="2"/>
        <item x="0"/>
        <item h="1" x="3"/>
        <item x="4"/>
        <item x="7"/>
        <item x="5"/>
        <item x="6"/>
        <item x="8"/>
        <item x="1"/>
        <item x="9"/>
        <item t="default"/>
      </items>
    </pivotField>
    <pivotField showAll="0">
      <items count="47">
        <item x="39"/>
        <item x="20"/>
        <item x="33"/>
        <item x="34"/>
        <item x="26"/>
        <item x="42"/>
        <item x="9"/>
        <item x="3"/>
        <item x="4"/>
        <item x="5"/>
        <item x="10"/>
        <item x="21"/>
        <item x="44"/>
        <item x="22"/>
        <item x="30"/>
        <item x="31"/>
        <item x="27"/>
        <item x="11"/>
        <item x="23"/>
        <item x="24"/>
        <item x="36"/>
        <item x="29"/>
        <item x="15"/>
        <item x="25"/>
        <item x="45"/>
        <item x="6"/>
        <item x="16"/>
        <item x="12"/>
        <item x="37"/>
        <item x="0"/>
        <item x="41"/>
        <item x="28"/>
        <item x="32"/>
        <item x="1"/>
        <item x="13"/>
        <item x="40"/>
        <item x="43"/>
        <item x="2"/>
        <item x="35"/>
        <item x="14"/>
        <item x="17"/>
        <item x="38"/>
        <item x="7"/>
        <item x="8"/>
        <item x="19"/>
        <item x="18"/>
        <item t="default"/>
      </items>
    </pivotField>
    <pivotField showAll="0"/>
    <pivotField dataField="1"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2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showAll="0"/>
    <pivotField numFmtId="1" showAll="0"/>
    <pivotField showAll="0"/>
    <pivotField showAll="0"/>
  </pivotFields>
  <rowFields count="1">
    <field x="0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5" hier="-1"/>
    <pageField fld="6" hier="-1"/>
  </pageFields>
  <dataFields count="1">
    <dataField name="Média de Produtividade (H/P)" fld="3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68" dT="2024-06-12T21:28:52.09" personId="{A9150AE4-23F4-4A43-8BE5-13AC16010AE3}" id="{6FCA34E4-6B0D-4D49-B1DA-5CE1CCC577D6}">
    <text>Roger - 10 e 11/07</text>
  </threadedComment>
  <threadedComment ref="C869" dT="2024-06-12T19:28:24.49" personId="{A9150AE4-23F4-4A43-8BE5-13AC16010AE3}" id="{C8888DFC-AA9C-4615-A873-2BA7287ED758}">
    <text xml:space="preserve">Elyacir 15/07 ao dia 26/07 </text>
  </threadedComment>
  <threadedComment ref="C870" dT="2024-07-22T13:40:27.70" personId="{A9150AE4-23F4-4A43-8BE5-13AC16010AE3}" id="{0F56ED66-648C-48C2-AC4F-AB3866DD8499}">
    <text>Alan pediu demissão no dia 19/07</text>
  </threadedComment>
  <threadedComment ref="C872" dT="2024-08-20T18:54:08.83" personId="{A9150AE4-23F4-4A43-8BE5-13AC16010AE3}" id="{5C35ED36-7C74-4507-916A-CF4A2295DF92}">
    <text>Compensação de banco de horas Noemi</text>
  </threadedComment>
  <threadedComment ref="C874" dT="2024-09-04T20:36:15.26" personId="{A9150AE4-23F4-4A43-8BE5-13AC16010AE3}" id="{165F9E96-375C-491E-B476-176521D1C92D}">
    <text>Considerado capacity da QA</text>
  </threadedComment>
  <threadedComment ref="C875" dT="2024-09-04T20:36:37.05" personId="{A9150AE4-23F4-4A43-8BE5-13AC16010AE3}" id="{F0B424A7-9BDE-4BD9-8476-DF695BF71B70}">
    <text xml:space="preserve">Considerado capacity da QA
</text>
  </threadedComment>
  <threadedComment ref="C876" dT="2024-09-04T20:36:41.39" personId="{A9150AE4-23F4-4A43-8BE5-13AC16010AE3}" id="{7B6C6E09-46ED-4CBA-9E55-092E82919B53}">
    <text xml:space="preserve">Considerado capacity da QA
</text>
  </threadedComment>
  <threadedComment ref="C877" dT="2024-09-04T20:36:45.40" personId="{A9150AE4-23F4-4A43-8BE5-13AC16010AE3}" id="{F36FEE4B-E76A-4129-B739-5E110147EEC0}">
    <text xml:space="preserve">Considerado capacity da QA
</text>
  </threadedComment>
  <threadedComment ref="C878" dT="2024-09-04T20:36:49.24" personId="{A9150AE4-23F4-4A43-8BE5-13AC16010AE3}" id="{B2AEC1D2-DEB9-46CD-83B5-FEE9B936EE05}">
    <text xml:space="preserve">Considerado capacity da QA
</text>
  </threadedComment>
  <threadedComment ref="C879" dT="2024-09-04T20:36:53.07" personId="{A9150AE4-23F4-4A43-8BE5-13AC16010AE3}" id="{C21FAE11-B174-4AED-B6F4-ED6C1F1B76E1}">
    <text xml:space="preserve">Considerado capacity da QA
</text>
  </threadedComment>
  <threadedComment ref="C915" dT="2024-06-11T13:03:13.84" personId="{A9150AE4-23F4-4A43-8BE5-13AC16010AE3}" id="{DF77E9A3-262D-438B-ABA8-D7FFAF6FF1A3}">
    <text>Férias Rafael - 15/07 a 29/07
Férias Wil</text>
  </threadedComment>
  <threadedComment ref="C920" dT="2024-09-12T13:56:42.59" personId="{A9150AE4-23F4-4A43-8BE5-13AC16010AE3}" id="{6B68D54F-7FA8-4020-B96E-F7FE3C1381D1}">
    <text xml:space="preserve">Férias  Rafa Maciel - 23/09 até 07/10 </text>
  </threadedComment>
  <threadedComment ref="C920" dT="2024-09-20T19:06:44.75" personId="{631ED9D4-24E1-4928-AF4A-63B2B5893496}" id="{A6E89606-9ADC-4052-956D-7C7A5716267F}" parentId="{6B68D54F-7FA8-4020-B96E-F7FE3C1381D1}">
    <text xml:space="preserve">Richar demitido na SP 1 - PI 4
</text>
  </threadedComment>
  <threadedComment ref="C923" dT="2024-09-12T13:57:47.97" personId="{A9150AE4-23F4-4A43-8BE5-13AC16010AE3}" id="{3861F05A-01D7-47BA-A88A-EA6D151FFCF1}">
    <text xml:space="preserve">Férias Richar  11/11 até 22/11 </text>
  </threadedComment>
  <threadedComment ref="C938" dT="2024-07-15T12:44:41.32" personId="{A9150AE4-23F4-4A43-8BE5-13AC16010AE3}" id="{F96C9CF8-8BAA-4FC8-AE3D-1CA47EBE993E}">
    <text xml:space="preserve">Férias Wil
</text>
  </threadedComment>
  <threadedComment ref="C940" dT="2024-06-11T13:04:10.69" personId="{A9150AE4-23F4-4A43-8BE5-13AC16010AE3}" id="{7D01A2E3-73CA-4732-A78A-7CF21133D08D}">
    <text>Férias Nathan 12/08 a 16/08</text>
  </threadedComment>
  <threadedComment ref="C943" dT="2024-09-12T13:14:35.79" personId="{A9150AE4-23F4-4A43-8BE5-13AC16010AE3}" id="{B40C3F19-84B1-4868-B40D-5ADED0590CDF}">
    <text>Ausencia Romulo 11/10</text>
  </threadedComment>
  <threadedComment ref="C944" dT="2024-09-12T13:14:46.28" personId="{A9150AE4-23F4-4A43-8BE5-13AC16010AE3}" id="{5A16809C-8AC3-417F-A252-96C4AA267E03}">
    <text>Ausencia Romulo 14/10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92" dT="2024-09-04T20:36:53.07" personId="{A9150AE4-23F4-4A43-8BE5-13AC16010AE3}" id="{F6B54615-3668-4FEC-8F42-8832A2F8C4BD}">
    <text xml:space="preserve">Considerado capacity da QA
</text>
  </threadedComment>
  <threadedComment ref="C792" dT="2025-01-06T13:31:12.93" personId="{683DF708-A457-4353-B0FB-0F05C0406E6C}" id="{CF0C2354-15DB-45E8-A00E-63969CFC5B23}" parentId="{F6B54615-3668-4FEC-8F42-8832A2F8C4BD}">
    <text>Ferias Renato - 27/01 ao dia 31/01</text>
  </threadedComment>
  <threadedComment ref="C792" dT="2025-01-06T13:38:36.81" personId="{683DF708-A457-4353-B0FB-0F05C0406E6C}" id="{A5DF6655-8DB5-49D4-B6BB-78B963A2CCAB}" parentId="{F6B54615-3668-4FEC-8F42-8832A2F8C4BD}">
    <text>Aniversário Israel 27/01</text>
  </threadedComment>
  <threadedComment ref="C793" dT="2024-09-04T20:36:53.07" personId="{A9150AE4-23F4-4A43-8BE5-13AC16010AE3}" id="{0A3EE281-C010-46D8-A783-D261AF8E4813}">
    <text xml:space="preserve">Considerado capacity da QA
</text>
  </threadedComment>
  <threadedComment ref="C793" dT="2025-01-06T13:34:01.76" personId="{683DF708-A457-4353-B0FB-0F05C0406E6C}" id="{415539DF-6555-4BDE-A626-7365CD0B2BBD}" parentId="{0A3EE281-C010-46D8-A783-D261AF8E4813}">
    <text>Aniversário Renato - 07/02</text>
  </threadedComment>
  <threadedComment ref="C794" dT="2024-09-04T20:36:53.07" personId="{A9150AE4-23F4-4A43-8BE5-13AC16010AE3}" id="{7CFE4F1A-F295-4928-9E29-206F87D153F1}">
    <text xml:space="preserve">Considerado capacity da QA
</text>
  </threadedComment>
  <threadedComment ref="C794" dT="2025-01-06T13:25:45.30" personId="{683DF708-A457-4353-B0FB-0F05C0406E6C}" id="{4B49A46E-7E9C-4437-A9B8-C7E70672AE1A}" parentId="{7CFE4F1A-F295-4928-9E29-206F87D153F1}">
    <text>Férias Elyacir 17/02 ao dia 28/02</text>
  </threadedComment>
  <threadedComment ref="C794" dT="2025-01-06T13:53:26.82" personId="{683DF708-A457-4353-B0FB-0F05C0406E6C}" id="{C9F4A996-B70A-4132-BE61-1DC560046A56}" parentId="{7CFE4F1A-F295-4928-9E29-206F87D153F1}">
    <text>Ferias Yann 17/02 ao dia 21/02</text>
  </threadedComment>
  <threadedComment ref="C795" dT="2024-09-04T20:36:53.07" personId="{A9150AE4-23F4-4A43-8BE5-13AC16010AE3}" id="{4A662872-84A6-44C1-8107-B84D8024A431}">
    <text xml:space="preserve">Considerado capacity da QA
</text>
  </threadedComment>
  <threadedComment ref="C796" dT="2024-09-04T20:36:53.07" personId="{A9150AE4-23F4-4A43-8BE5-13AC16010AE3}" id="{B7B3F552-9E44-49C8-8E78-102EBEE6AA76}">
    <text xml:space="preserve">Considerado capacity da QA
</text>
  </threadedComment>
  <threadedComment ref="C797" dT="2024-09-04T20:36:53.07" personId="{A9150AE4-23F4-4A43-8BE5-13AC16010AE3}" id="{FBAAD223-9807-4F41-9C26-3594E6221D34}">
    <text xml:space="preserve">Considerado capacity da QA
</text>
  </threadedComment>
  <threadedComment ref="C798" dT="2024-09-04T20:36:53.07" personId="{A9150AE4-23F4-4A43-8BE5-13AC16010AE3}" id="{01262378-19EC-4B75-8BD5-F9AC97F40459}">
    <text xml:space="preserve">Considerado capacity da QA
</text>
  </threadedComment>
  <threadedComment ref="C799" dT="2024-09-04T20:36:53.07" personId="{A9150AE4-23F4-4A43-8BE5-13AC16010AE3}" id="{8E8C4ECC-40E7-465C-BA82-02E80A57FB48}">
    <text xml:space="preserve">Considerado capacity da QA
</text>
  </threadedComment>
  <threadedComment ref="C800" dT="2024-09-04T20:36:53.07" personId="{A9150AE4-23F4-4A43-8BE5-13AC16010AE3}" id="{D6A3E7E7-D8ED-442B-AE01-3F72BA3F4A0F}">
    <text xml:space="preserve">Considerado capacity da QA
</text>
  </threadedComment>
  <threadedComment ref="C801" dT="2024-09-04T20:36:53.07" personId="{A9150AE4-23F4-4A43-8BE5-13AC16010AE3}" id="{56D274A1-00E6-488E-BFF3-69A8A35B3A79}">
    <text xml:space="preserve">Considerado capacity da QA
</text>
  </threadedComment>
  <threadedComment ref="C802" dT="2024-09-04T20:36:53.07" personId="{A9150AE4-23F4-4A43-8BE5-13AC16010AE3}" id="{EFE60D34-624C-4204-845F-CA158F7C0D97}">
    <text xml:space="preserve">Considerado capacity da QA
</text>
  </threadedComment>
  <threadedComment ref="C803" dT="2024-09-04T20:36:53.07" personId="{A9150AE4-23F4-4A43-8BE5-13AC16010AE3}" id="{E202A4D2-67D3-4942-A6B6-2A341F72999B}">
    <text xml:space="preserve">Considerado capacity da QA
</text>
  </threadedComment>
  <threadedComment ref="C809" dT="2024-09-04T20:36:53.07" personId="{A9150AE4-23F4-4A43-8BE5-13AC16010AE3}" id="{D0BC8F51-107B-42F9-B3C5-604B422ED976}">
    <text xml:space="preserve">Considerado capacity da QA
</text>
  </threadedComment>
  <threadedComment ref="C810" dT="2024-09-04T20:36:53.07" personId="{A9150AE4-23F4-4A43-8BE5-13AC16010AE3}" id="{3EC391D5-6D08-448B-B69D-8034ACE7E148}">
    <text xml:space="preserve">Considerado capacity da QA
</text>
  </threadedComment>
  <threadedComment ref="C811" dT="2024-09-04T20:36:53.07" personId="{A9150AE4-23F4-4A43-8BE5-13AC16010AE3}" id="{55F98E45-598B-4D8E-93A1-9F9B6618A852}">
    <text xml:space="preserve">Considerado capacity da QA
</text>
  </threadedComment>
  <threadedComment ref="C812" dT="2024-09-04T20:36:53.07" personId="{A9150AE4-23F4-4A43-8BE5-13AC16010AE3}" id="{0A50327D-671B-4206-93AF-2483ECD6A77B}">
    <text xml:space="preserve">Considerado capacity da QA
</text>
  </threadedComment>
  <threadedComment ref="C813" dT="2024-09-04T20:36:53.07" personId="{A9150AE4-23F4-4A43-8BE5-13AC16010AE3}" id="{DC1FFB9E-610E-4FF0-AA77-979685271EB4}">
    <text xml:space="preserve">Considerado capacity da QA
</text>
  </threadedComment>
  <threadedComment ref="C814" dT="2024-09-04T20:36:53.07" personId="{A9150AE4-23F4-4A43-8BE5-13AC16010AE3}" id="{61F760E5-DAD3-46E8-9839-290DE494E6D6}">
    <text xml:space="preserve">Considerado capacity da QA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B035A3-C9A3-45DB-8091-6A4B357C10C5}">
  <we:reference id="WA200000556" version="1.1.0.0" store="Omex" storeType="OMEX"/>
  <we:alternateReferences>
    <we:reference id="WA200000556" version="1.1.0.0" store="WA200000556" storeType="OMEX"/>
  </we:alternateReferences>
  <we:properties>
    <we:property name="documentId" value="&quot;02a3efdd-a7dd-468c-9319-a66988d46bc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3706-5400-5343-A75E-1CA3F127E679}">
  <sheetPr>
    <tabColor theme="4" tint="-0.249977111117893"/>
  </sheetPr>
  <dimension ref="B3:C49"/>
  <sheetViews>
    <sheetView workbookViewId="0">
      <selection activeCell="B3" sqref="B3:C48"/>
    </sheetView>
  </sheetViews>
  <sheetFormatPr defaultColWidth="11.44140625" defaultRowHeight="14.4" x14ac:dyDescent="0.3"/>
  <cols>
    <col min="2" max="3" width="25.44140625" bestFit="1" customWidth="1"/>
  </cols>
  <sheetData>
    <row r="3" spans="2:3" x14ac:dyDescent="0.3">
      <c r="B3" s="2" t="s">
        <v>0</v>
      </c>
      <c r="C3" s="2" t="s">
        <v>1</v>
      </c>
    </row>
    <row r="4" spans="2:3" x14ac:dyDescent="0.3">
      <c r="B4" s="2" t="s">
        <v>2</v>
      </c>
      <c r="C4" s="2" t="s">
        <v>3</v>
      </c>
    </row>
    <row r="5" spans="2:3" x14ac:dyDescent="0.3">
      <c r="B5" s="2" t="s">
        <v>2</v>
      </c>
      <c r="C5" s="2" t="s">
        <v>4</v>
      </c>
    </row>
    <row r="6" spans="2:3" x14ac:dyDescent="0.3">
      <c r="B6" s="2" t="s">
        <v>2</v>
      </c>
      <c r="C6" s="2" t="s">
        <v>5</v>
      </c>
    </row>
    <row r="7" spans="2:3" x14ac:dyDescent="0.3">
      <c r="B7" s="2" t="s">
        <v>2</v>
      </c>
      <c r="C7" s="2" t="s">
        <v>6</v>
      </c>
    </row>
    <row r="8" spans="2:3" x14ac:dyDescent="0.3">
      <c r="B8" s="2" t="s">
        <v>2</v>
      </c>
      <c r="C8" s="2" t="s">
        <v>7</v>
      </c>
    </row>
    <row r="9" spans="2:3" x14ac:dyDescent="0.3">
      <c r="B9" s="2" t="s">
        <v>2</v>
      </c>
      <c r="C9" s="2" t="s">
        <v>8</v>
      </c>
    </row>
    <row r="10" spans="2:3" x14ac:dyDescent="0.3">
      <c r="B10" s="2" t="s">
        <v>9</v>
      </c>
      <c r="C10" s="2" t="s">
        <v>10</v>
      </c>
    </row>
    <row r="11" spans="2:3" x14ac:dyDescent="0.3">
      <c r="B11" s="2" t="s">
        <v>9</v>
      </c>
      <c r="C11" s="2" t="s">
        <v>11</v>
      </c>
    </row>
    <row r="12" spans="2:3" x14ac:dyDescent="0.3">
      <c r="B12" s="2" t="s">
        <v>9</v>
      </c>
      <c r="C12" s="2" t="s">
        <v>12</v>
      </c>
    </row>
    <row r="13" spans="2:3" x14ac:dyDescent="0.3">
      <c r="B13" s="2" t="s">
        <v>9</v>
      </c>
      <c r="C13" s="2" t="s">
        <v>13</v>
      </c>
    </row>
    <row r="14" spans="2:3" x14ac:dyDescent="0.3">
      <c r="B14" s="2" t="s">
        <v>14</v>
      </c>
      <c r="C14" s="2" t="s">
        <v>15</v>
      </c>
    </row>
    <row r="15" spans="2:3" x14ac:dyDescent="0.3">
      <c r="B15" s="2" t="s">
        <v>14</v>
      </c>
      <c r="C15" s="2" t="s">
        <v>16</v>
      </c>
    </row>
    <row r="16" spans="2:3" x14ac:dyDescent="0.3">
      <c r="B16" s="2" t="s">
        <v>14</v>
      </c>
      <c r="C16" s="2" t="s">
        <v>17</v>
      </c>
    </row>
    <row r="17" spans="2:3" x14ac:dyDescent="0.3">
      <c r="B17" s="2" t="s">
        <v>14</v>
      </c>
      <c r="C17" s="2" t="s">
        <v>18</v>
      </c>
    </row>
    <row r="18" spans="2:3" x14ac:dyDescent="0.3">
      <c r="B18" s="2" t="s">
        <v>19</v>
      </c>
      <c r="C18" s="2" t="s">
        <v>20</v>
      </c>
    </row>
    <row r="19" spans="2:3" x14ac:dyDescent="0.3">
      <c r="B19" s="2" t="s">
        <v>19</v>
      </c>
      <c r="C19" s="2" t="s">
        <v>21</v>
      </c>
    </row>
    <row r="20" spans="2:3" x14ac:dyDescent="0.3">
      <c r="B20" s="2" t="s">
        <v>19</v>
      </c>
      <c r="C20" s="2" t="s">
        <v>22</v>
      </c>
    </row>
    <row r="21" spans="2:3" x14ac:dyDescent="0.3">
      <c r="B21" s="2" t="s">
        <v>19</v>
      </c>
      <c r="C21" s="2" t="s">
        <v>23</v>
      </c>
    </row>
    <row r="22" spans="2:3" x14ac:dyDescent="0.3">
      <c r="B22" s="2" t="s">
        <v>19</v>
      </c>
      <c r="C22" s="2" t="s">
        <v>24</v>
      </c>
    </row>
    <row r="23" spans="2:3" x14ac:dyDescent="0.3">
      <c r="B23" s="2" t="s">
        <v>19</v>
      </c>
      <c r="C23" s="2" t="s">
        <v>25</v>
      </c>
    </row>
    <row r="24" spans="2:3" x14ac:dyDescent="0.3">
      <c r="B24" s="2" t="s">
        <v>26</v>
      </c>
      <c r="C24" s="2" t="s">
        <v>27</v>
      </c>
    </row>
    <row r="25" spans="2:3" x14ac:dyDescent="0.3">
      <c r="B25" s="2" t="s">
        <v>26</v>
      </c>
      <c r="C25" s="2" t="s">
        <v>28</v>
      </c>
    </row>
    <row r="26" spans="2:3" x14ac:dyDescent="0.3">
      <c r="B26" s="2" t="s">
        <v>26</v>
      </c>
      <c r="C26" s="2" t="s">
        <v>29</v>
      </c>
    </row>
    <row r="27" spans="2:3" x14ac:dyDescent="0.3">
      <c r="B27" s="2" t="s">
        <v>26</v>
      </c>
      <c r="C27" s="2" t="s">
        <v>30</v>
      </c>
    </row>
    <row r="28" spans="2:3" x14ac:dyDescent="0.3">
      <c r="B28" s="2" t="s">
        <v>31</v>
      </c>
      <c r="C28" s="2" t="s">
        <v>32</v>
      </c>
    </row>
    <row r="29" spans="2:3" x14ac:dyDescent="0.3">
      <c r="B29" s="2" t="s">
        <v>31</v>
      </c>
      <c r="C29" s="2" t="s">
        <v>33</v>
      </c>
    </row>
    <row r="30" spans="2:3" x14ac:dyDescent="0.3">
      <c r="B30" s="2" t="s">
        <v>31</v>
      </c>
      <c r="C30" s="2" t="s">
        <v>34</v>
      </c>
    </row>
    <row r="31" spans="2:3" x14ac:dyDescent="0.3">
      <c r="B31" s="2" t="s">
        <v>31</v>
      </c>
      <c r="C31" s="2" t="s">
        <v>35</v>
      </c>
    </row>
    <row r="32" spans="2:3" x14ac:dyDescent="0.3">
      <c r="B32" s="2" t="s">
        <v>36</v>
      </c>
      <c r="C32" s="2" t="s">
        <v>37</v>
      </c>
    </row>
    <row r="33" spans="2:3" x14ac:dyDescent="0.3">
      <c r="B33" s="2" t="s">
        <v>36</v>
      </c>
      <c r="C33" s="2" t="s">
        <v>38</v>
      </c>
    </row>
    <row r="34" spans="2:3" x14ac:dyDescent="0.3">
      <c r="B34" s="2" t="s">
        <v>39</v>
      </c>
      <c r="C34" s="2" t="s">
        <v>40</v>
      </c>
    </row>
    <row r="35" spans="2:3" x14ac:dyDescent="0.3">
      <c r="B35" s="2" t="s">
        <v>39</v>
      </c>
      <c r="C35" s="2" t="s">
        <v>41</v>
      </c>
    </row>
    <row r="36" spans="2:3" x14ac:dyDescent="0.3">
      <c r="B36" s="2" t="s">
        <v>39</v>
      </c>
      <c r="C36" s="2" t="s">
        <v>42</v>
      </c>
    </row>
    <row r="37" spans="2:3" x14ac:dyDescent="0.3">
      <c r="B37" s="2" t="s">
        <v>43</v>
      </c>
      <c r="C37" s="2" t="s">
        <v>44</v>
      </c>
    </row>
    <row r="38" spans="2:3" x14ac:dyDescent="0.3">
      <c r="B38" s="2" t="s">
        <v>43</v>
      </c>
      <c r="C38" s="2" t="s">
        <v>45</v>
      </c>
    </row>
    <row r="39" spans="2:3" x14ac:dyDescent="0.3">
      <c r="B39" s="2" t="s">
        <v>43</v>
      </c>
      <c r="C39" s="2" t="s">
        <v>46</v>
      </c>
    </row>
    <row r="40" spans="2:3" x14ac:dyDescent="0.3">
      <c r="B40" s="2" t="s">
        <v>43</v>
      </c>
      <c r="C40" s="2" t="s">
        <v>47</v>
      </c>
    </row>
    <row r="41" spans="2:3" x14ac:dyDescent="0.3">
      <c r="B41" s="2" t="s">
        <v>43</v>
      </c>
      <c r="C41" s="2" t="s">
        <v>48</v>
      </c>
    </row>
    <row r="42" spans="2:3" x14ac:dyDescent="0.3">
      <c r="B42" s="2" t="s">
        <v>49</v>
      </c>
      <c r="C42" s="2" t="s">
        <v>50</v>
      </c>
    </row>
    <row r="43" spans="2:3" x14ac:dyDescent="0.3">
      <c r="B43" s="2" t="s">
        <v>49</v>
      </c>
      <c r="C43" s="2" t="s">
        <v>51</v>
      </c>
    </row>
    <row r="44" spans="2:3" x14ac:dyDescent="0.3">
      <c r="B44" s="2" t="s">
        <v>49</v>
      </c>
      <c r="C44" s="2" t="s">
        <v>52</v>
      </c>
    </row>
    <row r="45" spans="2:3" x14ac:dyDescent="0.3">
      <c r="B45" s="2" t="s">
        <v>49</v>
      </c>
      <c r="C45" s="2" t="s">
        <v>53</v>
      </c>
    </row>
    <row r="46" spans="2:3" x14ac:dyDescent="0.3">
      <c r="B46" s="2" t="s">
        <v>49</v>
      </c>
      <c r="C46" s="2" t="s">
        <v>54</v>
      </c>
    </row>
    <row r="47" spans="2:3" x14ac:dyDescent="0.3">
      <c r="B47" s="2" t="s">
        <v>49</v>
      </c>
      <c r="C47" s="2" t="s">
        <v>55</v>
      </c>
    </row>
    <row r="48" spans="2:3" x14ac:dyDescent="0.3">
      <c r="B48" s="2" t="s">
        <v>49</v>
      </c>
      <c r="C48" s="2" t="s">
        <v>56</v>
      </c>
    </row>
    <row r="49" spans="2:3" x14ac:dyDescent="0.3">
      <c r="B49" t="s">
        <v>57</v>
      </c>
      <c r="C49" t="s">
        <v>57</v>
      </c>
    </row>
  </sheetData>
  <autoFilter ref="B3:C51" xr:uid="{5B1D3706-5400-5343-A75E-1CA3F127E67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6"/>
  <sheetViews>
    <sheetView zoomScaleNormal="100" workbookViewId="0">
      <selection activeCell="Q19" sqref="Q19"/>
    </sheetView>
  </sheetViews>
  <sheetFormatPr defaultColWidth="8.44140625" defaultRowHeight="14.4" x14ac:dyDescent="0.3"/>
  <cols>
    <col min="1" max="1" width="12.5546875" customWidth="1"/>
    <col min="2" max="2" width="9.44140625" bestFit="1" customWidth="1"/>
    <col min="3" max="4" width="11" bestFit="1" customWidth="1"/>
    <col min="5" max="5" width="3.5546875" customWidth="1"/>
    <col min="6" max="6" width="8.44140625" customWidth="1"/>
    <col min="7" max="7" width="3.5546875" customWidth="1"/>
    <col min="8" max="8" width="10.44140625" bestFit="1" customWidth="1"/>
    <col min="9" max="9" width="9.5546875" bestFit="1" customWidth="1"/>
    <col min="10" max="11" width="11.33203125" bestFit="1" customWidth="1"/>
    <col min="12" max="12" width="3.33203125" customWidth="1"/>
    <col min="13" max="13" width="7.6640625" bestFit="1" customWidth="1"/>
    <col min="14" max="14" width="3.33203125" customWidth="1"/>
    <col min="15" max="15" width="12.5546875" customWidth="1"/>
    <col min="16" max="16" width="9.44140625" bestFit="1" customWidth="1"/>
    <col min="17" max="18" width="11.44140625" bestFit="1" customWidth="1"/>
    <col min="19" max="19" width="3.33203125" customWidth="1"/>
    <col min="20" max="20" width="7.6640625" bestFit="1" customWidth="1"/>
    <col min="21" max="21" width="3.33203125" customWidth="1"/>
    <col min="22" max="22" width="8.44140625" bestFit="1" customWidth="1"/>
  </cols>
  <sheetData>
    <row r="1" spans="1:22" x14ac:dyDescent="0.3">
      <c r="A1" s="26" t="s">
        <v>58</v>
      </c>
      <c r="B1" s="26" t="s">
        <v>59</v>
      </c>
      <c r="C1" s="26" t="s">
        <v>60</v>
      </c>
      <c r="D1" s="26" t="s">
        <v>61</v>
      </c>
      <c r="F1" s="26" t="s">
        <v>62</v>
      </c>
      <c r="H1" s="26" t="s">
        <v>63</v>
      </c>
      <c r="I1" s="26" t="s">
        <v>59</v>
      </c>
      <c r="J1" s="26" t="s">
        <v>60</v>
      </c>
      <c r="K1" s="26" t="s">
        <v>61</v>
      </c>
      <c r="L1" s="27"/>
      <c r="M1" s="26" t="s">
        <v>64</v>
      </c>
      <c r="O1" s="26" t="s">
        <v>65</v>
      </c>
      <c r="P1" s="26" t="s">
        <v>59</v>
      </c>
      <c r="Q1" s="26" t="s">
        <v>60</v>
      </c>
      <c r="R1" s="26" t="s">
        <v>61</v>
      </c>
      <c r="T1" s="26" t="s">
        <v>66</v>
      </c>
      <c r="U1" s="27"/>
      <c r="V1" s="26" t="s">
        <v>67</v>
      </c>
    </row>
    <row r="2" spans="1:22" x14ac:dyDescent="0.3">
      <c r="A2" s="33" t="s">
        <v>68</v>
      </c>
      <c r="B2" s="33">
        <v>7</v>
      </c>
      <c r="C2" s="34">
        <v>46041</v>
      </c>
      <c r="D2" s="34">
        <f>C2+11</f>
        <v>46052</v>
      </c>
      <c r="F2" s="2" t="s">
        <v>69</v>
      </c>
      <c r="H2" s="2" t="s">
        <v>70</v>
      </c>
      <c r="I2" s="2">
        <v>7</v>
      </c>
      <c r="J2" s="153">
        <v>45677</v>
      </c>
      <c r="K2" s="153">
        <f>J2+11</f>
        <v>45688</v>
      </c>
      <c r="L2" s="66"/>
      <c r="M2" s="2" t="s">
        <v>71</v>
      </c>
      <c r="O2" s="2" t="s">
        <v>72</v>
      </c>
      <c r="P2" s="2">
        <v>8</v>
      </c>
      <c r="Q2" s="153">
        <v>45313</v>
      </c>
      <c r="R2" s="153">
        <v>45324</v>
      </c>
      <c r="T2" s="2" t="s">
        <v>73</v>
      </c>
      <c r="V2" s="2" t="s">
        <v>74</v>
      </c>
    </row>
    <row r="3" spans="1:22" x14ac:dyDescent="0.3">
      <c r="A3" s="33" t="s">
        <v>75</v>
      </c>
      <c r="B3" s="33">
        <v>8</v>
      </c>
      <c r="C3" s="34">
        <f>D2+3</f>
        <v>46055</v>
      </c>
      <c r="D3" s="34">
        <f t="shared" ref="D3:D16" si="0">C3+11</f>
        <v>46066</v>
      </c>
      <c r="F3" s="2" t="s">
        <v>76</v>
      </c>
      <c r="H3" s="2" t="s">
        <v>77</v>
      </c>
      <c r="I3" s="2">
        <v>8</v>
      </c>
      <c r="J3" s="153">
        <f>K2+3</f>
        <v>45691</v>
      </c>
      <c r="K3" s="153">
        <f t="shared" ref="K3:K24" si="1">J3+11</f>
        <v>45702</v>
      </c>
      <c r="L3" s="66"/>
      <c r="M3" s="2" t="s">
        <v>78</v>
      </c>
      <c r="O3" s="2" t="s">
        <v>79</v>
      </c>
      <c r="P3" s="2">
        <v>6</v>
      </c>
      <c r="Q3" s="153">
        <v>45327</v>
      </c>
      <c r="R3" s="153">
        <v>45338</v>
      </c>
      <c r="T3" s="2" t="s">
        <v>80</v>
      </c>
      <c r="V3" s="2" t="s">
        <v>81</v>
      </c>
    </row>
    <row r="4" spans="1:22" x14ac:dyDescent="0.3">
      <c r="A4" s="33" t="s">
        <v>82</v>
      </c>
      <c r="B4" s="33">
        <v>6</v>
      </c>
      <c r="C4" s="34">
        <f t="shared" ref="C4:C24" si="2">D3+3</f>
        <v>46069</v>
      </c>
      <c r="D4" s="34">
        <f t="shared" si="0"/>
        <v>46080</v>
      </c>
      <c r="F4" s="2" t="s">
        <v>83</v>
      </c>
      <c r="H4" s="2" t="s">
        <v>84</v>
      </c>
      <c r="I4" s="2">
        <v>8</v>
      </c>
      <c r="J4" s="153">
        <f t="shared" ref="J4:J24" si="3">K3+3</f>
        <v>45705</v>
      </c>
      <c r="K4" s="153">
        <f t="shared" si="1"/>
        <v>45716</v>
      </c>
      <c r="L4" s="66"/>
      <c r="M4" s="2" t="s">
        <v>85</v>
      </c>
      <c r="O4" s="2" t="s">
        <v>86</v>
      </c>
      <c r="P4" s="2">
        <v>8</v>
      </c>
      <c r="Q4" s="153">
        <v>45341</v>
      </c>
      <c r="R4" s="153">
        <v>45352</v>
      </c>
      <c r="T4" s="2" t="s">
        <v>87</v>
      </c>
      <c r="V4" s="2" t="s">
        <v>88</v>
      </c>
    </row>
    <row r="5" spans="1:22" x14ac:dyDescent="0.3">
      <c r="A5" s="33" t="s">
        <v>89</v>
      </c>
      <c r="B5" s="33">
        <v>8</v>
      </c>
      <c r="C5" s="34">
        <f t="shared" si="2"/>
        <v>46083</v>
      </c>
      <c r="D5" s="34">
        <f t="shared" si="0"/>
        <v>46094</v>
      </c>
      <c r="F5" s="2" t="s">
        <v>90</v>
      </c>
      <c r="H5" s="2" t="s">
        <v>91</v>
      </c>
      <c r="I5" s="2">
        <v>6</v>
      </c>
      <c r="J5" s="153">
        <f t="shared" si="3"/>
        <v>45719</v>
      </c>
      <c r="K5" s="153">
        <f t="shared" si="1"/>
        <v>45730</v>
      </c>
      <c r="L5" s="66"/>
      <c r="M5" s="2" t="s">
        <v>92</v>
      </c>
      <c r="O5" s="2" t="s">
        <v>93</v>
      </c>
      <c r="P5" s="2">
        <v>8</v>
      </c>
      <c r="Q5" s="153">
        <v>45355</v>
      </c>
      <c r="R5" s="153">
        <v>45366</v>
      </c>
      <c r="T5" s="2" t="s">
        <v>94</v>
      </c>
      <c r="V5" s="2" t="s">
        <v>95</v>
      </c>
    </row>
    <row r="6" spans="1:22" x14ac:dyDescent="0.3">
      <c r="A6" s="33" t="s">
        <v>96</v>
      </c>
      <c r="B6" s="33">
        <v>8</v>
      </c>
      <c r="C6" s="34">
        <f t="shared" si="2"/>
        <v>46097</v>
      </c>
      <c r="D6" s="34">
        <f t="shared" si="0"/>
        <v>46108</v>
      </c>
      <c r="H6" s="2" t="s">
        <v>97</v>
      </c>
      <c r="I6" s="2">
        <v>8</v>
      </c>
      <c r="J6" s="153">
        <f t="shared" si="3"/>
        <v>45733</v>
      </c>
      <c r="K6" s="153">
        <f t="shared" si="1"/>
        <v>45744</v>
      </c>
      <c r="L6" s="66"/>
      <c r="M6" s="66"/>
      <c r="O6" s="2" t="s">
        <v>98</v>
      </c>
      <c r="P6" s="2">
        <v>7</v>
      </c>
      <c r="Q6" s="153">
        <v>45369</v>
      </c>
      <c r="R6" s="153">
        <v>45380</v>
      </c>
    </row>
    <row r="7" spans="1:22" x14ac:dyDescent="0.3">
      <c r="A7" s="33" t="s">
        <v>99</v>
      </c>
      <c r="B7" s="33">
        <v>2</v>
      </c>
      <c r="C7" s="34">
        <f t="shared" si="2"/>
        <v>46111</v>
      </c>
      <c r="D7" s="34">
        <f t="shared" si="0"/>
        <v>46122</v>
      </c>
      <c r="H7" s="2" t="s">
        <v>100</v>
      </c>
      <c r="I7" s="2">
        <v>3</v>
      </c>
      <c r="J7" s="153">
        <f t="shared" si="3"/>
        <v>45747</v>
      </c>
      <c r="K7" s="153">
        <f t="shared" si="1"/>
        <v>45758</v>
      </c>
      <c r="L7" s="66"/>
      <c r="M7" s="66"/>
      <c r="O7" s="2" t="s">
        <v>101</v>
      </c>
      <c r="P7" s="2">
        <v>3</v>
      </c>
      <c r="Q7" s="153">
        <v>45383</v>
      </c>
      <c r="R7" s="153">
        <v>45394</v>
      </c>
    </row>
    <row r="8" spans="1:22" x14ac:dyDescent="0.3">
      <c r="A8" s="31" t="s">
        <v>102</v>
      </c>
      <c r="B8" s="31">
        <v>5</v>
      </c>
      <c r="C8" s="32">
        <f t="shared" si="2"/>
        <v>46125</v>
      </c>
      <c r="D8" s="32">
        <f t="shared" si="0"/>
        <v>46136</v>
      </c>
      <c r="H8" s="2" t="s">
        <v>103</v>
      </c>
      <c r="I8" s="2">
        <v>6</v>
      </c>
      <c r="J8" s="153">
        <f t="shared" si="3"/>
        <v>45761</v>
      </c>
      <c r="K8" s="153">
        <f t="shared" si="1"/>
        <v>45772</v>
      </c>
      <c r="L8" s="66"/>
      <c r="M8" s="66"/>
      <c r="O8" s="2" t="s">
        <v>104</v>
      </c>
      <c r="P8" s="2">
        <v>8</v>
      </c>
      <c r="Q8" s="153">
        <v>45397</v>
      </c>
      <c r="R8" s="153">
        <v>45408</v>
      </c>
    </row>
    <row r="9" spans="1:22" x14ac:dyDescent="0.3">
      <c r="A9" s="31" t="s">
        <v>105</v>
      </c>
      <c r="B9" s="31">
        <v>7</v>
      </c>
      <c r="C9" s="32">
        <f t="shared" si="2"/>
        <v>46139</v>
      </c>
      <c r="D9" s="32">
        <f t="shared" si="0"/>
        <v>46150</v>
      </c>
      <c r="H9" s="2" t="s">
        <v>106</v>
      </c>
      <c r="I9" s="2">
        <v>7</v>
      </c>
      <c r="J9" s="153">
        <f t="shared" si="3"/>
        <v>45775</v>
      </c>
      <c r="K9" s="153">
        <f t="shared" si="1"/>
        <v>45786</v>
      </c>
      <c r="L9" s="66"/>
      <c r="M9" s="66"/>
      <c r="O9" s="2" t="s">
        <v>107</v>
      </c>
      <c r="P9" s="2">
        <v>7</v>
      </c>
      <c r="Q9" s="153">
        <v>45411</v>
      </c>
      <c r="R9" s="153">
        <v>45422</v>
      </c>
    </row>
    <row r="10" spans="1:22" x14ac:dyDescent="0.3">
      <c r="A10" s="31" t="s">
        <v>108</v>
      </c>
      <c r="B10" s="31">
        <v>8</v>
      </c>
      <c r="C10" s="32">
        <f t="shared" si="2"/>
        <v>46153</v>
      </c>
      <c r="D10" s="32">
        <f t="shared" si="0"/>
        <v>46164</v>
      </c>
      <c r="H10" s="2" t="s">
        <v>109</v>
      </c>
      <c r="I10" s="2">
        <v>8</v>
      </c>
      <c r="J10" s="153">
        <f t="shared" si="3"/>
        <v>45789</v>
      </c>
      <c r="K10" s="153">
        <f t="shared" si="1"/>
        <v>45800</v>
      </c>
      <c r="L10" s="66"/>
      <c r="M10" s="66"/>
      <c r="O10" s="2" t="s">
        <v>110</v>
      </c>
      <c r="P10" s="2">
        <v>8</v>
      </c>
      <c r="Q10" s="153">
        <v>45425</v>
      </c>
      <c r="R10" s="153">
        <v>45436</v>
      </c>
    </row>
    <row r="11" spans="1:22" x14ac:dyDescent="0.3">
      <c r="A11" s="31" t="s">
        <v>111</v>
      </c>
      <c r="B11" s="31">
        <v>7</v>
      </c>
      <c r="C11" s="32">
        <f t="shared" si="2"/>
        <v>46167</v>
      </c>
      <c r="D11" s="32">
        <f t="shared" si="0"/>
        <v>46178</v>
      </c>
      <c r="H11" s="2" t="s">
        <v>112</v>
      </c>
      <c r="I11" s="2">
        <v>8</v>
      </c>
      <c r="J11" s="153">
        <f t="shared" si="3"/>
        <v>45803</v>
      </c>
      <c r="K11" s="153">
        <f t="shared" si="1"/>
        <v>45814</v>
      </c>
      <c r="L11" s="66"/>
      <c r="M11" s="66"/>
      <c r="O11" s="2" t="s">
        <v>113</v>
      </c>
      <c r="P11" s="2">
        <v>7</v>
      </c>
      <c r="Q11" s="153">
        <v>45439</v>
      </c>
      <c r="R11" s="153">
        <v>45450</v>
      </c>
    </row>
    <row r="12" spans="1:22" x14ac:dyDescent="0.3">
      <c r="A12" s="31" t="s">
        <v>114</v>
      </c>
      <c r="B12" s="31">
        <v>8</v>
      </c>
      <c r="C12" s="32">
        <f t="shared" si="2"/>
        <v>46181</v>
      </c>
      <c r="D12" s="32">
        <f t="shared" si="0"/>
        <v>46192</v>
      </c>
      <c r="H12" s="2" t="s">
        <v>115</v>
      </c>
      <c r="I12" s="2">
        <v>7</v>
      </c>
      <c r="J12" s="153">
        <f t="shared" si="3"/>
        <v>45817</v>
      </c>
      <c r="K12" s="153">
        <f t="shared" si="1"/>
        <v>45828</v>
      </c>
      <c r="L12" s="66"/>
      <c r="M12" s="66"/>
      <c r="O12" s="2" t="s">
        <v>116</v>
      </c>
      <c r="P12" s="2">
        <v>4</v>
      </c>
      <c r="Q12" s="153">
        <v>45453</v>
      </c>
      <c r="R12" s="153">
        <v>45464</v>
      </c>
    </row>
    <row r="13" spans="1:22" x14ac:dyDescent="0.3">
      <c r="A13" s="31" t="s">
        <v>117</v>
      </c>
      <c r="B13" s="31">
        <v>3</v>
      </c>
      <c r="C13" s="32">
        <f t="shared" si="2"/>
        <v>46195</v>
      </c>
      <c r="D13" s="32">
        <f t="shared" si="0"/>
        <v>46206</v>
      </c>
      <c r="H13" s="2" t="s">
        <v>118</v>
      </c>
      <c r="I13" s="2">
        <v>3</v>
      </c>
      <c r="J13" s="153">
        <f t="shared" si="3"/>
        <v>45831</v>
      </c>
      <c r="K13" s="153">
        <f t="shared" si="1"/>
        <v>45842</v>
      </c>
      <c r="L13" s="66"/>
      <c r="M13" s="66"/>
      <c r="O13" s="2" t="s">
        <v>119</v>
      </c>
      <c r="P13" s="2">
        <v>12</v>
      </c>
      <c r="Q13" s="153">
        <v>45467</v>
      </c>
      <c r="R13" s="153">
        <v>45485</v>
      </c>
    </row>
    <row r="14" spans="1:22" x14ac:dyDescent="0.3">
      <c r="A14" s="40" t="s">
        <v>120</v>
      </c>
      <c r="B14" s="40">
        <v>7</v>
      </c>
      <c r="C14" s="41">
        <f t="shared" si="2"/>
        <v>46209</v>
      </c>
      <c r="D14" s="41">
        <f t="shared" si="0"/>
        <v>46220</v>
      </c>
      <c r="H14" s="2" t="s">
        <v>121</v>
      </c>
      <c r="I14" s="2">
        <v>7</v>
      </c>
      <c r="J14" s="153">
        <f t="shared" si="3"/>
        <v>45845</v>
      </c>
      <c r="K14" s="153">
        <f t="shared" si="1"/>
        <v>45856</v>
      </c>
      <c r="L14" s="66"/>
      <c r="M14" s="66"/>
      <c r="O14" s="2" t="s">
        <v>122</v>
      </c>
      <c r="P14" s="2">
        <v>8</v>
      </c>
      <c r="Q14" s="153">
        <v>45488</v>
      </c>
      <c r="R14" s="153">
        <v>45499</v>
      </c>
    </row>
    <row r="15" spans="1:22" x14ac:dyDescent="0.3">
      <c r="A15" s="40" t="s">
        <v>123</v>
      </c>
      <c r="B15" s="40">
        <v>8</v>
      </c>
      <c r="C15" s="41">
        <f t="shared" si="2"/>
        <v>46223</v>
      </c>
      <c r="D15" s="41">
        <f t="shared" si="0"/>
        <v>46234</v>
      </c>
      <c r="H15" s="2" t="s">
        <v>124</v>
      </c>
      <c r="I15" s="2">
        <v>8</v>
      </c>
      <c r="J15" s="153">
        <f t="shared" si="3"/>
        <v>45859</v>
      </c>
      <c r="K15" s="153">
        <f t="shared" si="1"/>
        <v>45870</v>
      </c>
      <c r="L15" s="66"/>
      <c r="M15" s="66"/>
      <c r="O15" s="2" t="s">
        <v>125</v>
      </c>
      <c r="P15" s="2">
        <v>8</v>
      </c>
      <c r="Q15" s="153">
        <v>45502</v>
      </c>
      <c r="R15" s="153">
        <v>45513</v>
      </c>
    </row>
    <row r="16" spans="1:22" x14ac:dyDescent="0.3">
      <c r="A16" s="40" t="s">
        <v>126</v>
      </c>
      <c r="B16" s="40">
        <v>8</v>
      </c>
      <c r="C16" s="41">
        <f t="shared" si="2"/>
        <v>46237</v>
      </c>
      <c r="D16" s="41">
        <f t="shared" si="0"/>
        <v>46248</v>
      </c>
      <c r="H16" s="2" t="s">
        <v>127</v>
      </c>
      <c r="I16" s="2">
        <v>8</v>
      </c>
      <c r="J16" s="153">
        <f t="shared" si="3"/>
        <v>45873</v>
      </c>
      <c r="K16" s="153">
        <f t="shared" si="1"/>
        <v>45884</v>
      </c>
      <c r="L16" s="66"/>
      <c r="M16" s="66"/>
      <c r="O16" s="2" t="s">
        <v>128</v>
      </c>
      <c r="P16" s="2">
        <v>8</v>
      </c>
      <c r="Q16" s="153">
        <v>45516</v>
      </c>
      <c r="R16" s="153">
        <v>45527</v>
      </c>
    </row>
    <row r="17" spans="1:18" x14ac:dyDescent="0.3">
      <c r="A17" s="40" t="s">
        <v>129</v>
      </c>
      <c r="B17" s="40">
        <v>8</v>
      </c>
      <c r="C17" s="41">
        <f t="shared" si="2"/>
        <v>46251</v>
      </c>
      <c r="D17" s="41">
        <f>C17+11</f>
        <v>46262</v>
      </c>
      <c r="H17" s="2" t="s">
        <v>130</v>
      </c>
      <c r="I17" s="2">
        <v>13</v>
      </c>
      <c r="J17" s="153">
        <f t="shared" si="3"/>
        <v>45887</v>
      </c>
      <c r="K17" s="153">
        <f>J17+18</f>
        <v>45905</v>
      </c>
      <c r="L17" s="66"/>
      <c r="M17" s="66"/>
      <c r="O17" s="2" t="s">
        <v>131</v>
      </c>
      <c r="P17" s="2">
        <v>8</v>
      </c>
      <c r="Q17" s="153">
        <v>45530</v>
      </c>
      <c r="R17" s="153">
        <v>45541</v>
      </c>
    </row>
    <row r="18" spans="1:18" x14ac:dyDescent="0.3">
      <c r="A18" s="40" t="s">
        <v>132</v>
      </c>
      <c r="B18" s="40">
        <v>7</v>
      </c>
      <c r="C18" s="41">
        <f t="shared" si="2"/>
        <v>46265</v>
      </c>
      <c r="D18" s="41">
        <f t="shared" ref="D18" si="4">C18+11</f>
        <v>46276</v>
      </c>
      <c r="H18" s="2" t="s">
        <v>133</v>
      </c>
      <c r="I18" s="2">
        <v>3</v>
      </c>
      <c r="J18" s="153">
        <f t="shared" si="3"/>
        <v>45908</v>
      </c>
      <c r="K18" s="153">
        <f t="shared" si="1"/>
        <v>45919</v>
      </c>
      <c r="L18" s="66"/>
      <c r="M18" s="66"/>
      <c r="O18" s="2" t="s">
        <v>134</v>
      </c>
      <c r="P18" s="2">
        <v>3</v>
      </c>
      <c r="Q18" s="153">
        <v>45544</v>
      </c>
      <c r="R18" s="153">
        <v>45555</v>
      </c>
    </row>
    <row r="19" spans="1:18" x14ac:dyDescent="0.3">
      <c r="A19" s="40" t="s">
        <v>135</v>
      </c>
      <c r="B19" s="40">
        <v>3</v>
      </c>
      <c r="C19" s="41">
        <f t="shared" si="2"/>
        <v>46279</v>
      </c>
      <c r="D19" s="41">
        <f>C19+11</f>
        <v>46290</v>
      </c>
      <c r="H19" s="2" t="s">
        <v>136</v>
      </c>
      <c r="I19" s="2">
        <v>13</v>
      </c>
      <c r="J19" s="153">
        <f t="shared" si="3"/>
        <v>45922</v>
      </c>
      <c r="K19" s="153">
        <f>J19+18</f>
        <v>45940</v>
      </c>
      <c r="L19" s="66"/>
      <c r="M19" s="66"/>
      <c r="O19" s="2" t="s">
        <v>137</v>
      </c>
      <c r="P19" s="2">
        <v>13</v>
      </c>
      <c r="Q19" s="153">
        <v>45558</v>
      </c>
      <c r="R19" s="153">
        <v>45576</v>
      </c>
    </row>
    <row r="20" spans="1:18" x14ac:dyDescent="0.3">
      <c r="A20" s="38" t="s">
        <v>138</v>
      </c>
      <c r="B20" s="38">
        <v>8</v>
      </c>
      <c r="C20" s="39">
        <f t="shared" si="2"/>
        <v>46293</v>
      </c>
      <c r="D20" s="39">
        <f t="shared" ref="D20:D24" si="5">C20+11</f>
        <v>46304</v>
      </c>
      <c r="H20" s="2" t="s">
        <v>139</v>
      </c>
      <c r="I20" s="2">
        <v>8</v>
      </c>
      <c r="J20" s="153">
        <f t="shared" si="3"/>
        <v>45943</v>
      </c>
      <c r="K20" s="153">
        <f t="shared" si="1"/>
        <v>45954</v>
      </c>
      <c r="L20" s="66"/>
      <c r="M20" s="66"/>
      <c r="O20" s="2" t="s">
        <v>140</v>
      </c>
      <c r="P20" s="2">
        <v>8</v>
      </c>
      <c r="Q20" s="153">
        <v>45579</v>
      </c>
      <c r="R20" s="153">
        <v>45590</v>
      </c>
    </row>
    <row r="21" spans="1:18" x14ac:dyDescent="0.3">
      <c r="A21" s="38" t="s">
        <v>141</v>
      </c>
      <c r="B21" s="38">
        <v>7</v>
      </c>
      <c r="C21" s="39">
        <f t="shared" si="2"/>
        <v>46307</v>
      </c>
      <c r="D21" s="39">
        <f t="shared" si="5"/>
        <v>46318</v>
      </c>
      <c r="H21" s="2" t="s">
        <v>142</v>
      </c>
      <c r="I21" s="2">
        <v>8</v>
      </c>
      <c r="J21" s="153">
        <f t="shared" si="3"/>
        <v>45957</v>
      </c>
      <c r="K21" s="153">
        <f t="shared" si="1"/>
        <v>45968</v>
      </c>
      <c r="L21" s="66"/>
      <c r="M21" s="66"/>
      <c r="O21" s="2" t="s">
        <v>143</v>
      </c>
      <c r="P21" s="2">
        <v>8</v>
      </c>
      <c r="Q21" s="153">
        <v>45593</v>
      </c>
      <c r="R21" s="153">
        <v>45604</v>
      </c>
    </row>
    <row r="22" spans="1:18" x14ac:dyDescent="0.3">
      <c r="A22" s="38" t="s">
        <v>144</v>
      </c>
      <c r="B22" s="38">
        <v>7</v>
      </c>
      <c r="C22" s="39">
        <f t="shared" si="2"/>
        <v>46321</v>
      </c>
      <c r="D22" s="39">
        <f t="shared" si="5"/>
        <v>46332</v>
      </c>
      <c r="H22" s="2" t="s">
        <v>145</v>
      </c>
      <c r="I22" s="2">
        <v>7</v>
      </c>
      <c r="J22" s="153">
        <f t="shared" si="3"/>
        <v>45971</v>
      </c>
      <c r="K22" s="153">
        <f t="shared" si="1"/>
        <v>45982</v>
      </c>
      <c r="L22" s="66"/>
      <c r="M22" s="66"/>
      <c r="O22" s="2" t="s">
        <v>146</v>
      </c>
      <c r="P22" s="2">
        <v>6</v>
      </c>
      <c r="Q22" s="153">
        <v>45607</v>
      </c>
      <c r="R22" s="153">
        <v>45618</v>
      </c>
    </row>
    <row r="23" spans="1:18" x14ac:dyDescent="0.3">
      <c r="A23" s="38" t="s">
        <v>147</v>
      </c>
      <c r="B23" s="38">
        <v>7</v>
      </c>
      <c r="C23" s="39">
        <f t="shared" si="2"/>
        <v>46335</v>
      </c>
      <c r="D23" s="39">
        <f t="shared" si="5"/>
        <v>46346</v>
      </c>
      <c r="H23" s="2" t="s">
        <v>148</v>
      </c>
      <c r="I23" s="2">
        <v>8</v>
      </c>
      <c r="J23" s="153">
        <f t="shared" si="3"/>
        <v>45985</v>
      </c>
      <c r="K23" s="153">
        <f t="shared" si="1"/>
        <v>45996</v>
      </c>
      <c r="L23" s="66"/>
      <c r="M23" s="66"/>
      <c r="O23" s="2" t="s">
        <v>149</v>
      </c>
      <c r="P23" s="2">
        <v>8</v>
      </c>
      <c r="Q23" s="153">
        <v>45621</v>
      </c>
      <c r="R23" s="153">
        <v>45632</v>
      </c>
    </row>
    <row r="24" spans="1:18" x14ac:dyDescent="0.3">
      <c r="A24" s="38" t="s">
        <v>150</v>
      </c>
      <c r="B24" s="38">
        <v>8</v>
      </c>
      <c r="C24" s="39">
        <f t="shared" si="2"/>
        <v>46349</v>
      </c>
      <c r="D24" s="39">
        <f t="shared" si="5"/>
        <v>46360</v>
      </c>
      <c r="H24" s="2" t="s">
        <v>151</v>
      </c>
      <c r="I24" s="2">
        <v>8</v>
      </c>
      <c r="J24" s="153">
        <f t="shared" si="3"/>
        <v>45999</v>
      </c>
      <c r="K24" s="153">
        <f t="shared" si="1"/>
        <v>46010</v>
      </c>
      <c r="L24" s="66"/>
      <c r="M24" s="66"/>
      <c r="O24" s="2" t="s">
        <v>152</v>
      </c>
      <c r="P24" s="2">
        <v>8</v>
      </c>
      <c r="Q24" s="153">
        <v>45635</v>
      </c>
      <c r="R24" s="153">
        <v>45646</v>
      </c>
    </row>
    <row r="25" spans="1:18" x14ac:dyDescent="0.3">
      <c r="A25" s="38" t="s">
        <v>153</v>
      </c>
      <c r="B25" s="112">
        <v>8</v>
      </c>
      <c r="C25" s="39">
        <f t="shared" ref="C25" si="6">D24+3</f>
        <v>46363</v>
      </c>
      <c r="D25" s="39">
        <f t="shared" ref="D25" si="7">C25+11</f>
        <v>46374</v>
      </c>
    </row>
    <row r="46" spans="15:15" x14ac:dyDescent="0.3">
      <c r="O46" t="s">
        <v>154</v>
      </c>
    </row>
  </sheetData>
  <autoFilter ref="O1:R24" xr:uid="{00000000-0001-0000-04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4"/>
  <sheetViews>
    <sheetView showGridLines="0" zoomScale="110" zoomScaleNormal="110" workbookViewId="0">
      <selection activeCell="B46" sqref="B46"/>
    </sheetView>
  </sheetViews>
  <sheetFormatPr defaultColWidth="8.44140625" defaultRowHeight="14.4" x14ac:dyDescent="0.3"/>
  <cols>
    <col min="1" max="1" width="14.44140625" customWidth="1"/>
    <col min="2" max="2" width="29.44140625" style="10" bestFit="1" customWidth="1"/>
    <col min="3" max="4" width="14.44140625" customWidth="1"/>
    <col min="5" max="5" width="14.44140625" style="7" customWidth="1"/>
    <col min="6" max="12" width="8.44140625" style="20"/>
  </cols>
  <sheetData>
    <row r="1" spans="1:12" s="1" customFormat="1" ht="57" customHeight="1" x14ac:dyDescent="0.3">
      <c r="A1" s="3" t="s">
        <v>155</v>
      </c>
      <c r="B1" s="3" t="s">
        <v>156</v>
      </c>
      <c r="C1" s="3" t="s">
        <v>157</v>
      </c>
      <c r="D1" s="3" t="s">
        <v>158</v>
      </c>
      <c r="E1" s="3" t="s">
        <v>159</v>
      </c>
      <c r="F1" s="19"/>
      <c r="G1" s="19"/>
      <c r="H1" s="19"/>
      <c r="I1" s="19"/>
      <c r="J1" s="19"/>
      <c r="K1" s="19"/>
      <c r="L1" s="19"/>
    </row>
    <row r="2" spans="1:12" x14ac:dyDescent="0.3">
      <c r="A2" s="2" t="s">
        <v>160</v>
      </c>
      <c r="B2" s="4" t="s">
        <v>16</v>
      </c>
      <c r="C2" s="2" t="s">
        <v>74</v>
      </c>
      <c r="D2" s="2" t="s">
        <v>161</v>
      </c>
      <c r="E2" s="5">
        <v>35</v>
      </c>
    </row>
    <row r="3" spans="1:12" x14ac:dyDescent="0.3">
      <c r="A3" s="2" t="s">
        <v>160</v>
      </c>
      <c r="B3" s="4" t="s">
        <v>16</v>
      </c>
      <c r="C3" s="2" t="s">
        <v>74</v>
      </c>
      <c r="D3" s="2" t="s">
        <v>162</v>
      </c>
      <c r="E3" s="5">
        <v>35</v>
      </c>
    </row>
    <row r="4" spans="1:12" x14ac:dyDescent="0.3">
      <c r="A4" s="2" t="s">
        <v>160</v>
      </c>
      <c r="B4" s="4" t="s">
        <v>16</v>
      </c>
      <c r="C4" s="2" t="s">
        <v>74</v>
      </c>
      <c r="D4" s="2" t="s">
        <v>163</v>
      </c>
      <c r="E4" s="5">
        <v>25</v>
      </c>
    </row>
    <row r="5" spans="1:12" x14ac:dyDescent="0.3">
      <c r="A5" s="2" t="s">
        <v>160</v>
      </c>
      <c r="B5" s="4" t="s">
        <v>16</v>
      </c>
      <c r="C5" s="2" t="s">
        <v>74</v>
      </c>
      <c r="D5" s="2" t="s">
        <v>164</v>
      </c>
      <c r="E5" s="5">
        <v>35</v>
      </c>
    </row>
    <row r="6" spans="1:12" x14ac:dyDescent="0.3">
      <c r="A6" s="2" t="s">
        <v>160</v>
      </c>
      <c r="B6" s="4" t="s">
        <v>16</v>
      </c>
      <c r="C6" s="2" t="s">
        <v>74</v>
      </c>
      <c r="D6" s="2" t="s">
        <v>165</v>
      </c>
      <c r="E6" s="5">
        <v>18</v>
      </c>
    </row>
    <row r="7" spans="1:12" x14ac:dyDescent="0.3">
      <c r="A7" s="2" t="s">
        <v>160</v>
      </c>
      <c r="B7" s="4" t="s">
        <v>16</v>
      </c>
      <c r="C7" s="2" t="s">
        <v>81</v>
      </c>
      <c r="D7" s="2" t="s">
        <v>166</v>
      </c>
      <c r="E7" s="5">
        <v>27</v>
      </c>
    </row>
    <row r="8" spans="1:12" x14ac:dyDescent="0.3">
      <c r="A8" s="2" t="s">
        <v>160</v>
      </c>
      <c r="B8" s="4" t="s">
        <v>16</v>
      </c>
      <c r="C8" s="2" t="s">
        <v>81</v>
      </c>
      <c r="D8" s="2" t="s">
        <v>167</v>
      </c>
      <c r="E8" s="5">
        <v>33</v>
      </c>
    </row>
    <row r="9" spans="1:12" x14ac:dyDescent="0.3">
      <c r="A9" s="2" t="s">
        <v>160</v>
      </c>
      <c r="B9" s="4" t="s">
        <v>16</v>
      </c>
      <c r="C9" s="2" t="s">
        <v>81</v>
      </c>
      <c r="D9" s="2" t="s">
        <v>168</v>
      </c>
      <c r="E9" s="5">
        <v>25</v>
      </c>
    </row>
    <row r="10" spans="1:12" x14ac:dyDescent="0.3">
      <c r="A10" s="2" t="s">
        <v>160</v>
      </c>
      <c r="B10" s="4" t="s">
        <v>16</v>
      </c>
      <c r="C10" s="2" t="s">
        <v>81</v>
      </c>
      <c r="D10" s="2" t="s">
        <v>169</v>
      </c>
      <c r="E10" s="5">
        <v>30</v>
      </c>
    </row>
    <row r="11" spans="1:12" x14ac:dyDescent="0.3">
      <c r="A11" s="2" t="s">
        <v>160</v>
      </c>
      <c r="B11" s="4" t="s">
        <v>16</v>
      </c>
      <c r="C11" s="2" t="s">
        <v>81</v>
      </c>
      <c r="D11" s="2" t="s">
        <v>170</v>
      </c>
      <c r="E11" s="5">
        <v>29</v>
      </c>
    </row>
    <row r="12" spans="1:12" x14ac:dyDescent="0.3">
      <c r="A12" s="2" t="s">
        <v>160</v>
      </c>
      <c r="B12" s="4" t="s">
        <v>16</v>
      </c>
      <c r="C12" s="2" t="s">
        <v>81</v>
      </c>
      <c r="D12" s="2" t="s">
        <v>171</v>
      </c>
      <c r="E12" s="5">
        <v>37</v>
      </c>
    </row>
    <row r="13" spans="1:12" x14ac:dyDescent="0.3">
      <c r="A13" s="2" t="s">
        <v>160</v>
      </c>
      <c r="B13" s="4" t="s">
        <v>16</v>
      </c>
      <c r="C13" s="2" t="s">
        <v>81</v>
      </c>
      <c r="D13" s="2" t="s">
        <v>172</v>
      </c>
      <c r="E13" s="5">
        <v>0</v>
      </c>
    </row>
    <row r="14" spans="1:12" x14ac:dyDescent="0.3">
      <c r="A14" s="2" t="s">
        <v>160</v>
      </c>
      <c r="B14" s="4" t="s">
        <v>16</v>
      </c>
      <c r="C14" s="2" t="s">
        <v>88</v>
      </c>
      <c r="D14" s="2" t="s">
        <v>173</v>
      </c>
      <c r="E14" s="5">
        <v>23</v>
      </c>
    </row>
    <row r="15" spans="1:12" x14ac:dyDescent="0.3">
      <c r="A15" s="2" t="s">
        <v>160</v>
      </c>
      <c r="B15" s="4" t="s">
        <v>16</v>
      </c>
      <c r="C15" s="2" t="s">
        <v>88</v>
      </c>
      <c r="D15" s="2" t="s">
        <v>174</v>
      </c>
      <c r="E15" s="5">
        <v>23</v>
      </c>
    </row>
    <row r="16" spans="1:12" x14ac:dyDescent="0.3">
      <c r="A16" s="2" t="s">
        <v>160</v>
      </c>
      <c r="B16" s="4" t="s">
        <v>16</v>
      </c>
      <c r="C16" s="2" t="s">
        <v>88</v>
      </c>
      <c r="D16" s="2" t="s">
        <v>175</v>
      </c>
      <c r="E16" s="5">
        <v>30</v>
      </c>
    </row>
    <row r="17" spans="1:5" x14ac:dyDescent="0.3">
      <c r="A17" s="2" t="s">
        <v>160</v>
      </c>
      <c r="B17" s="4" t="s">
        <v>16</v>
      </c>
      <c r="C17" s="2" t="s">
        <v>88</v>
      </c>
      <c r="D17" s="2" t="s">
        <v>176</v>
      </c>
      <c r="E17" s="5">
        <v>30</v>
      </c>
    </row>
    <row r="18" spans="1:5" x14ac:dyDescent="0.3">
      <c r="A18" s="2" t="s">
        <v>160</v>
      </c>
      <c r="B18" s="4" t="s">
        <v>16</v>
      </c>
      <c r="C18" s="2" t="s">
        <v>88</v>
      </c>
      <c r="D18" s="2" t="s">
        <v>177</v>
      </c>
      <c r="E18" s="5">
        <v>7</v>
      </c>
    </row>
    <row r="19" spans="1:5" x14ac:dyDescent="0.3">
      <c r="A19" s="2" t="s">
        <v>160</v>
      </c>
      <c r="B19" s="4" t="s">
        <v>16</v>
      </c>
      <c r="C19" s="2" t="s">
        <v>95</v>
      </c>
      <c r="D19" s="2" t="s">
        <v>178</v>
      </c>
      <c r="E19" s="5">
        <v>33.5</v>
      </c>
    </row>
    <row r="20" spans="1:5" x14ac:dyDescent="0.3">
      <c r="A20" s="2" t="s">
        <v>160</v>
      </c>
      <c r="B20" s="4" t="s">
        <v>16</v>
      </c>
      <c r="C20" s="2" t="s">
        <v>95</v>
      </c>
      <c r="D20" s="2" t="s">
        <v>179</v>
      </c>
      <c r="E20" s="5">
        <v>32.9765625</v>
      </c>
    </row>
    <row r="21" spans="1:5" x14ac:dyDescent="0.3">
      <c r="A21" s="2" t="s">
        <v>160</v>
      </c>
      <c r="B21" s="4" t="s">
        <v>16</v>
      </c>
      <c r="C21" s="2" t="s">
        <v>95</v>
      </c>
      <c r="D21" s="2" t="s">
        <v>180</v>
      </c>
      <c r="E21" s="5">
        <v>32.9765625</v>
      </c>
    </row>
    <row r="22" spans="1:5" x14ac:dyDescent="0.3">
      <c r="A22" s="2" t="s">
        <v>160</v>
      </c>
      <c r="B22" s="4" t="s">
        <v>16</v>
      </c>
      <c r="C22" s="2" t="s">
        <v>95</v>
      </c>
      <c r="D22" s="2" t="s">
        <v>181</v>
      </c>
      <c r="E22" s="5">
        <v>32.9765625</v>
      </c>
    </row>
    <row r="23" spans="1:5" x14ac:dyDescent="0.3">
      <c r="A23" s="2" t="s">
        <v>160</v>
      </c>
      <c r="B23" s="4" t="s">
        <v>16</v>
      </c>
      <c r="C23" s="2" t="s">
        <v>95</v>
      </c>
      <c r="D23" s="2" t="s">
        <v>182</v>
      </c>
      <c r="E23" s="5">
        <v>32.9765625</v>
      </c>
    </row>
    <row r="24" spans="1:5" x14ac:dyDescent="0.3">
      <c r="A24" s="2" t="s">
        <v>160</v>
      </c>
      <c r="B24" s="4" t="s">
        <v>16</v>
      </c>
      <c r="C24" s="2" t="s">
        <v>95</v>
      </c>
      <c r="D24" s="2" t="s">
        <v>183</v>
      </c>
      <c r="E24" s="5">
        <v>14.1328125</v>
      </c>
    </row>
    <row r="25" spans="1:5" x14ac:dyDescent="0.3">
      <c r="A25" s="2" t="s">
        <v>160</v>
      </c>
      <c r="B25" s="4" t="s">
        <v>17</v>
      </c>
      <c r="C25" s="2" t="s">
        <v>74</v>
      </c>
      <c r="D25" s="2" t="s">
        <v>161</v>
      </c>
      <c r="E25" s="5">
        <v>21</v>
      </c>
    </row>
    <row r="26" spans="1:5" x14ac:dyDescent="0.3">
      <c r="A26" s="2" t="s">
        <v>160</v>
      </c>
      <c r="B26" s="4" t="s">
        <v>17</v>
      </c>
      <c r="C26" s="2" t="s">
        <v>74</v>
      </c>
      <c r="D26" s="2" t="s">
        <v>162</v>
      </c>
      <c r="E26" s="5">
        <v>28</v>
      </c>
    </row>
    <row r="27" spans="1:5" x14ac:dyDescent="0.3">
      <c r="A27" s="2" t="s">
        <v>160</v>
      </c>
      <c r="B27" s="4" t="s">
        <v>17</v>
      </c>
      <c r="C27" s="2" t="s">
        <v>74</v>
      </c>
      <c r="D27" s="2" t="s">
        <v>163</v>
      </c>
      <c r="E27" s="5">
        <v>18</v>
      </c>
    </row>
    <row r="28" spans="1:5" x14ac:dyDescent="0.3">
      <c r="A28" s="2" t="s">
        <v>160</v>
      </c>
      <c r="B28" s="4" t="s">
        <v>17</v>
      </c>
      <c r="C28" s="2" t="s">
        <v>74</v>
      </c>
      <c r="D28" s="2" t="s">
        <v>164</v>
      </c>
      <c r="E28" s="5">
        <v>21</v>
      </c>
    </row>
    <row r="29" spans="1:5" x14ac:dyDescent="0.3">
      <c r="A29" s="2" t="s">
        <v>160</v>
      </c>
      <c r="B29" s="4" t="s">
        <v>17</v>
      </c>
      <c r="C29" s="2" t="s">
        <v>74</v>
      </c>
      <c r="D29" s="2" t="s">
        <v>165</v>
      </c>
      <c r="E29" s="5">
        <v>14</v>
      </c>
    </row>
    <row r="30" spans="1:5" x14ac:dyDescent="0.3">
      <c r="A30" s="2" t="s">
        <v>160</v>
      </c>
      <c r="B30" s="4" t="s">
        <v>17</v>
      </c>
      <c r="C30" s="2" t="s">
        <v>81</v>
      </c>
      <c r="D30" s="2" t="s">
        <v>166</v>
      </c>
      <c r="E30" s="5">
        <v>44</v>
      </c>
    </row>
    <row r="31" spans="1:5" x14ac:dyDescent="0.3">
      <c r="A31" s="2" t="s">
        <v>160</v>
      </c>
      <c r="B31" s="4" t="s">
        <v>17</v>
      </c>
      <c r="C31" s="2" t="s">
        <v>81</v>
      </c>
      <c r="D31" s="2" t="s">
        <v>167</v>
      </c>
      <c r="E31" s="5">
        <v>44</v>
      </c>
    </row>
    <row r="32" spans="1:5" x14ac:dyDescent="0.3">
      <c r="A32" s="2" t="s">
        <v>160</v>
      </c>
      <c r="B32" s="4" t="s">
        <v>17</v>
      </c>
      <c r="C32" s="2" t="s">
        <v>81</v>
      </c>
      <c r="D32" s="2" t="s">
        <v>168</v>
      </c>
      <c r="E32" s="5">
        <v>51</v>
      </c>
    </row>
    <row r="33" spans="1:5" x14ac:dyDescent="0.3">
      <c r="A33" s="2" t="s">
        <v>160</v>
      </c>
      <c r="B33" s="4" t="s">
        <v>17</v>
      </c>
      <c r="C33" s="2" t="s">
        <v>81</v>
      </c>
      <c r="D33" s="2" t="s">
        <v>169</v>
      </c>
      <c r="E33" s="5">
        <v>53</v>
      </c>
    </row>
    <row r="34" spans="1:5" x14ac:dyDescent="0.3">
      <c r="A34" s="2" t="s">
        <v>160</v>
      </c>
      <c r="B34" s="4" t="s">
        <v>17</v>
      </c>
      <c r="C34" s="2" t="s">
        <v>81</v>
      </c>
      <c r="D34" s="2" t="s">
        <v>170</v>
      </c>
      <c r="E34" s="5">
        <v>44</v>
      </c>
    </row>
    <row r="35" spans="1:5" x14ac:dyDescent="0.3">
      <c r="A35" s="2" t="s">
        <v>160</v>
      </c>
      <c r="B35" s="4" t="s">
        <v>17</v>
      </c>
      <c r="C35" s="2" t="s">
        <v>81</v>
      </c>
      <c r="D35" s="2" t="s">
        <v>171</v>
      </c>
      <c r="E35" s="5">
        <v>46</v>
      </c>
    </row>
    <row r="36" spans="1:5" x14ac:dyDescent="0.3">
      <c r="A36" s="2" t="s">
        <v>160</v>
      </c>
      <c r="B36" s="4" t="s">
        <v>17</v>
      </c>
      <c r="C36" s="2" t="s">
        <v>81</v>
      </c>
      <c r="D36" s="2" t="s">
        <v>172</v>
      </c>
      <c r="E36" s="5">
        <v>0</v>
      </c>
    </row>
    <row r="37" spans="1:5" x14ac:dyDescent="0.3">
      <c r="A37" s="2" t="s">
        <v>160</v>
      </c>
      <c r="B37" s="4" t="s">
        <v>17</v>
      </c>
      <c r="C37" s="2" t="s">
        <v>88</v>
      </c>
      <c r="D37" s="2" t="s">
        <v>173</v>
      </c>
      <c r="E37" s="5">
        <v>26</v>
      </c>
    </row>
    <row r="38" spans="1:5" x14ac:dyDescent="0.3">
      <c r="A38" s="2" t="s">
        <v>160</v>
      </c>
      <c r="B38" s="4" t="s">
        <v>17</v>
      </c>
      <c r="C38" s="2" t="s">
        <v>88</v>
      </c>
      <c r="D38" s="2" t="s">
        <v>174</v>
      </c>
      <c r="E38" s="5">
        <v>34</v>
      </c>
    </row>
    <row r="39" spans="1:5" x14ac:dyDescent="0.3">
      <c r="A39" s="2" t="s">
        <v>160</v>
      </c>
      <c r="B39" s="4" t="s">
        <v>17</v>
      </c>
      <c r="C39" s="2" t="s">
        <v>88</v>
      </c>
      <c r="D39" s="2" t="s">
        <v>175</v>
      </c>
      <c r="E39" s="5">
        <v>44</v>
      </c>
    </row>
    <row r="40" spans="1:5" x14ac:dyDescent="0.3">
      <c r="A40" s="2" t="s">
        <v>160</v>
      </c>
      <c r="B40" s="4" t="s">
        <v>17</v>
      </c>
      <c r="C40" s="2" t="s">
        <v>88</v>
      </c>
      <c r="D40" s="2" t="s">
        <v>176</v>
      </c>
      <c r="E40" s="5">
        <v>52</v>
      </c>
    </row>
    <row r="41" spans="1:5" x14ac:dyDescent="0.3">
      <c r="A41" s="2" t="s">
        <v>160</v>
      </c>
      <c r="B41" s="4" t="s">
        <v>17</v>
      </c>
      <c r="C41" s="2" t="s">
        <v>88</v>
      </c>
      <c r="D41" s="2" t="s">
        <v>177</v>
      </c>
      <c r="E41" s="5">
        <v>19</v>
      </c>
    </row>
    <row r="42" spans="1:5" x14ac:dyDescent="0.3">
      <c r="A42" s="2" t="s">
        <v>160</v>
      </c>
      <c r="B42" s="4" t="s">
        <v>17</v>
      </c>
      <c r="C42" s="2" t="s">
        <v>95</v>
      </c>
      <c r="D42" s="2" t="s">
        <v>178</v>
      </c>
      <c r="E42" s="5">
        <v>30</v>
      </c>
    </row>
    <row r="43" spans="1:5" x14ac:dyDescent="0.3">
      <c r="A43" s="2" t="s">
        <v>160</v>
      </c>
      <c r="B43" s="4" t="s">
        <v>17</v>
      </c>
      <c r="C43" s="2" t="s">
        <v>95</v>
      </c>
      <c r="D43" s="2" t="s">
        <v>179</v>
      </c>
      <c r="E43" s="5">
        <v>29</v>
      </c>
    </row>
    <row r="44" spans="1:5" x14ac:dyDescent="0.3">
      <c r="A44" s="2" t="s">
        <v>160</v>
      </c>
      <c r="B44" s="4" t="s">
        <v>17</v>
      </c>
      <c r="C44" s="2" t="s">
        <v>95</v>
      </c>
      <c r="D44" s="2" t="s">
        <v>180</v>
      </c>
      <c r="E44" s="5">
        <v>29</v>
      </c>
    </row>
    <row r="45" spans="1:5" x14ac:dyDescent="0.3">
      <c r="A45" s="2" t="s">
        <v>160</v>
      </c>
      <c r="B45" s="4" t="s">
        <v>17</v>
      </c>
      <c r="C45" s="2" t="s">
        <v>95</v>
      </c>
      <c r="D45" s="2" t="s">
        <v>181</v>
      </c>
      <c r="E45" s="5">
        <v>29</v>
      </c>
    </row>
    <row r="46" spans="1:5" x14ac:dyDescent="0.3">
      <c r="A46" s="2" t="s">
        <v>160</v>
      </c>
      <c r="B46" s="4" t="s">
        <v>17</v>
      </c>
      <c r="C46" s="2" t="s">
        <v>95</v>
      </c>
      <c r="D46" s="2" t="s">
        <v>182</v>
      </c>
      <c r="E46" s="5">
        <v>29</v>
      </c>
    </row>
    <row r="47" spans="1:5" x14ac:dyDescent="0.3">
      <c r="A47" s="2" t="s">
        <v>160</v>
      </c>
      <c r="B47" s="4" t="s">
        <v>17</v>
      </c>
      <c r="C47" s="2" t="s">
        <v>95</v>
      </c>
      <c r="D47" s="2" t="s">
        <v>183</v>
      </c>
      <c r="E47" s="5">
        <v>12</v>
      </c>
    </row>
    <row r="48" spans="1:5" x14ac:dyDescent="0.3">
      <c r="A48" s="2" t="s">
        <v>160</v>
      </c>
      <c r="B48" s="4" t="s">
        <v>18</v>
      </c>
      <c r="C48" s="2" t="s">
        <v>74</v>
      </c>
      <c r="D48" s="2" t="s">
        <v>161</v>
      </c>
      <c r="E48" s="5">
        <v>32</v>
      </c>
    </row>
    <row r="49" spans="1:5" x14ac:dyDescent="0.3">
      <c r="A49" s="2" t="s">
        <v>160</v>
      </c>
      <c r="B49" s="4" t="s">
        <v>18</v>
      </c>
      <c r="C49" s="2" t="s">
        <v>74</v>
      </c>
      <c r="D49" s="2" t="s">
        <v>162</v>
      </c>
      <c r="E49" s="5">
        <v>32</v>
      </c>
    </row>
    <row r="50" spans="1:5" x14ac:dyDescent="0.3">
      <c r="A50" s="2" t="s">
        <v>160</v>
      </c>
      <c r="B50" s="4" t="s">
        <v>18</v>
      </c>
      <c r="C50" s="2" t="s">
        <v>74</v>
      </c>
      <c r="D50" s="2" t="s">
        <v>163</v>
      </c>
      <c r="E50" s="5">
        <v>24</v>
      </c>
    </row>
    <row r="51" spans="1:5" x14ac:dyDescent="0.3">
      <c r="A51" s="2" t="s">
        <v>160</v>
      </c>
      <c r="B51" s="4" t="s">
        <v>18</v>
      </c>
      <c r="C51" s="2" t="s">
        <v>74</v>
      </c>
      <c r="D51" s="2" t="s">
        <v>164</v>
      </c>
      <c r="E51" s="5">
        <v>32</v>
      </c>
    </row>
    <row r="52" spans="1:5" x14ac:dyDescent="0.3">
      <c r="A52" s="2" t="s">
        <v>160</v>
      </c>
      <c r="B52" s="4" t="s">
        <v>18</v>
      </c>
      <c r="C52" s="2" t="s">
        <v>74</v>
      </c>
      <c r="D52" s="2" t="s">
        <v>165</v>
      </c>
      <c r="E52" s="5">
        <v>16</v>
      </c>
    </row>
    <row r="53" spans="1:5" x14ac:dyDescent="0.3">
      <c r="A53" s="2" t="s">
        <v>160</v>
      </c>
      <c r="B53" s="4" t="s">
        <v>18</v>
      </c>
      <c r="C53" s="2" t="s">
        <v>81</v>
      </c>
      <c r="D53" s="2" t="s">
        <v>166</v>
      </c>
      <c r="E53" s="5">
        <v>28</v>
      </c>
    </row>
    <row r="54" spans="1:5" x14ac:dyDescent="0.3">
      <c r="A54" s="2" t="s">
        <v>160</v>
      </c>
      <c r="B54" s="4" t="s">
        <v>18</v>
      </c>
      <c r="C54" s="2" t="s">
        <v>81</v>
      </c>
      <c r="D54" s="2" t="s">
        <v>167</v>
      </c>
      <c r="E54" s="5">
        <v>21</v>
      </c>
    </row>
    <row r="55" spans="1:5" x14ac:dyDescent="0.3">
      <c r="A55" s="2" t="s">
        <v>160</v>
      </c>
      <c r="B55" s="4" t="s">
        <v>18</v>
      </c>
      <c r="C55" s="2" t="s">
        <v>81</v>
      </c>
      <c r="D55" s="2" t="s">
        <v>168</v>
      </c>
      <c r="E55" s="5">
        <v>33</v>
      </c>
    </row>
    <row r="56" spans="1:5" x14ac:dyDescent="0.3">
      <c r="A56" s="2" t="s">
        <v>160</v>
      </c>
      <c r="B56" s="4" t="s">
        <v>18</v>
      </c>
      <c r="C56" s="2" t="s">
        <v>81</v>
      </c>
      <c r="D56" s="2" t="s">
        <v>169</v>
      </c>
      <c r="E56" s="5">
        <v>40</v>
      </c>
    </row>
    <row r="57" spans="1:5" x14ac:dyDescent="0.3">
      <c r="A57" s="2" t="s">
        <v>160</v>
      </c>
      <c r="B57" s="4" t="s">
        <v>18</v>
      </c>
      <c r="C57" s="2" t="s">
        <v>81</v>
      </c>
      <c r="D57" s="2" t="s">
        <v>170</v>
      </c>
      <c r="E57" s="5">
        <v>30</v>
      </c>
    </row>
    <row r="58" spans="1:5" x14ac:dyDescent="0.3">
      <c r="A58" s="2" t="s">
        <v>160</v>
      </c>
      <c r="B58" s="4" t="s">
        <v>18</v>
      </c>
      <c r="C58" s="2" t="s">
        <v>81</v>
      </c>
      <c r="D58" s="2" t="s">
        <v>171</v>
      </c>
      <c r="E58" s="5">
        <v>23</v>
      </c>
    </row>
    <row r="59" spans="1:5" x14ac:dyDescent="0.3">
      <c r="A59" s="2" t="s">
        <v>160</v>
      </c>
      <c r="B59" s="4" t="s">
        <v>18</v>
      </c>
      <c r="C59" s="2" t="s">
        <v>81</v>
      </c>
      <c r="D59" s="2" t="s">
        <v>172</v>
      </c>
      <c r="E59" s="5">
        <v>0</v>
      </c>
    </row>
    <row r="60" spans="1:5" x14ac:dyDescent="0.3">
      <c r="A60" s="2" t="s">
        <v>160</v>
      </c>
      <c r="B60" s="4" t="s">
        <v>18</v>
      </c>
      <c r="C60" s="2" t="s">
        <v>88</v>
      </c>
      <c r="D60" s="2" t="s">
        <v>173</v>
      </c>
      <c r="E60" s="5">
        <v>22</v>
      </c>
    </row>
    <row r="61" spans="1:5" x14ac:dyDescent="0.3">
      <c r="A61" s="2" t="s">
        <v>160</v>
      </c>
      <c r="B61" s="4" t="s">
        <v>18</v>
      </c>
      <c r="C61" s="2" t="s">
        <v>88</v>
      </c>
      <c r="D61" s="2" t="s">
        <v>174</v>
      </c>
      <c r="E61" s="6">
        <v>29</v>
      </c>
    </row>
    <row r="62" spans="1:5" x14ac:dyDescent="0.3">
      <c r="A62" s="2" t="s">
        <v>160</v>
      </c>
      <c r="B62" s="4" t="s">
        <v>18</v>
      </c>
      <c r="C62" s="2" t="s">
        <v>88</v>
      </c>
      <c r="D62" s="2" t="s">
        <v>175</v>
      </c>
      <c r="E62" s="6">
        <v>37</v>
      </c>
    </row>
    <row r="63" spans="1:5" x14ac:dyDescent="0.3">
      <c r="A63" s="2" t="s">
        <v>160</v>
      </c>
      <c r="B63" s="4" t="s">
        <v>18</v>
      </c>
      <c r="C63" s="2" t="s">
        <v>88</v>
      </c>
      <c r="D63" s="2" t="s">
        <v>176</v>
      </c>
      <c r="E63" s="6">
        <v>37</v>
      </c>
    </row>
    <row r="64" spans="1:5" x14ac:dyDescent="0.3">
      <c r="A64" s="2" t="s">
        <v>160</v>
      </c>
      <c r="B64" s="4" t="s">
        <v>18</v>
      </c>
      <c r="C64" s="2" t="s">
        <v>88</v>
      </c>
      <c r="D64" s="2" t="s">
        <v>177</v>
      </c>
      <c r="E64" s="6">
        <v>9</v>
      </c>
    </row>
    <row r="65" spans="1:5" x14ac:dyDescent="0.3">
      <c r="A65" s="2" t="s">
        <v>160</v>
      </c>
      <c r="B65" s="4" t="s">
        <v>18</v>
      </c>
      <c r="C65" s="2" t="s">
        <v>95</v>
      </c>
      <c r="D65" s="2" t="s">
        <v>178</v>
      </c>
      <c r="E65" s="5">
        <v>28</v>
      </c>
    </row>
    <row r="66" spans="1:5" x14ac:dyDescent="0.3">
      <c r="A66" s="2" t="s">
        <v>160</v>
      </c>
      <c r="B66" s="4" t="s">
        <v>18</v>
      </c>
      <c r="C66" s="2" t="s">
        <v>95</v>
      </c>
      <c r="D66" s="2" t="s">
        <v>179</v>
      </c>
      <c r="E66" s="5">
        <v>28</v>
      </c>
    </row>
    <row r="67" spans="1:5" x14ac:dyDescent="0.3">
      <c r="A67" s="2" t="s">
        <v>160</v>
      </c>
      <c r="B67" s="4" t="s">
        <v>18</v>
      </c>
      <c r="C67" s="2" t="s">
        <v>95</v>
      </c>
      <c r="D67" s="2" t="s">
        <v>180</v>
      </c>
      <c r="E67" s="5">
        <v>28</v>
      </c>
    </row>
    <row r="68" spans="1:5" x14ac:dyDescent="0.3">
      <c r="A68" s="2" t="s">
        <v>160</v>
      </c>
      <c r="B68" s="4" t="s">
        <v>18</v>
      </c>
      <c r="C68" s="2" t="s">
        <v>95</v>
      </c>
      <c r="D68" s="2" t="s">
        <v>181</v>
      </c>
      <c r="E68" s="5">
        <v>27.794117647058826</v>
      </c>
    </row>
    <row r="69" spans="1:5" x14ac:dyDescent="0.3">
      <c r="A69" s="2" t="s">
        <v>160</v>
      </c>
      <c r="B69" s="4" t="s">
        <v>18</v>
      </c>
      <c r="C69" s="2" t="s">
        <v>95</v>
      </c>
      <c r="D69" s="2" t="s">
        <v>182</v>
      </c>
      <c r="E69" s="5">
        <v>31.268382352941174</v>
      </c>
    </row>
    <row r="70" spans="1:5" x14ac:dyDescent="0.3">
      <c r="A70" s="2" t="s">
        <v>160</v>
      </c>
      <c r="B70" s="4" t="s">
        <v>18</v>
      </c>
      <c r="C70" s="2" t="s">
        <v>95</v>
      </c>
      <c r="D70" s="2" t="s">
        <v>183</v>
      </c>
      <c r="E70" s="5">
        <v>14.88970588235294</v>
      </c>
    </row>
    <row r="71" spans="1:5" x14ac:dyDescent="0.3">
      <c r="A71" s="2" t="s">
        <v>160</v>
      </c>
      <c r="B71" s="4" t="s">
        <v>15</v>
      </c>
      <c r="C71" s="2" t="s">
        <v>74</v>
      </c>
      <c r="D71" s="2" t="s">
        <v>161</v>
      </c>
      <c r="E71" s="6">
        <v>34</v>
      </c>
    </row>
    <row r="72" spans="1:5" x14ac:dyDescent="0.3">
      <c r="A72" s="2" t="s">
        <v>160</v>
      </c>
      <c r="B72" s="4" t="s">
        <v>15</v>
      </c>
      <c r="C72" s="2" t="s">
        <v>74</v>
      </c>
      <c r="D72" s="2" t="s">
        <v>162</v>
      </c>
      <c r="E72" s="6">
        <v>34</v>
      </c>
    </row>
    <row r="73" spans="1:5" x14ac:dyDescent="0.3">
      <c r="A73" s="2" t="s">
        <v>160</v>
      </c>
      <c r="B73" s="4" t="s">
        <v>15</v>
      </c>
      <c r="C73" s="2" t="s">
        <v>74</v>
      </c>
      <c r="D73" s="2" t="s">
        <v>163</v>
      </c>
      <c r="E73" s="6">
        <v>26</v>
      </c>
    </row>
    <row r="74" spans="1:5" x14ac:dyDescent="0.3">
      <c r="A74" s="2" t="s">
        <v>160</v>
      </c>
      <c r="B74" s="4" t="s">
        <v>15</v>
      </c>
      <c r="C74" s="2" t="s">
        <v>74</v>
      </c>
      <c r="D74" s="2" t="s">
        <v>164</v>
      </c>
      <c r="E74" s="6">
        <v>34</v>
      </c>
    </row>
    <row r="75" spans="1:5" x14ac:dyDescent="0.3">
      <c r="A75" s="2" t="s">
        <v>160</v>
      </c>
      <c r="B75" s="4" t="s">
        <v>15</v>
      </c>
      <c r="C75" s="2" t="s">
        <v>74</v>
      </c>
      <c r="D75" s="2" t="s">
        <v>165</v>
      </c>
      <c r="E75" s="6">
        <v>21</v>
      </c>
    </row>
    <row r="76" spans="1:5" x14ac:dyDescent="0.3">
      <c r="A76" s="2" t="s">
        <v>160</v>
      </c>
      <c r="B76" s="4" t="s">
        <v>15</v>
      </c>
      <c r="C76" s="2" t="s">
        <v>81</v>
      </c>
      <c r="D76" s="2" t="s">
        <v>166</v>
      </c>
      <c r="E76" s="6">
        <v>30</v>
      </c>
    </row>
    <row r="77" spans="1:5" x14ac:dyDescent="0.3">
      <c r="A77" s="2" t="s">
        <v>160</v>
      </c>
      <c r="B77" s="4" t="s">
        <v>15</v>
      </c>
      <c r="C77" s="2" t="s">
        <v>81</v>
      </c>
      <c r="D77" s="2" t="s">
        <v>167</v>
      </c>
      <c r="E77" s="6">
        <v>30</v>
      </c>
    </row>
    <row r="78" spans="1:5" x14ac:dyDescent="0.3">
      <c r="A78" s="2" t="s">
        <v>160</v>
      </c>
      <c r="B78" s="4" t="s">
        <v>15</v>
      </c>
      <c r="C78" s="2" t="s">
        <v>81</v>
      </c>
      <c r="D78" s="2" t="s">
        <v>168</v>
      </c>
      <c r="E78" s="6">
        <v>30</v>
      </c>
    </row>
    <row r="79" spans="1:5" x14ac:dyDescent="0.3">
      <c r="A79" s="2" t="s">
        <v>160</v>
      </c>
      <c r="B79" s="4" t="s">
        <v>15</v>
      </c>
      <c r="C79" s="2" t="s">
        <v>81</v>
      </c>
      <c r="D79" s="2" t="s">
        <v>169</v>
      </c>
      <c r="E79" s="6">
        <v>34</v>
      </c>
    </row>
    <row r="80" spans="1:5" x14ac:dyDescent="0.3">
      <c r="A80" s="2" t="s">
        <v>160</v>
      </c>
      <c r="B80" s="4" t="s">
        <v>15</v>
      </c>
      <c r="C80" s="2" t="s">
        <v>81</v>
      </c>
      <c r="D80" s="2" t="s">
        <v>170</v>
      </c>
      <c r="E80" s="6">
        <v>21</v>
      </c>
    </row>
    <row r="81" spans="1:5" x14ac:dyDescent="0.3">
      <c r="A81" s="2" t="s">
        <v>160</v>
      </c>
      <c r="B81" s="4" t="s">
        <v>15</v>
      </c>
      <c r="C81" s="2" t="s">
        <v>81</v>
      </c>
      <c r="D81" s="2" t="s">
        <v>171</v>
      </c>
      <c r="E81" s="6">
        <v>30</v>
      </c>
    </row>
    <row r="82" spans="1:5" x14ac:dyDescent="0.3">
      <c r="A82" s="2" t="s">
        <v>160</v>
      </c>
      <c r="B82" s="4" t="s">
        <v>15</v>
      </c>
      <c r="C82" s="2" t="s">
        <v>81</v>
      </c>
      <c r="D82" s="2" t="s">
        <v>172</v>
      </c>
      <c r="E82" s="6">
        <v>0</v>
      </c>
    </row>
    <row r="83" spans="1:5" x14ac:dyDescent="0.3">
      <c r="A83" s="2" t="s">
        <v>160</v>
      </c>
      <c r="B83" s="4" t="s">
        <v>15</v>
      </c>
      <c r="C83" s="2" t="s">
        <v>88</v>
      </c>
      <c r="D83" s="2" t="s">
        <v>173</v>
      </c>
      <c r="E83" s="6">
        <v>32</v>
      </c>
    </row>
    <row r="84" spans="1:5" x14ac:dyDescent="0.3">
      <c r="A84" s="2" t="s">
        <v>160</v>
      </c>
      <c r="B84" s="4" t="s">
        <v>15</v>
      </c>
      <c r="C84" s="2" t="s">
        <v>88</v>
      </c>
      <c r="D84" s="2" t="s">
        <v>174</v>
      </c>
      <c r="E84" s="6">
        <v>32</v>
      </c>
    </row>
    <row r="85" spans="1:5" x14ac:dyDescent="0.3">
      <c r="A85" s="2" t="s">
        <v>160</v>
      </c>
      <c r="B85" s="4" t="s">
        <v>15</v>
      </c>
      <c r="C85" s="2" t="s">
        <v>88</v>
      </c>
      <c r="D85" s="2" t="s">
        <v>175</v>
      </c>
      <c r="E85" s="6">
        <v>32</v>
      </c>
    </row>
    <row r="86" spans="1:5" x14ac:dyDescent="0.3">
      <c r="A86" s="2" t="s">
        <v>160</v>
      </c>
      <c r="B86" s="4" t="s">
        <v>15</v>
      </c>
      <c r="C86" s="2" t="s">
        <v>88</v>
      </c>
      <c r="D86" s="2" t="s">
        <v>176</v>
      </c>
      <c r="E86" s="6">
        <v>32</v>
      </c>
    </row>
    <row r="87" spans="1:5" x14ac:dyDescent="0.3">
      <c r="A87" s="2" t="s">
        <v>160</v>
      </c>
      <c r="B87" s="4" t="s">
        <v>15</v>
      </c>
      <c r="C87" s="2" t="s">
        <v>88</v>
      </c>
      <c r="D87" s="2" t="s">
        <v>177</v>
      </c>
      <c r="E87" s="6">
        <v>12</v>
      </c>
    </row>
    <row r="88" spans="1:5" x14ac:dyDescent="0.3">
      <c r="A88" s="2" t="s">
        <v>160</v>
      </c>
      <c r="B88" s="4" t="s">
        <v>15</v>
      </c>
      <c r="C88" s="2" t="s">
        <v>95</v>
      </c>
      <c r="D88" s="2" t="s">
        <v>178</v>
      </c>
      <c r="E88" s="5">
        <v>32.5</v>
      </c>
    </row>
    <row r="89" spans="1:5" x14ac:dyDescent="0.3">
      <c r="A89" s="2" t="s">
        <v>160</v>
      </c>
      <c r="B89" s="4" t="s">
        <v>15</v>
      </c>
      <c r="C89" s="2" t="s">
        <v>95</v>
      </c>
      <c r="D89" s="2" t="s">
        <v>179</v>
      </c>
      <c r="E89" s="5">
        <v>28.4375</v>
      </c>
    </row>
    <row r="90" spans="1:5" x14ac:dyDescent="0.3">
      <c r="A90" s="2" t="s">
        <v>160</v>
      </c>
      <c r="B90" s="4" t="s">
        <v>15</v>
      </c>
      <c r="C90" s="2" t="s">
        <v>95</v>
      </c>
      <c r="D90" s="2" t="s">
        <v>180</v>
      </c>
      <c r="E90" s="5">
        <v>28.4375</v>
      </c>
    </row>
    <row r="91" spans="1:5" x14ac:dyDescent="0.3">
      <c r="A91" s="2" t="s">
        <v>160</v>
      </c>
      <c r="B91" s="4" t="s">
        <v>15</v>
      </c>
      <c r="C91" s="2" t="s">
        <v>95</v>
      </c>
      <c r="D91" s="2" t="s">
        <v>181</v>
      </c>
      <c r="E91" s="5">
        <v>21</v>
      </c>
    </row>
    <row r="92" spans="1:5" x14ac:dyDescent="0.3">
      <c r="A92" s="2" t="s">
        <v>160</v>
      </c>
      <c r="B92" s="4" t="s">
        <v>15</v>
      </c>
      <c r="C92" s="2" t="s">
        <v>95</v>
      </c>
      <c r="D92" s="2" t="s">
        <v>182</v>
      </c>
      <c r="E92" s="5">
        <v>21.328125</v>
      </c>
    </row>
    <row r="93" spans="1:5" x14ac:dyDescent="0.3">
      <c r="A93" s="2" t="s">
        <v>160</v>
      </c>
      <c r="B93" s="4" t="s">
        <v>15</v>
      </c>
      <c r="C93" s="2" t="s">
        <v>95</v>
      </c>
      <c r="D93" s="2" t="s">
        <v>183</v>
      </c>
      <c r="E93" s="5">
        <v>12.1875</v>
      </c>
    </row>
    <row r="94" spans="1:5" x14ac:dyDescent="0.3">
      <c r="A94" s="2" t="s">
        <v>19</v>
      </c>
      <c r="B94" s="4" t="s">
        <v>184</v>
      </c>
      <c r="C94" s="2" t="s">
        <v>74</v>
      </c>
      <c r="D94" s="2" t="s">
        <v>161</v>
      </c>
      <c r="E94" s="6">
        <v>42</v>
      </c>
    </row>
    <row r="95" spans="1:5" x14ac:dyDescent="0.3">
      <c r="A95" s="2" t="s">
        <v>19</v>
      </c>
      <c r="B95" s="4" t="s">
        <v>184</v>
      </c>
      <c r="C95" s="2" t="s">
        <v>74</v>
      </c>
      <c r="D95" s="2" t="s">
        <v>162</v>
      </c>
      <c r="E95" s="6">
        <v>48</v>
      </c>
    </row>
    <row r="96" spans="1:5" x14ac:dyDescent="0.3">
      <c r="A96" s="2" t="s">
        <v>19</v>
      </c>
      <c r="B96" s="4" t="s">
        <v>184</v>
      </c>
      <c r="C96" s="2" t="s">
        <v>74</v>
      </c>
      <c r="D96" s="2" t="s">
        <v>163</v>
      </c>
      <c r="E96" s="6">
        <v>36</v>
      </c>
    </row>
    <row r="97" spans="1:5" x14ac:dyDescent="0.3">
      <c r="A97" s="2" t="s">
        <v>19</v>
      </c>
      <c r="B97" s="4" t="s">
        <v>184</v>
      </c>
      <c r="C97" s="2" t="s">
        <v>74</v>
      </c>
      <c r="D97" s="2" t="s">
        <v>164</v>
      </c>
      <c r="E97" s="6">
        <v>48</v>
      </c>
    </row>
    <row r="98" spans="1:5" x14ac:dyDescent="0.3">
      <c r="A98" s="2" t="s">
        <v>19</v>
      </c>
      <c r="B98" s="4" t="s">
        <v>184</v>
      </c>
      <c r="C98" s="2" t="s">
        <v>74</v>
      </c>
      <c r="D98" s="2" t="s">
        <v>165</v>
      </c>
      <c r="E98" s="6">
        <v>48</v>
      </c>
    </row>
    <row r="99" spans="1:5" x14ac:dyDescent="0.3">
      <c r="A99" s="2" t="s">
        <v>19</v>
      </c>
      <c r="B99" s="4" t="s">
        <v>23</v>
      </c>
      <c r="C99" s="2" t="s">
        <v>74</v>
      </c>
      <c r="D99" s="2" t="s">
        <v>161</v>
      </c>
      <c r="E99" s="6">
        <v>40</v>
      </c>
    </row>
    <row r="100" spans="1:5" x14ac:dyDescent="0.3">
      <c r="A100" s="2" t="s">
        <v>19</v>
      </c>
      <c r="B100" s="4" t="s">
        <v>23</v>
      </c>
      <c r="C100" s="2" t="s">
        <v>74</v>
      </c>
      <c r="D100" s="2" t="s">
        <v>162</v>
      </c>
      <c r="E100" s="6">
        <v>46</v>
      </c>
    </row>
    <row r="101" spans="1:5" x14ac:dyDescent="0.3">
      <c r="A101" s="2" t="s">
        <v>19</v>
      </c>
      <c r="B101" s="4" t="s">
        <v>23</v>
      </c>
      <c r="C101" s="2" t="s">
        <v>74</v>
      </c>
      <c r="D101" s="2" t="s">
        <v>163</v>
      </c>
      <c r="E101" s="6">
        <v>38</v>
      </c>
    </row>
    <row r="102" spans="1:5" x14ac:dyDescent="0.3">
      <c r="A102" s="2" t="s">
        <v>19</v>
      </c>
      <c r="B102" s="4" t="s">
        <v>23</v>
      </c>
      <c r="C102" s="2" t="s">
        <v>74</v>
      </c>
      <c r="D102" s="2" t="s">
        <v>164</v>
      </c>
      <c r="E102" s="6">
        <v>35</v>
      </c>
    </row>
    <row r="103" spans="1:5" x14ac:dyDescent="0.3">
      <c r="A103" s="2" t="s">
        <v>19</v>
      </c>
      <c r="B103" s="4" t="s">
        <v>23</v>
      </c>
      <c r="C103" s="2" t="s">
        <v>74</v>
      </c>
      <c r="D103" s="2" t="s">
        <v>165</v>
      </c>
      <c r="E103" s="6">
        <v>35</v>
      </c>
    </row>
    <row r="104" spans="1:5" x14ac:dyDescent="0.3">
      <c r="A104" s="2" t="s">
        <v>19</v>
      </c>
      <c r="B104" s="4" t="s">
        <v>22</v>
      </c>
      <c r="C104" s="2" t="s">
        <v>74</v>
      </c>
      <c r="D104" s="2" t="s">
        <v>161</v>
      </c>
      <c r="E104" s="6">
        <v>43</v>
      </c>
    </row>
    <row r="105" spans="1:5" x14ac:dyDescent="0.3">
      <c r="A105" s="2" t="s">
        <v>19</v>
      </c>
      <c r="B105" s="4" t="s">
        <v>22</v>
      </c>
      <c r="C105" s="2" t="s">
        <v>74</v>
      </c>
      <c r="D105" s="2" t="s">
        <v>162</v>
      </c>
      <c r="E105" s="6">
        <v>35</v>
      </c>
    </row>
    <row r="106" spans="1:5" x14ac:dyDescent="0.3">
      <c r="A106" s="2" t="s">
        <v>19</v>
      </c>
      <c r="B106" s="4" t="s">
        <v>22</v>
      </c>
      <c r="C106" s="2" t="s">
        <v>74</v>
      </c>
      <c r="D106" s="2" t="s">
        <v>163</v>
      </c>
      <c r="E106" s="6">
        <v>37</v>
      </c>
    </row>
    <row r="107" spans="1:5" x14ac:dyDescent="0.3">
      <c r="A107" s="2" t="s">
        <v>19</v>
      </c>
      <c r="B107" s="4" t="s">
        <v>22</v>
      </c>
      <c r="C107" s="2" t="s">
        <v>74</v>
      </c>
      <c r="D107" s="2" t="s">
        <v>164</v>
      </c>
      <c r="E107" s="6">
        <v>49</v>
      </c>
    </row>
    <row r="108" spans="1:5" x14ac:dyDescent="0.3">
      <c r="A108" s="2" t="s">
        <v>19</v>
      </c>
      <c r="B108" s="4" t="s">
        <v>22</v>
      </c>
      <c r="C108" s="2" t="s">
        <v>74</v>
      </c>
      <c r="D108" s="2" t="s">
        <v>165</v>
      </c>
      <c r="E108" s="6">
        <v>37</v>
      </c>
    </row>
    <row r="109" spans="1:5" x14ac:dyDescent="0.3">
      <c r="A109" s="2" t="s">
        <v>19</v>
      </c>
      <c r="B109" s="4" t="s">
        <v>185</v>
      </c>
      <c r="C109" s="2" t="s">
        <v>74</v>
      </c>
      <c r="D109" s="2" t="s">
        <v>161</v>
      </c>
      <c r="E109" s="6">
        <v>32</v>
      </c>
    </row>
    <row r="110" spans="1:5" x14ac:dyDescent="0.3">
      <c r="A110" s="2" t="s">
        <v>19</v>
      </c>
      <c r="B110" s="4" t="s">
        <v>185</v>
      </c>
      <c r="C110" s="2" t="s">
        <v>74</v>
      </c>
      <c r="D110" s="2" t="s">
        <v>162</v>
      </c>
      <c r="E110" s="6">
        <v>41</v>
      </c>
    </row>
    <row r="111" spans="1:5" x14ac:dyDescent="0.3">
      <c r="A111" s="2" t="s">
        <v>19</v>
      </c>
      <c r="B111" s="4" t="s">
        <v>185</v>
      </c>
      <c r="C111" s="2" t="s">
        <v>74</v>
      </c>
      <c r="D111" s="2" t="s">
        <v>163</v>
      </c>
      <c r="E111" s="6">
        <v>28</v>
      </c>
    </row>
    <row r="112" spans="1:5" x14ac:dyDescent="0.3">
      <c r="A112" s="2" t="s">
        <v>19</v>
      </c>
      <c r="B112" s="4" t="s">
        <v>185</v>
      </c>
      <c r="C112" s="2" t="s">
        <v>74</v>
      </c>
      <c r="D112" s="2" t="s">
        <v>164</v>
      </c>
      <c r="E112" s="6">
        <v>41</v>
      </c>
    </row>
    <row r="113" spans="1:5" x14ac:dyDescent="0.3">
      <c r="A113" s="2" t="s">
        <v>19</v>
      </c>
      <c r="B113" s="4" t="s">
        <v>185</v>
      </c>
      <c r="C113" s="2" t="s">
        <v>74</v>
      </c>
      <c r="D113" s="2" t="s">
        <v>165</v>
      </c>
      <c r="E113" s="6">
        <v>25</v>
      </c>
    </row>
    <row r="114" spans="1:5" x14ac:dyDescent="0.3">
      <c r="A114" s="2" t="s">
        <v>19</v>
      </c>
      <c r="B114" s="4" t="s">
        <v>186</v>
      </c>
      <c r="C114" s="2" t="s">
        <v>74</v>
      </c>
      <c r="D114" s="2" t="s">
        <v>161</v>
      </c>
      <c r="E114" s="6">
        <v>34</v>
      </c>
    </row>
    <row r="115" spans="1:5" x14ac:dyDescent="0.3">
      <c r="A115" s="2" t="s">
        <v>19</v>
      </c>
      <c r="B115" s="4" t="s">
        <v>186</v>
      </c>
      <c r="C115" s="2" t="s">
        <v>74</v>
      </c>
      <c r="D115" s="2" t="s">
        <v>162</v>
      </c>
      <c r="E115" s="6">
        <v>40</v>
      </c>
    </row>
    <row r="116" spans="1:5" x14ac:dyDescent="0.3">
      <c r="A116" s="2" t="s">
        <v>19</v>
      </c>
      <c r="B116" s="4" t="s">
        <v>186</v>
      </c>
      <c r="C116" s="2" t="s">
        <v>74</v>
      </c>
      <c r="D116" s="2" t="s">
        <v>163</v>
      </c>
      <c r="E116" s="6">
        <v>22</v>
      </c>
    </row>
    <row r="117" spans="1:5" x14ac:dyDescent="0.3">
      <c r="A117" s="2" t="s">
        <v>19</v>
      </c>
      <c r="B117" s="4" t="s">
        <v>186</v>
      </c>
      <c r="C117" s="2" t="s">
        <v>74</v>
      </c>
      <c r="D117" s="2" t="s">
        <v>164</v>
      </c>
      <c r="E117" s="6">
        <v>37</v>
      </c>
    </row>
    <row r="118" spans="1:5" x14ac:dyDescent="0.3">
      <c r="A118" s="2" t="s">
        <v>19</v>
      </c>
      <c r="B118" s="4" t="s">
        <v>186</v>
      </c>
      <c r="C118" s="2" t="s">
        <v>74</v>
      </c>
      <c r="D118" s="2" t="s">
        <v>165</v>
      </c>
      <c r="E118" s="6">
        <v>26</v>
      </c>
    </row>
    <row r="119" spans="1:5" x14ac:dyDescent="0.3">
      <c r="A119" s="2" t="s">
        <v>19</v>
      </c>
      <c r="B119" s="4" t="s">
        <v>21</v>
      </c>
      <c r="C119" s="2" t="s">
        <v>74</v>
      </c>
      <c r="D119" s="2" t="s">
        <v>161</v>
      </c>
      <c r="E119" s="6">
        <v>28</v>
      </c>
    </row>
    <row r="120" spans="1:5" x14ac:dyDescent="0.3">
      <c r="A120" s="2" t="s">
        <v>19</v>
      </c>
      <c r="B120" s="4" t="s">
        <v>21</v>
      </c>
      <c r="C120" s="2" t="s">
        <v>74</v>
      </c>
      <c r="D120" s="2" t="s">
        <v>162</v>
      </c>
      <c r="E120" s="6">
        <v>32</v>
      </c>
    </row>
    <row r="121" spans="1:5" x14ac:dyDescent="0.3">
      <c r="A121" s="2" t="s">
        <v>19</v>
      </c>
      <c r="B121" s="4" t="s">
        <v>21</v>
      </c>
      <c r="C121" s="2" t="s">
        <v>74</v>
      </c>
      <c r="D121" s="2" t="s">
        <v>163</v>
      </c>
      <c r="E121" s="6">
        <v>25</v>
      </c>
    </row>
    <row r="122" spans="1:5" x14ac:dyDescent="0.3">
      <c r="A122" s="2" t="s">
        <v>19</v>
      </c>
      <c r="B122" s="4" t="s">
        <v>21</v>
      </c>
      <c r="C122" s="2" t="s">
        <v>74</v>
      </c>
      <c r="D122" s="2" t="s">
        <v>164</v>
      </c>
      <c r="E122" s="6">
        <v>41</v>
      </c>
    </row>
    <row r="123" spans="1:5" x14ac:dyDescent="0.3">
      <c r="A123" s="2" t="s">
        <v>19</v>
      </c>
      <c r="B123" s="4" t="s">
        <v>21</v>
      </c>
      <c r="C123" s="2" t="s">
        <v>74</v>
      </c>
      <c r="D123" s="2" t="s">
        <v>165</v>
      </c>
      <c r="E123" s="6">
        <v>23</v>
      </c>
    </row>
    <row r="124" spans="1:5" x14ac:dyDescent="0.3">
      <c r="A124" s="2" t="s">
        <v>19</v>
      </c>
      <c r="B124" s="4" t="s">
        <v>184</v>
      </c>
      <c r="C124" s="2" t="s">
        <v>81</v>
      </c>
      <c r="D124" s="2" t="s">
        <v>166</v>
      </c>
      <c r="E124" s="6">
        <v>34</v>
      </c>
    </row>
    <row r="125" spans="1:5" x14ac:dyDescent="0.3">
      <c r="A125" s="2" t="s">
        <v>19</v>
      </c>
      <c r="B125" s="4" t="s">
        <v>184</v>
      </c>
      <c r="C125" s="2" t="s">
        <v>81</v>
      </c>
      <c r="D125" s="2" t="s">
        <v>167</v>
      </c>
      <c r="E125" s="6">
        <v>34</v>
      </c>
    </row>
    <row r="126" spans="1:5" x14ac:dyDescent="0.3">
      <c r="A126" s="2" t="s">
        <v>19</v>
      </c>
      <c r="B126" s="4" t="s">
        <v>184</v>
      </c>
      <c r="C126" s="2" t="s">
        <v>81</v>
      </c>
      <c r="D126" s="2" t="s">
        <v>168</v>
      </c>
      <c r="E126" s="6">
        <v>34</v>
      </c>
    </row>
    <row r="127" spans="1:5" x14ac:dyDescent="0.3">
      <c r="A127" s="2" t="s">
        <v>19</v>
      </c>
      <c r="B127" s="4" t="s">
        <v>184</v>
      </c>
      <c r="C127" s="2" t="s">
        <v>81</v>
      </c>
      <c r="D127" s="2" t="s">
        <v>169</v>
      </c>
      <c r="E127" s="6">
        <v>39</v>
      </c>
    </row>
    <row r="128" spans="1:5" x14ac:dyDescent="0.3">
      <c r="A128" s="2" t="s">
        <v>19</v>
      </c>
      <c r="B128" s="4" t="s">
        <v>184</v>
      </c>
      <c r="C128" s="2" t="s">
        <v>81</v>
      </c>
      <c r="D128" s="2" t="s">
        <v>170</v>
      </c>
      <c r="E128" s="6">
        <v>32</v>
      </c>
    </row>
    <row r="129" spans="1:5" x14ac:dyDescent="0.3">
      <c r="A129" s="2" t="s">
        <v>19</v>
      </c>
      <c r="B129" s="4" t="s">
        <v>184</v>
      </c>
      <c r="C129" s="2" t="s">
        <v>81</v>
      </c>
      <c r="D129" s="2" t="s">
        <v>171</v>
      </c>
      <c r="E129" s="6">
        <v>23</v>
      </c>
    </row>
    <row r="130" spans="1:5" x14ac:dyDescent="0.3">
      <c r="A130" s="2" t="s">
        <v>19</v>
      </c>
      <c r="B130" s="4" t="s">
        <v>23</v>
      </c>
      <c r="C130" s="2" t="s">
        <v>81</v>
      </c>
      <c r="D130" s="2" t="s">
        <v>166</v>
      </c>
      <c r="E130" s="6">
        <v>30</v>
      </c>
    </row>
    <row r="131" spans="1:5" x14ac:dyDescent="0.3">
      <c r="A131" s="2" t="s">
        <v>19</v>
      </c>
      <c r="B131" s="4" t="s">
        <v>23</v>
      </c>
      <c r="C131" s="2" t="s">
        <v>81</v>
      </c>
      <c r="D131" s="2" t="s">
        <v>167</v>
      </c>
      <c r="E131" s="6">
        <v>32</v>
      </c>
    </row>
    <row r="132" spans="1:5" x14ac:dyDescent="0.3">
      <c r="A132" s="2" t="s">
        <v>19</v>
      </c>
      <c r="B132" s="4" t="s">
        <v>23</v>
      </c>
      <c r="C132" s="2" t="s">
        <v>81</v>
      </c>
      <c r="D132" s="2" t="s">
        <v>168</v>
      </c>
      <c r="E132" s="6">
        <v>35</v>
      </c>
    </row>
    <row r="133" spans="1:5" x14ac:dyDescent="0.3">
      <c r="A133" s="2" t="s">
        <v>19</v>
      </c>
      <c r="B133" s="4" t="s">
        <v>23</v>
      </c>
      <c r="C133" s="2" t="s">
        <v>81</v>
      </c>
      <c r="D133" s="2" t="s">
        <v>169</v>
      </c>
      <c r="E133" s="6">
        <v>35</v>
      </c>
    </row>
    <row r="134" spans="1:5" x14ac:dyDescent="0.3">
      <c r="A134" s="2" t="s">
        <v>19</v>
      </c>
      <c r="B134" s="4" t="s">
        <v>23</v>
      </c>
      <c r="C134" s="2" t="s">
        <v>81</v>
      </c>
      <c r="D134" s="2" t="s">
        <v>170</v>
      </c>
      <c r="E134" s="6">
        <v>35</v>
      </c>
    </row>
    <row r="135" spans="1:5" x14ac:dyDescent="0.3">
      <c r="A135" s="2" t="s">
        <v>19</v>
      </c>
      <c r="B135" s="4" t="s">
        <v>23</v>
      </c>
      <c r="C135" s="2" t="s">
        <v>81</v>
      </c>
      <c r="D135" s="2" t="s">
        <v>171</v>
      </c>
      <c r="E135" s="6">
        <v>20</v>
      </c>
    </row>
    <row r="136" spans="1:5" x14ac:dyDescent="0.3">
      <c r="A136" s="2" t="s">
        <v>19</v>
      </c>
      <c r="B136" s="4" t="s">
        <v>22</v>
      </c>
      <c r="C136" s="2" t="s">
        <v>81</v>
      </c>
      <c r="D136" s="2" t="s">
        <v>166</v>
      </c>
      <c r="E136" s="6">
        <v>35</v>
      </c>
    </row>
    <row r="137" spans="1:5" x14ac:dyDescent="0.3">
      <c r="A137" s="2" t="s">
        <v>19</v>
      </c>
      <c r="B137" s="4" t="s">
        <v>22</v>
      </c>
      <c r="C137" s="2" t="s">
        <v>81</v>
      </c>
      <c r="D137" s="2" t="s">
        <v>167</v>
      </c>
      <c r="E137" s="6">
        <v>35</v>
      </c>
    </row>
    <row r="138" spans="1:5" x14ac:dyDescent="0.3">
      <c r="A138" s="2" t="s">
        <v>19</v>
      </c>
      <c r="B138" s="4" t="s">
        <v>22</v>
      </c>
      <c r="C138" s="2" t="s">
        <v>81</v>
      </c>
      <c r="D138" s="2" t="s">
        <v>168</v>
      </c>
      <c r="E138" s="6">
        <v>35</v>
      </c>
    </row>
    <row r="139" spans="1:5" x14ac:dyDescent="0.3">
      <c r="A139" s="2" t="s">
        <v>19</v>
      </c>
      <c r="B139" s="4" t="s">
        <v>22</v>
      </c>
      <c r="C139" s="2" t="s">
        <v>81</v>
      </c>
      <c r="D139" s="2" t="s">
        <v>169</v>
      </c>
      <c r="E139" s="6">
        <v>32</v>
      </c>
    </row>
    <row r="140" spans="1:5" x14ac:dyDescent="0.3">
      <c r="A140" s="2" t="s">
        <v>19</v>
      </c>
      <c r="B140" s="4" t="s">
        <v>22</v>
      </c>
      <c r="C140" s="2" t="s">
        <v>81</v>
      </c>
      <c r="D140" s="2" t="s">
        <v>170</v>
      </c>
      <c r="E140" s="6">
        <v>31</v>
      </c>
    </row>
    <row r="141" spans="1:5" x14ac:dyDescent="0.3">
      <c r="A141" s="2" t="s">
        <v>19</v>
      </c>
      <c r="B141" s="4" t="s">
        <v>22</v>
      </c>
      <c r="C141" s="2" t="s">
        <v>81</v>
      </c>
      <c r="D141" s="2" t="s">
        <v>171</v>
      </c>
      <c r="E141" s="6">
        <v>31</v>
      </c>
    </row>
    <row r="142" spans="1:5" x14ac:dyDescent="0.3">
      <c r="A142" s="2" t="s">
        <v>19</v>
      </c>
      <c r="B142" s="4" t="s">
        <v>185</v>
      </c>
      <c r="C142" s="2" t="s">
        <v>81</v>
      </c>
      <c r="D142" s="2" t="s">
        <v>166</v>
      </c>
      <c r="E142" s="6">
        <v>31</v>
      </c>
    </row>
    <row r="143" spans="1:5" x14ac:dyDescent="0.3">
      <c r="A143" s="2" t="s">
        <v>19</v>
      </c>
      <c r="B143" s="4" t="s">
        <v>185</v>
      </c>
      <c r="C143" s="2" t="s">
        <v>81</v>
      </c>
      <c r="D143" s="2" t="s">
        <v>167</v>
      </c>
      <c r="E143" s="6">
        <v>34</v>
      </c>
    </row>
    <row r="144" spans="1:5" x14ac:dyDescent="0.3">
      <c r="A144" s="2" t="s">
        <v>19</v>
      </c>
      <c r="B144" s="4" t="s">
        <v>185</v>
      </c>
      <c r="C144" s="2" t="s">
        <v>81</v>
      </c>
      <c r="D144" s="2" t="s">
        <v>168</v>
      </c>
      <c r="E144" s="6">
        <v>37</v>
      </c>
    </row>
    <row r="145" spans="1:5" x14ac:dyDescent="0.3">
      <c r="A145" s="2" t="s">
        <v>19</v>
      </c>
      <c r="B145" s="4" t="s">
        <v>185</v>
      </c>
      <c r="C145" s="2" t="s">
        <v>81</v>
      </c>
      <c r="D145" s="2" t="s">
        <v>169</v>
      </c>
      <c r="E145" s="6">
        <v>42</v>
      </c>
    </row>
    <row r="146" spans="1:5" x14ac:dyDescent="0.3">
      <c r="A146" s="2" t="s">
        <v>19</v>
      </c>
      <c r="B146" s="4" t="s">
        <v>185</v>
      </c>
      <c r="C146" s="2" t="s">
        <v>81</v>
      </c>
      <c r="D146" s="2" t="s">
        <v>170</v>
      </c>
      <c r="E146" s="6">
        <v>37</v>
      </c>
    </row>
    <row r="147" spans="1:5" x14ac:dyDescent="0.3">
      <c r="A147" s="2" t="s">
        <v>19</v>
      </c>
      <c r="B147" s="4" t="s">
        <v>185</v>
      </c>
      <c r="C147" s="2" t="s">
        <v>81</v>
      </c>
      <c r="D147" s="2" t="s">
        <v>171</v>
      </c>
      <c r="E147" s="6">
        <v>21</v>
      </c>
    </row>
    <row r="148" spans="1:5" x14ac:dyDescent="0.3">
      <c r="A148" s="2" t="s">
        <v>19</v>
      </c>
      <c r="B148" s="4" t="s">
        <v>186</v>
      </c>
      <c r="C148" s="2" t="s">
        <v>81</v>
      </c>
      <c r="D148" s="2" t="s">
        <v>166</v>
      </c>
      <c r="E148" s="6">
        <v>37</v>
      </c>
    </row>
    <row r="149" spans="1:5" x14ac:dyDescent="0.3">
      <c r="A149" s="2" t="s">
        <v>19</v>
      </c>
      <c r="B149" s="4" t="s">
        <v>186</v>
      </c>
      <c r="C149" s="2" t="s">
        <v>81</v>
      </c>
      <c r="D149" s="2" t="s">
        <v>167</v>
      </c>
      <c r="E149" s="6">
        <v>37</v>
      </c>
    </row>
    <row r="150" spans="1:5" x14ac:dyDescent="0.3">
      <c r="A150" s="2" t="s">
        <v>19</v>
      </c>
      <c r="B150" s="4" t="s">
        <v>186</v>
      </c>
      <c r="C150" s="2" t="s">
        <v>81</v>
      </c>
      <c r="D150" s="2" t="s">
        <v>168</v>
      </c>
      <c r="E150" s="6">
        <v>37</v>
      </c>
    </row>
    <row r="151" spans="1:5" x14ac:dyDescent="0.3">
      <c r="A151" s="2" t="s">
        <v>19</v>
      </c>
      <c r="B151" s="4" t="s">
        <v>186</v>
      </c>
      <c r="C151" s="2" t="s">
        <v>81</v>
      </c>
      <c r="D151" s="2" t="s">
        <v>169</v>
      </c>
      <c r="E151" s="6">
        <v>42</v>
      </c>
    </row>
    <row r="152" spans="1:5" x14ac:dyDescent="0.3">
      <c r="A152" s="2" t="s">
        <v>19</v>
      </c>
      <c r="B152" s="4" t="s">
        <v>186</v>
      </c>
      <c r="C152" s="2" t="s">
        <v>81</v>
      </c>
      <c r="D152" s="2" t="s">
        <v>170</v>
      </c>
      <c r="E152" s="6">
        <v>37</v>
      </c>
    </row>
    <row r="153" spans="1:5" x14ac:dyDescent="0.3">
      <c r="A153" s="2" t="s">
        <v>19</v>
      </c>
      <c r="B153" s="4" t="s">
        <v>186</v>
      </c>
      <c r="C153" s="2" t="s">
        <v>81</v>
      </c>
      <c r="D153" s="2" t="s">
        <v>171</v>
      </c>
      <c r="E153" s="6">
        <v>18</v>
      </c>
    </row>
    <row r="154" spans="1:5" x14ac:dyDescent="0.3">
      <c r="A154" s="2" t="s">
        <v>19</v>
      </c>
      <c r="B154" s="4" t="s">
        <v>21</v>
      </c>
      <c r="C154" s="2" t="s">
        <v>81</v>
      </c>
      <c r="D154" s="2" t="s">
        <v>166</v>
      </c>
      <c r="E154" s="6">
        <v>24</v>
      </c>
    </row>
    <row r="155" spans="1:5" x14ac:dyDescent="0.3">
      <c r="A155" s="2" t="s">
        <v>19</v>
      </c>
      <c r="B155" s="4" t="s">
        <v>21</v>
      </c>
      <c r="C155" s="2" t="s">
        <v>81</v>
      </c>
      <c r="D155" s="2" t="s">
        <v>167</v>
      </c>
      <c r="E155" s="6">
        <v>35</v>
      </c>
    </row>
    <row r="156" spans="1:5" x14ac:dyDescent="0.3">
      <c r="A156" s="2" t="s">
        <v>19</v>
      </c>
      <c r="B156" s="4" t="s">
        <v>21</v>
      </c>
      <c r="C156" s="2" t="s">
        <v>81</v>
      </c>
      <c r="D156" s="2" t="s">
        <v>168</v>
      </c>
      <c r="E156" s="6">
        <v>36</v>
      </c>
    </row>
    <row r="157" spans="1:5" x14ac:dyDescent="0.3">
      <c r="A157" s="2" t="s">
        <v>19</v>
      </c>
      <c r="B157" s="4" t="s">
        <v>21</v>
      </c>
      <c r="C157" s="2" t="s">
        <v>81</v>
      </c>
      <c r="D157" s="2" t="s">
        <v>169</v>
      </c>
      <c r="E157" s="6">
        <v>41</v>
      </c>
    </row>
    <row r="158" spans="1:5" x14ac:dyDescent="0.3">
      <c r="A158" s="2" t="s">
        <v>19</v>
      </c>
      <c r="B158" s="4" t="s">
        <v>21</v>
      </c>
      <c r="C158" s="2" t="s">
        <v>81</v>
      </c>
      <c r="D158" s="2" t="s">
        <v>170</v>
      </c>
      <c r="E158" s="6">
        <v>36</v>
      </c>
    </row>
    <row r="159" spans="1:5" x14ac:dyDescent="0.3">
      <c r="A159" s="2" t="s">
        <v>19</v>
      </c>
      <c r="B159" s="4" t="s">
        <v>21</v>
      </c>
      <c r="C159" s="2" t="s">
        <v>81</v>
      </c>
      <c r="D159" s="2" t="s">
        <v>171</v>
      </c>
      <c r="E159" s="6">
        <v>49</v>
      </c>
    </row>
    <row r="160" spans="1:5" x14ac:dyDescent="0.3">
      <c r="A160" s="2" t="s">
        <v>19</v>
      </c>
      <c r="B160" s="4" t="s">
        <v>184</v>
      </c>
      <c r="C160" s="2" t="s">
        <v>88</v>
      </c>
      <c r="D160" s="2" t="s">
        <v>173</v>
      </c>
      <c r="E160" s="6">
        <v>33</v>
      </c>
    </row>
    <row r="161" spans="1:5" x14ac:dyDescent="0.3">
      <c r="A161" s="2" t="s">
        <v>19</v>
      </c>
      <c r="B161" s="4" t="s">
        <v>184</v>
      </c>
      <c r="C161" s="2" t="s">
        <v>88</v>
      </c>
      <c r="D161" s="2" t="s">
        <v>174</v>
      </c>
      <c r="E161" s="6">
        <v>33</v>
      </c>
    </row>
    <row r="162" spans="1:5" x14ac:dyDescent="0.3">
      <c r="A162" s="2" t="s">
        <v>19</v>
      </c>
      <c r="B162" s="4" t="s">
        <v>184</v>
      </c>
      <c r="C162" s="2" t="s">
        <v>88</v>
      </c>
      <c r="D162" s="2" t="s">
        <v>175</v>
      </c>
      <c r="E162" s="6">
        <v>33</v>
      </c>
    </row>
    <row r="163" spans="1:5" x14ac:dyDescent="0.3">
      <c r="A163" s="2" t="s">
        <v>19</v>
      </c>
      <c r="B163" s="4" t="s">
        <v>184</v>
      </c>
      <c r="C163" s="2" t="s">
        <v>88</v>
      </c>
      <c r="D163" s="2" t="s">
        <v>176</v>
      </c>
      <c r="E163" s="6">
        <v>30</v>
      </c>
    </row>
    <row r="164" spans="1:5" x14ac:dyDescent="0.3">
      <c r="A164" s="2" t="s">
        <v>19</v>
      </c>
      <c r="B164" s="4" t="s">
        <v>184</v>
      </c>
      <c r="C164" s="2" t="s">
        <v>88</v>
      </c>
      <c r="D164" s="2" t="s">
        <v>177</v>
      </c>
      <c r="E164" s="6">
        <v>12</v>
      </c>
    </row>
    <row r="165" spans="1:5" x14ac:dyDescent="0.3">
      <c r="A165" s="2" t="s">
        <v>19</v>
      </c>
      <c r="B165" s="4" t="s">
        <v>23</v>
      </c>
      <c r="C165" s="2" t="s">
        <v>88</v>
      </c>
      <c r="D165" s="2" t="s">
        <v>173</v>
      </c>
      <c r="E165" s="6">
        <v>30</v>
      </c>
    </row>
    <row r="166" spans="1:5" x14ac:dyDescent="0.3">
      <c r="A166" s="2" t="s">
        <v>19</v>
      </c>
      <c r="B166" s="4" t="s">
        <v>23</v>
      </c>
      <c r="C166" s="2" t="s">
        <v>88</v>
      </c>
      <c r="D166" s="2" t="s">
        <v>174</v>
      </c>
      <c r="E166" s="6">
        <v>30</v>
      </c>
    </row>
    <row r="167" spans="1:5" x14ac:dyDescent="0.3">
      <c r="A167" s="2" t="s">
        <v>19</v>
      </c>
      <c r="B167" s="4" t="s">
        <v>23</v>
      </c>
      <c r="C167" s="2" t="s">
        <v>88</v>
      </c>
      <c r="D167" s="2" t="s">
        <v>175</v>
      </c>
      <c r="E167" s="6">
        <v>30</v>
      </c>
    </row>
    <row r="168" spans="1:5" x14ac:dyDescent="0.3">
      <c r="A168" s="2" t="s">
        <v>19</v>
      </c>
      <c r="B168" s="4" t="s">
        <v>23</v>
      </c>
      <c r="C168" s="2" t="s">
        <v>88</v>
      </c>
      <c r="D168" s="2" t="s">
        <v>176</v>
      </c>
      <c r="E168" s="6">
        <v>30</v>
      </c>
    </row>
    <row r="169" spans="1:5" x14ac:dyDescent="0.3">
      <c r="A169" s="2" t="s">
        <v>19</v>
      </c>
      <c r="B169" s="4" t="s">
        <v>23</v>
      </c>
      <c r="C169" s="2" t="s">
        <v>88</v>
      </c>
      <c r="D169" s="2" t="s">
        <v>177</v>
      </c>
      <c r="E169" s="6">
        <v>15</v>
      </c>
    </row>
    <row r="170" spans="1:5" x14ac:dyDescent="0.3">
      <c r="A170" s="2" t="s">
        <v>19</v>
      </c>
      <c r="B170" s="4" t="s">
        <v>22</v>
      </c>
      <c r="C170" s="2" t="s">
        <v>88</v>
      </c>
      <c r="D170" s="2" t="s">
        <v>173</v>
      </c>
      <c r="E170" s="6">
        <v>40</v>
      </c>
    </row>
    <row r="171" spans="1:5" x14ac:dyDescent="0.3">
      <c r="A171" s="2" t="s">
        <v>19</v>
      </c>
      <c r="B171" s="4" t="s">
        <v>22</v>
      </c>
      <c r="C171" s="2" t="s">
        <v>88</v>
      </c>
      <c r="D171" s="2" t="s">
        <v>174</v>
      </c>
      <c r="E171" s="6">
        <v>40</v>
      </c>
    </row>
    <row r="172" spans="1:5" x14ac:dyDescent="0.3">
      <c r="A172" s="2" t="s">
        <v>19</v>
      </c>
      <c r="B172" s="4" t="s">
        <v>22</v>
      </c>
      <c r="C172" s="2" t="s">
        <v>88</v>
      </c>
      <c r="D172" s="2" t="s">
        <v>175</v>
      </c>
      <c r="E172" s="6">
        <v>40</v>
      </c>
    </row>
    <row r="173" spans="1:5" x14ac:dyDescent="0.3">
      <c r="A173" s="2" t="s">
        <v>19</v>
      </c>
      <c r="B173" s="4" t="s">
        <v>22</v>
      </c>
      <c r="C173" s="2" t="s">
        <v>88</v>
      </c>
      <c r="D173" s="2" t="s">
        <v>176</v>
      </c>
      <c r="E173" s="6">
        <v>40</v>
      </c>
    </row>
    <row r="174" spans="1:5" x14ac:dyDescent="0.3">
      <c r="A174" s="2" t="s">
        <v>19</v>
      </c>
      <c r="B174" s="4" t="s">
        <v>22</v>
      </c>
      <c r="C174" s="2" t="s">
        <v>88</v>
      </c>
      <c r="D174" s="2" t="s">
        <v>177</v>
      </c>
      <c r="E174" s="6">
        <v>35</v>
      </c>
    </row>
    <row r="175" spans="1:5" x14ac:dyDescent="0.3">
      <c r="A175" s="2" t="s">
        <v>19</v>
      </c>
      <c r="B175" s="4" t="s">
        <v>185</v>
      </c>
      <c r="C175" s="2" t="s">
        <v>88</v>
      </c>
      <c r="D175" s="2" t="s">
        <v>173</v>
      </c>
      <c r="E175" s="6">
        <v>36</v>
      </c>
    </row>
    <row r="176" spans="1:5" x14ac:dyDescent="0.3">
      <c r="A176" s="2" t="s">
        <v>19</v>
      </c>
      <c r="B176" s="4" t="s">
        <v>185</v>
      </c>
      <c r="C176" s="2" t="s">
        <v>88</v>
      </c>
      <c r="D176" s="2" t="s">
        <v>174</v>
      </c>
      <c r="E176" s="6">
        <v>30</v>
      </c>
    </row>
    <row r="177" spans="1:5" x14ac:dyDescent="0.3">
      <c r="A177" s="2" t="s">
        <v>19</v>
      </c>
      <c r="B177" s="4" t="s">
        <v>185</v>
      </c>
      <c r="C177" s="2" t="s">
        <v>88</v>
      </c>
      <c r="D177" s="2" t="s">
        <v>175</v>
      </c>
      <c r="E177" s="6">
        <v>30</v>
      </c>
    </row>
    <row r="178" spans="1:5" x14ac:dyDescent="0.3">
      <c r="A178" s="2" t="s">
        <v>19</v>
      </c>
      <c r="B178" s="4" t="s">
        <v>185</v>
      </c>
      <c r="C178" s="2" t="s">
        <v>88</v>
      </c>
      <c r="D178" s="2" t="s">
        <v>176</v>
      </c>
      <c r="E178" s="6">
        <v>30</v>
      </c>
    </row>
    <row r="179" spans="1:5" x14ac:dyDescent="0.3">
      <c r="A179" s="2" t="s">
        <v>19</v>
      </c>
      <c r="B179" s="4" t="s">
        <v>185</v>
      </c>
      <c r="C179" s="2" t="s">
        <v>88</v>
      </c>
      <c r="D179" s="2" t="s">
        <v>177</v>
      </c>
      <c r="E179" s="6">
        <v>13</v>
      </c>
    </row>
    <row r="180" spans="1:5" x14ac:dyDescent="0.3">
      <c r="A180" s="2" t="s">
        <v>19</v>
      </c>
      <c r="B180" s="4" t="s">
        <v>186</v>
      </c>
      <c r="C180" s="2" t="s">
        <v>88</v>
      </c>
      <c r="D180" s="2" t="s">
        <v>173</v>
      </c>
      <c r="E180" s="6">
        <v>26</v>
      </c>
    </row>
    <row r="181" spans="1:5" x14ac:dyDescent="0.3">
      <c r="A181" s="2" t="s">
        <v>19</v>
      </c>
      <c r="B181" s="4" t="s">
        <v>186</v>
      </c>
      <c r="C181" s="2" t="s">
        <v>88</v>
      </c>
      <c r="D181" s="2" t="s">
        <v>174</v>
      </c>
      <c r="E181" s="6">
        <v>26</v>
      </c>
    </row>
    <row r="182" spans="1:5" x14ac:dyDescent="0.3">
      <c r="A182" s="2" t="s">
        <v>19</v>
      </c>
      <c r="B182" s="4" t="s">
        <v>186</v>
      </c>
      <c r="C182" s="2" t="s">
        <v>88</v>
      </c>
      <c r="D182" s="2" t="s">
        <v>175</v>
      </c>
      <c r="E182" s="6">
        <v>29</v>
      </c>
    </row>
    <row r="183" spans="1:5" x14ac:dyDescent="0.3">
      <c r="A183" s="2" t="s">
        <v>19</v>
      </c>
      <c r="B183" s="4" t="s">
        <v>186</v>
      </c>
      <c r="C183" s="2" t="s">
        <v>88</v>
      </c>
      <c r="D183" s="2" t="s">
        <v>176</v>
      </c>
      <c r="E183" s="6">
        <v>33</v>
      </c>
    </row>
    <row r="184" spans="1:5" x14ac:dyDescent="0.3">
      <c r="A184" s="2" t="s">
        <v>19</v>
      </c>
      <c r="B184" s="4" t="s">
        <v>186</v>
      </c>
      <c r="C184" s="2" t="s">
        <v>88</v>
      </c>
      <c r="D184" s="2" t="s">
        <v>177</v>
      </c>
      <c r="E184" s="6">
        <v>12</v>
      </c>
    </row>
    <row r="185" spans="1:5" x14ac:dyDescent="0.3">
      <c r="A185" s="2" t="s">
        <v>19</v>
      </c>
      <c r="B185" s="4" t="s">
        <v>21</v>
      </c>
      <c r="C185" s="2" t="s">
        <v>88</v>
      </c>
      <c r="D185" s="2" t="s">
        <v>173</v>
      </c>
      <c r="E185" s="6">
        <v>37</v>
      </c>
    </row>
    <row r="186" spans="1:5" x14ac:dyDescent="0.3">
      <c r="A186" s="2" t="s">
        <v>19</v>
      </c>
      <c r="B186" s="4" t="s">
        <v>21</v>
      </c>
      <c r="C186" s="2" t="s">
        <v>88</v>
      </c>
      <c r="D186" s="2" t="s">
        <v>174</v>
      </c>
      <c r="E186" s="6">
        <v>35</v>
      </c>
    </row>
    <row r="187" spans="1:5" x14ac:dyDescent="0.3">
      <c r="A187" s="2" t="s">
        <v>19</v>
      </c>
      <c r="B187" s="4" t="s">
        <v>21</v>
      </c>
      <c r="C187" s="2" t="s">
        <v>88</v>
      </c>
      <c r="D187" s="2" t="s">
        <v>175</v>
      </c>
      <c r="E187" s="6">
        <v>42</v>
      </c>
    </row>
    <row r="188" spans="1:5" x14ac:dyDescent="0.3">
      <c r="A188" s="2" t="s">
        <v>19</v>
      </c>
      <c r="B188" s="4" t="s">
        <v>21</v>
      </c>
      <c r="C188" s="2" t="s">
        <v>88</v>
      </c>
      <c r="D188" s="2" t="s">
        <v>176</v>
      </c>
      <c r="E188" s="6">
        <v>36</v>
      </c>
    </row>
    <row r="189" spans="1:5" x14ac:dyDescent="0.3">
      <c r="A189" s="2" t="s">
        <v>19</v>
      </c>
      <c r="B189" s="4" t="s">
        <v>21</v>
      </c>
      <c r="C189" s="2" t="s">
        <v>88</v>
      </c>
      <c r="D189" s="2" t="s">
        <v>177</v>
      </c>
      <c r="E189" s="6">
        <v>16</v>
      </c>
    </row>
    <row r="190" spans="1:5" x14ac:dyDescent="0.3">
      <c r="A190" s="2" t="s">
        <v>19</v>
      </c>
      <c r="B190" s="4" t="s">
        <v>187</v>
      </c>
      <c r="C190" s="2" t="s">
        <v>88</v>
      </c>
      <c r="D190" s="2" t="s">
        <v>173</v>
      </c>
      <c r="E190" s="6">
        <v>18</v>
      </c>
    </row>
    <row r="191" spans="1:5" x14ac:dyDescent="0.3">
      <c r="A191" s="2" t="s">
        <v>19</v>
      </c>
      <c r="B191" s="4" t="s">
        <v>187</v>
      </c>
      <c r="C191" s="2" t="s">
        <v>88</v>
      </c>
      <c r="D191" s="2" t="s">
        <v>174</v>
      </c>
      <c r="E191" s="6">
        <v>23</v>
      </c>
    </row>
    <row r="192" spans="1:5" x14ac:dyDescent="0.3">
      <c r="A192" s="2" t="s">
        <v>19</v>
      </c>
      <c r="B192" s="4" t="s">
        <v>187</v>
      </c>
      <c r="C192" s="2" t="s">
        <v>88</v>
      </c>
      <c r="D192" s="2" t="s">
        <v>175</v>
      </c>
      <c r="E192" s="6">
        <v>23</v>
      </c>
    </row>
    <row r="193" spans="1:5" x14ac:dyDescent="0.3">
      <c r="A193" s="2" t="s">
        <v>19</v>
      </c>
      <c r="B193" s="4" t="s">
        <v>187</v>
      </c>
      <c r="C193" s="2" t="s">
        <v>88</v>
      </c>
      <c r="D193" s="2" t="s">
        <v>176</v>
      </c>
      <c r="E193" s="6">
        <v>23</v>
      </c>
    </row>
    <row r="194" spans="1:5" x14ac:dyDescent="0.3">
      <c r="A194" s="2" t="s">
        <v>19</v>
      </c>
      <c r="B194" s="4" t="s">
        <v>187</v>
      </c>
      <c r="C194" s="2" t="s">
        <v>88</v>
      </c>
      <c r="D194" s="2" t="s">
        <v>177</v>
      </c>
      <c r="E194" s="6">
        <v>9</v>
      </c>
    </row>
    <row r="195" spans="1:5" x14ac:dyDescent="0.3">
      <c r="A195" s="2" t="s">
        <v>19</v>
      </c>
      <c r="B195" s="4" t="s">
        <v>188</v>
      </c>
      <c r="C195" s="2" t="s">
        <v>88</v>
      </c>
      <c r="D195" s="2" t="s">
        <v>173</v>
      </c>
      <c r="E195" s="6">
        <v>31</v>
      </c>
    </row>
    <row r="196" spans="1:5" x14ac:dyDescent="0.3">
      <c r="A196" s="2" t="s">
        <v>19</v>
      </c>
      <c r="B196" s="4" t="s">
        <v>188</v>
      </c>
      <c r="C196" s="2" t="s">
        <v>88</v>
      </c>
      <c r="D196" s="2" t="s">
        <v>174</v>
      </c>
      <c r="E196" s="6">
        <v>31</v>
      </c>
    </row>
    <row r="197" spans="1:5" x14ac:dyDescent="0.3">
      <c r="A197" s="2" t="s">
        <v>19</v>
      </c>
      <c r="B197" s="4" t="s">
        <v>188</v>
      </c>
      <c r="C197" s="2" t="s">
        <v>88</v>
      </c>
      <c r="D197" s="2" t="s">
        <v>175</v>
      </c>
      <c r="E197" s="6">
        <v>25</v>
      </c>
    </row>
    <row r="198" spans="1:5" x14ac:dyDescent="0.3">
      <c r="A198" s="2" t="s">
        <v>19</v>
      </c>
      <c r="B198" s="4" t="s">
        <v>188</v>
      </c>
      <c r="C198" s="2" t="s">
        <v>88</v>
      </c>
      <c r="D198" s="2" t="s">
        <v>176</v>
      </c>
      <c r="E198" s="6">
        <v>28</v>
      </c>
    </row>
    <row r="199" spans="1:5" x14ac:dyDescent="0.3">
      <c r="A199" s="2" t="s">
        <v>19</v>
      </c>
      <c r="B199" s="4" t="s">
        <v>188</v>
      </c>
      <c r="C199" s="2" t="s">
        <v>88</v>
      </c>
      <c r="D199" s="2" t="s">
        <v>177</v>
      </c>
      <c r="E199" s="6">
        <v>12</v>
      </c>
    </row>
    <row r="200" spans="1:5" x14ac:dyDescent="0.3">
      <c r="A200" s="2" t="s">
        <v>19</v>
      </c>
      <c r="B200" s="4" t="s">
        <v>184</v>
      </c>
      <c r="C200" s="2" t="s">
        <v>95</v>
      </c>
      <c r="D200" s="2" t="s">
        <v>178</v>
      </c>
      <c r="E200" s="6">
        <v>30</v>
      </c>
    </row>
    <row r="201" spans="1:5" x14ac:dyDescent="0.3">
      <c r="A201" s="2" t="s">
        <v>19</v>
      </c>
      <c r="B201" s="4" t="s">
        <v>184</v>
      </c>
      <c r="C201" s="2" t="s">
        <v>95</v>
      </c>
      <c r="D201" s="2" t="s">
        <v>179</v>
      </c>
      <c r="E201" s="6">
        <v>26</v>
      </c>
    </row>
    <row r="202" spans="1:5" x14ac:dyDescent="0.3">
      <c r="A202" s="2" t="s">
        <v>19</v>
      </c>
      <c r="B202" s="4" t="s">
        <v>184</v>
      </c>
      <c r="C202" s="2" t="s">
        <v>95</v>
      </c>
      <c r="D202" s="2" t="s">
        <v>180</v>
      </c>
      <c r="E202" s="6">
        <v>26</v>
      </c>
    </row>
    <row r="203" spans="1:5" x14ac:dyDescent="0.3">
      <c r="A203" s="2" t="s">
        <v>19</v>
      </c>
      <c r="B203" s="4" t="s">
        <v>184</v>
      </c>
      <c r="C203" s="2" t="s">
        <v>95</v>
      </c>
      <c r="D203" s="2" t="s">
        <v>181</v>
      </c>
      <c r="E203" s="6">
        <v>26</v>
      </c>
    </row>
    <row r="204" spans="1:5" x14ac:dyDescent="0.3">
      <c r="A204" s="2" t="s">
        <v>19</v>
      </c>
      <c r="B204" s="4" t="s">
        <v>184</v>
      </c>
      <c r="C204" s="2" t="s">
        <v>95</v>
      </c>
      <c r="D204" s="2" t="s">
        <v>182</v>
      </c>
      <c r="E204" s="6">
        <v>26</v>
      </c>
    </row>
    <row r="205" spans="1:5" x14ac:dyDescent="0.3">
      <c r="A205" s="2" t="s">
        <v>19</v>
      </c>
      <c r="B205" s="4" t="s">
        <v>184</v>
      </c>
      <c r="C205" s="2" t="s">
        <v>95</v>
      </c>
      <c r="D205" s="2" t="s">
        <v>183</v>
      </c>
      <c r="E205" s="6">
        <v>12</v>
      </c>
    </row>
    <row r="206" spans="1:5" x14ac:dyDescent="0.3">
      <c r="A206" s="2" t="s">
        <v>19</v>
      </c>
      <c r="B206" s="4" t="s">
        <v>23</v>
      </c>
      <c r="C206" s="2" t="s">
        <v>95</v>
      </c>
      <c r="D206" s="2" t="s">
        <v>178</v>
      </c>
      <c r="E206" s="6">
        <v>25</v>
      </c>
    </row>
    <row r="207" spans="1:5" x14ac:dyDescent="0.3">
      <c r="A207" s="2" t="s">
        <v>19</v>
      </c>
      <c r="B207" s="4" t="s">
        <v>23</v>
      </c>
      <c r="C207" s="2" t="s">
        <v>95</v>
      </c>
      <c r="D207" s="2" t="s">
        <v>179</v>
      </c>
      <c r="E207" s="6">
        <v>22</v>
      </c>
    </row>
    <row r="208" spans="1:5" x14ac:dyDescent="0.3">
      <c r="A208" s="2" t="s">
        <v>19</v>
      </c>
      <c r="B208" s="4" t="s">
        <v>23</v>
      </c>
      <c r="C208" s="2" t="s">
        <v>95</v>
      </c>
      <c r="D208" s="2" t="s">
        <v>180</v>
      </c>
      <c r="E208" s="6">
        <v>22</v>
      </c>
    </row>
    <row r="209" spans="1:5" x14ac:dyDescent="0.3">
      <c r="A209" s="2" t="s">
        <v>19</v>
      </c>
      <c r="B209" s="4" t="s">
        <v>23</v>
      </c>
      <c r="C209" s="2" t="s">
        <v>95</v>
      </c>
      <c r="D209" s="2" t="s">
        <v>181</v>
      </c>
      <c r="E209" s="6">
        <v>22</v>
      </c>
    </row>
    <row r="210" spans="1:5" x14ac:dyDescent="0.3">
      <c r="A210" s="2" t="s">
        <v>19</v>
      </c>
      <c r="B210" s="4" t="s">
        <v>23</v>
      </c>
      <c r="C210" s="2" t="s">
        <v>95</v>
      </c>
      <c r="D210" s="2" t="s">
        <v>182</v>
      </c>
      <c r="E210" s="6">
        <v>22</v>
      </c>
    </row>
    <row r="211" spans="1:5" x14ac:dyDescent="0.3">
      <c r="A211" s="2" t="s">
        <v>19</v>
      </c>
      <c r="B211" s="4" t="s">
        <v>23</v>
      </c>
      <c r="C211" s="2" t="s">
        <v>95</v>
      </c>
      <c r="D211" s="2" t="s">
        <v>183</v>
      </c>
      <c r="E211" s="6">
        <v>10</v>
      </c>
    </row>
    <row r="212" spans="1:5" x14ac:dyDescent="0.3">
      <c r="A212" s="2" t="s">
        <v>19</v>
      </c>
      <c r="B212" s="4" t="s">
        <v>22</v>
      </c>
      <c r="C212" s="2" t="s">
        <v>95</v>
      </c>
      <c r="D212" s="2" t="s">
        <v>178</v>
      </c>
      <c r="E212" s="6">
        <v>48</v>
      </c>
    </row>
    <row r="213" spans="1:5" x14ac:dyDescent="0.3">
      <c r="A213" s="2" t="s">
        <v>19</v>
      </c>
      <c r="B213" s="4" t="s">
        <v>22</v>
      </c>
      <c r="C213" s="2" t="s">
        <v>95</v>
      </c>
      <c r="D213" s="2" t="s">
        <v>179</v>
      </c>
      <c r="E213" s="6">
        <v>42</v>
      </c>
    </row>
    <row r="214" spans="1:5" x14ac:dyDescent="0.3">
      <c r="A214" s="2" t="s">
        <v>19</v>
      </c>
      <c r="B214" s="4" t="s">
        <v>22</v>
      </c>
      <c r="C214" s="2" t="s">
        <v>95</v>
      </c>
      <c r="D214" s="2" t="s">
        <v>180</v>
      </c>
      <c r="E214" s="6">
        <v>42</v>
      </c>
    </row>
    <row r="215" spans="1:5" x14ac:dyDescent="0.3">
      <c r="A215" s="2" t="s">
        <v>19</v>
      </c>
      <c r="B215" s="4" t="s">
        <v>22</v>
      </c>
      <c r="C215" s="2" t="s">
        <v>95</v>
      </c>
      <c r="D215" s="2" t="s">
        <v>181</v>
      </c>
      <c r="E215" s="6">
        <v>42</v>
      </c>
    </row>
    <row r="216" spans="1:5" x14ac:dyDescent="0.3">
      <c r="A216" s="2" t="s">
        <v>19</v>
      </c>
      <c r="B216" s="4" t="s">
        <v>22</v>
      </c>
      <c r="C216" s="2" t="s">
        <v>95</v>
      </c>
      <c r="D216" s="2" t="s">
        <v>182</v>
      </c>
      <c r="E216" s="6">
        <v>42</v>
      </c>
    </row>
    <row r="217" spans="1:5" x14ac:dyDescent="0.3">
      <c r="A217" s="2" t="s">
        <v>19</v>
      </c>
      <c r="B217" s="4" t="s">
        <v>22</v>
      </c>
      <c r="C217" s="2" t="s">
        <v>95</v>
      </c>
      <c r="D217" s="2" t="s">
        <v>183</v>
      </c>
      <c r="E217" s="6">
        <v>18</v>
      </c>
    </row>
    <row r="218" spans="1:5" x14ac:dyDescent="0.3">
      <c r="A218" s="2" t="s">
        <v>19</v>
      </c>
      <c r="B218" s="4" t="s">
        <v>185</v>
      </c>
      <c r="C218" s="2" t="s">
        <v>95</v>
      </c>
      <c r="D218" s="2" t="s">
        <v>178</v>
      </c>
      <c r="E218" s="6">
        <v>55</v>
      </c>
    </row>
    <row r="219" spans="1:5" x14ac:dyDescent="0.3">
      <c r="A219" s="2" t="s">
        <v>19</v>
      </c>
      <c r="B219" s="4" t="s">
        <v>185</v>
      </c>
      <c r="C219" s="2" t="s">
        <v>95</v>
      </c>
      <c r="D219" s="2" t="s">
        <v>179</v>
      </c>
      <c r="E219" s="6">
        <v>43</v>
      </c>
    </row>
    <row r="220" spans="1:5" x14ac:dyDescent="0.3">
      <c r="A220" s="2" t="s">
        <v>19</v>
      </c>
      <c r="B220" s="4" t="s">
        <v>185</v>
      </c>
      <c r="C220" s="2" t="s">
        <v>95</v>
      </c>
      <c r="D220" s="2" t="s">
        <v>180</v>
      </c>
      <c r="E220" s="6">
        <v>43</v>
      </c>
    </row>
    <row r="221" spans="1:5" x14ac:dyDescent="0.3">
      <c r="A221" s="2" t="s">
        <v>19</v>
      </c>
      <c r="B221" s="4" t="s">
        <v>185</v>
      </c>
      <c r="C221" s="2" t="s">
        <v>95</v>
      </c>
      <c r="D221" s="2" t="s">
        <v>181</v>
      </c>
      <c r="E221" s="6">
        <v>48</v>
      </c>
    </row>
    <row r="222" spans="1:5" x14ac:dyDescent="0.3">
      <c r="A222" s="2" t="s">
        <v>19</v>
      </c>
      <c r="B222" s="4" t="s">
        <v>185</v>
      </c>
      <c r="C222" s="2" t="s">
        <v>95</v>
      </c>
      <c r="D222" s="2" t="s">
        <v>182</v>
      </c>
      <c r="E222" s="6">
        <v>48</v>
      </c>
    </row>
    <row r="223" spans="1:5" x14ac:dyDescent="0.3">
      <c r="A223" s="2" t="s">
        <v>19</v>
      </c>
      <c r="B223" s="4" t="s">
        <v>185</v>
      </c>
      <c r="C223" s="2" t="s">
        <v>95</v>
      </c>
      <c r="D223" s="2" t="s">
        <v>183</v>
      </c>
      <c r="E223" s="6">
        <v>21</v>
      </c>
    </row>
    <row r="224" spans="1:5" x14ac:dyDescent="0.3">
      <c r="A224" s="2" t="s">
        <v>19</v>
      </c>
      <c r="B224" s="4" t="s">
        <v>186</v>
      </c>
      <c r="C224" s="2" t="s">
        <v>95</v>
      </c>
      <c r="D224" s="2" t="s">
        <v>178</v>
      </c>
      <c r="E224" s="6">
        <v>37</v>
      </c>
    </row>
    <row r="225" spans="1:5" x14ac:dyDescent="0.3">
      <c r="A225" s="2" t="s">
        <v>19</v>
      </c>
      <c r="B225" s="4" t="s">
        <v>186</v>
      </c>
      <c r="C225" s="2" t="s">
        <v>95</v>
      </c>
      <c r="D225" s="2" t="s">
        <v>179</v>
      </c>
      <c r="E225" s="6">
        <v>33</v>
      </c>
    </row>
    <row r="226" spans="1:5" x14ac:dyDescent="0.3">
      <c r="A226" s="2" t="s">
        <v>19</v>
      </c>
      <c r="B226" s="4" t="s">
        <v>186</v>
      </c>
      <c r="C226" s="2" t="s">
        <v>95</v>
      </c>
      <c r="D226" s="2" t="s">
        <v>180</v>
      </c>
      <c r="E226" s="6">
        <v>33</v>
      </c>
    </row>
    <row r="227" spans="1:5" x14ac:dyDescent="0.3">
      <c r="A227" s="2" t="s">
        <v>19</v>
      </c>
      <c r="B227" s="4" t="s">
        <v>186</v>
      </c>
      <c r="C227" s="2" t="s">
        <v>95</v>
      </c>
      <c r="D227" s="2" t="s">
        <v>181</v>
      </c>
      <c r="E227" s="6">
        <v>33</v>
      </c>
    </row>
    <row r="228" spans="1:5" x14ac:dyDescent="0.3">
      <c r="A228" s="2" t="s">
        <v>19</v>
      </c>
      <c r="B228" s="4" t="s">
        <v>186</v>
      </c>
      <c r="C228" s="2" t="s">
        <v>95</v>
      </c>
      <c r="D228" s="2" t="s">
        <v>182</v>
      </c>
      <c r="E228" s="6">
        <v>33</v>
      </c>
    </row>
    <row r="229" spans="1:5" x14ac:dyDescent="0.3">
      <c r="A229" s="2" t="s">
        <v>19</v>
      </c>
      <c r="B229" s="4" t="s">
        <v>186</v>
      </c>
      <c r="C229" s="2" t="s">
        <v>95</v>
      </c>
      <c r="D229" s="2" t="s">
        <v>183</v>
      </c>
      <c r="E229" s="6">
        <v>14</v>
      </c>
    </row>
    <row r="230" spans="1:5" x14ac:dyDescent="0.3">
      <c r="A230" s="2" t="s">
        <v>19</v>
      </c>
      <c r="B230" s="4" t="s">
        <v>21</v>
      </c>
      <c r="C230" s="2" t="s">
        <v>95</v>
      </c>
      <c r="D230" s="2" t="s">
        <v>178</v>
      </c>
      <c r="E230" s="6">
        <v>42</v>
      </c>
    </row>
    <row r="231" spans="1:5" x14ac:dyDescent="0.3">
      <c r="A231" s="2" t="s">
        <v>19</v>
      </c>
      <c r="B231" s="4" t="s">
        <v>21</v>
      </c>
      <c r="C231" s="2" t="s">
        <v>95</v>
      </c>
      <c r="D231" s="2" t="s">
        <v>179</v>
      </c>
      <c r="E231" s="6">
        <v>37</v>
      </c>
    </row>
    <row r="232" spans="1:5" x14ac:dyDescent="0.3">
      <c r="A232" s="2" t="s">
        <v>19</v>
      </c>
      <c r="B232" s="4" t="s">
        <v>21</v>
      </c>
      <c r="C232" s="2" t="s">
        <v>95</v>
      </c>
      <c r="D232" s="2" t="s">
        <v>180</v>
      </c>
      <c r="E232" s="6">
        <v>37</v>
      </c>
    </row>
    <row r="233" spans="1:5" x14ac:dyDescent="0.3">
      <c r="A233" s="2" t="s">
        <v>19</v>
      </c>
      <c r="B233" s="4" t="s">
        <v>21</v>
      </c>
      <c r="C233" s="2" t="s">
        <v>95</v>
      </c>
      <c r="D233" s="2" t="s">
        <v>181</v>
      </c>
      <c r="E233" s="6">
        <v>37</v>
      </c>
    </row>
    <row r="234" spans="1:5" x14ac:dyDescent="0.3">
      <c r="A234" s="2" t="s">
        <v>19</v>
      </c>
      <c r="B234" s="4" t="s">
        <v>21</v>
      </c>
      <c r="C234" s="2" t="s">
        <v>95</v>
      </c>
      <c r="D234" s="2" t="s">
        <v>182</v>
      </c>
      <c r="E234" s="6">
        <v>37</v>
      </c>
    </row>
    <row r="235" spans="1:5" x14ac:dyDescent="0.3">
      <c r="A235" s="2" t="s">
        <v>19</v>
      </c>
      <c r="B235" s="4" t="s">
        <v>21</v>
      </c>
      <c r="C235" s="2" t="s">
        <v>95</v>
      </c>
      <c r="D235" s="2" t="s">
        <v>183</v>
      </c>
      <c r="E235" s="6">
        <v>15</v>
      </c>
    </row>
    <row r="236" spans="1:5" x14ac:dyDescent="0.3">
      <c r="A236" s="2" t="s">
        <v>19</v>
      </c>
      <c r="B236" s="4" t="s">
        <v>187</v>
      </c>
      <c r="C236" s="2" t="s">
        <v>95</v>
      </c>
      <c r="D236" s="2" t="s">
        <v>178</v>
      </c>
      <c r="E236" s="6">
        <v>17</v>
      </c>
    </row>
    <row r="237" spans="1:5" x14ac:dyDescent="0.3">
      <c r="A237" s="2" t="s">
        <v>19</v>
      </c>
      <c r="B237" s="4" t="s">
        <v>187</v>
      </c>
      <c r="C237" s="2" t="s">
        <v>95</v>
      </c>
      <c r="D237" s="2" t="s">
        <v>179</v>
      </c>
      <c r="E237" s="6">
        <v>15</v>
      </c>
    </row>
    <row r="238" spans="1:5" x14ac:dyDescent="0.3">
      <c r="A238" s="2" t="s">
        <v>19</v>
      </c>
      <c r="B238" s="4" t="s">
        <v>187</v>
      </c>
      <c r="C238" s="2" t="s">
        <v>95</v>
      </c>
      <c r="D238" s="2" t="s">
        <v>180</v>
      </c>
      <c r="E238" s="6">
        <v>15</v>
      </c>
    </row>
    <row r="239" spans="1:5" x14ac:dyDescent="0.3">
      <c r="A239" s="2" t="s">
        <v>19</v>
      </c>
      <c r="B239" s="4" t="s">
        <v>187</v>
      </c>
      <c r="C239" s="2" t="s">
        <v>95</v>
      </c>
      <c r="D239" s="2" t="s">
        <v>181</v>
      </c>
      <c r="E239" s="6">
        <v>15</v>
      </c>
    </row>
    <row r="240" spans="1:5" x14ac:dyDescent="0.3">
      <c r="A240" s="2" t="s">
        <v>19</v>
      </c>
      <c r="B240" s="4" t="s">
        <v>187</v>
      </c>
      <c r="C240" s="2" t="s">
        <v>95</v>
      </c>
      <c r="D240" s="2" t="s">
        <v>182</v>
      </c>
      <c r="E240" s="6">
        <v>15</v>
      </c>
    </row>
    <row r="241" spans="1:5" x14ac:dyDescent="0.3">
      <c r="A241" s="2" t="s">
        <v>19</v>
      </c>
      <c r="B241" s="4" t="s">
        <v>187</v>
      </c>
      <c r="C241" s="2" t="s">
        <v>95</v>
      </c>
      <c r="D241" s="2" t="s">
        <v>183</v>
      </c>
      <c r="E241" s="6">
        <v>6</v>
      </c>
    </row>
    <row r="242" spans="1:5" x14ac:dyDescent="0.3">
      <c r="A242" s="2" t="s">
        <v>189</v>
      </c>
      <c r="B242" s="4" t="s">
        <v>11</v>
      </c>
      <c r="C242" s="2" t="s">
        <v>74</v>
      </c>
      <c r="D242" s="2" t="s">
        <v>161</v>
      </c>
      <c r="E242" s="12">
        <v>31</v>
      </c>
    </row>
    <row r="243" spans="1:5" x14ac:dyDescent="0.3">
      <c r="A243" s="2" t="s">
        <v>189</v>
      </c>
      <c r="B243" s="4" t="s">
        <v>11</v>
      </c>
      <c r="C243" s="2" t="s">
        <v>74</v>
      </c>
      <c r="D243" s="2" t="s">
        <v>162</v>
      </c>
      <c r="E243" s="13">
        <v>36</v>
      </c>
    </row>
    <row r="244" spans="1:5" x14ac:dyDescent="0.3">
      <c r="A244" s="2" t="s">
        <v>189</v>
      </c>
      <c r="B244" s="4" t="s">
        <v>11</v>
      </c>
      <c r="C244" s="2" t="s">
        <v>74</v>
      </c>
      <c r="D244" s="2" t="s">
        <v>163</v>
      </c>
      <c r="E244" s="13">
        <v>24</v>
      </c>
    </row>
    <row r="245" spans="1:5" x14ac:dyDescent="0.3">
      <c r="A245" s="2" t="s">
        <v>189</v>
      </c>
      <c r="B245" s="4" t="s">
        <v>11</v>
      </c>
      <c r="C245" s="2" t="s">
        <v>74</v>
      </c>
      <c r="D245" s="2" t="s">
        <v>164</v>
      </c>
      <c r="E245" s="13">
        <v>29</v>
      </c>
    </row>
    <row r="246" spans="1:5" x14ac:dyDescent="0.3">
      <c r="A246" s="2" t="s">
        <v>189</v>
      </c>
      <c r="B246" s="4" t="s">
        <v>11</v>
      </c>
      <c r="C246" s="2" t="s">
        <v>74</v>
      </c>
      <c r="D246" s="2" t="s">
        <v>165</v>
      </c>
      <c r="E246" s="14">
        <v>21</v>
      </c>
    </row>
    <row r="247" spans="1:5" x14ac:dyDescent="0.3">
      <c r="A247" s="2" t="s">
        <v>189</v>
      </c>
      <c r="B247" s="4" t="s">
        <v>11</v>
      </c>
      <c r="C247" s="2" t="s">
        <v>81</v>
      </c>
      <c r="D247" s="2" t="s">
        <v>166</v>
      </c>
      <c r="E247" s="15">
        <v>18</v>
      </c>
    </row>
    <row r="248" spans="1:5" x14ac:dyDescent="0.3">
      <c r="A248" s="2" t="s">
        <v>189</v>
      </c>
      <c r="B248" s="4" t="s">
        <v>11</v>
      </c>
      <c r="C248" s="2" t="s">
        <v>81</v>
      </c>
      <c r="D248" s="2" t="s">
        <v>167</v>
      </c>
      <c r="E248" s="14">
        <v>20</v>
      </c>
    </row>
    <row r="249" spans="1:5" x14ac:dyDescent="0.3">
      <c r="A249" s="2" t="s">
        <v>189</v>
      </c>
      <c r="B249" s="4" t="s">
        <v>11</v>
      </c>
      <c r="C249" s="2" t="s">
        <v>81</v>
      </c>
      <c r="D249" s="2" t="s">
        <v>168</v>
      </c>
      <c r="E249" s="14">
        <v>22</v>
      </c>
    </row>
    <row r="250" spans="1:5" x14ac:dyDescent="0.3">
      <c r="A250" s="2" t="s">
        <v>189</v>
      </c>
      <c r="B250" s="4" t="s">
        <v>11</v>
      </c>
      <c r="C250" s="2" t="s">
        <v>81</v>
      </c>
      <c r="D250" s="2" t="s">
        <v>169</v>
      </c>
      <c r="E250" s="14">
        <v>31</v>
      </c>
    </row>
    <row r="251" spans="1:5" x14ac:dyDescent="0.3">
      <c r="A251" s="2" t="s">
        <v>189</v>
      </c>
      <c r="B251" s="4" t="s">
        <v>11</v>
      </c>
      <c r="C251" s="2" t="s">
        <v>81</v>
      </c>
      <c r="D251" s="2" t="s">
        <v>170</v>
      </c>
      <c r="E251" s="14">
        <v>25</v>
      </c>
    </row>
    <row r="252" spans="1:5" x14ac:dyDescent="0.3">
      <c r="A252" s="2" t="s">
        <v>189</v>
      </c>
      <c r="B252" s="4" t="s">
        <v>11</v>
      </c>
      <c r="C252" s="2" t="s">
        <v>81</v>
      </c>
      <c r="D252" s="2" t="s">
        <v>171</v>
      </c>
      <c r="E252" s="14">
        <v>10</v>
      </c>
    </row>
    <row r="253" spans="1:5" x14ac:dyDescent="0.3">
      <c r="A253" s="2" t="s">
        <v>189</v>
      </c>
      <c r="B253" s="4" t="s">
        <v>11</v>
      </c>
      <c r="C253" s="2" t="s">
        <v>81</v>
      </c>
      <c r="D253" s="2" t="s">
        <v>172</v>
      </c>
      <c r="E253" s="11">
        <v>0</v>
      </c>
    </row>
    <row r="254" spans="1:5" x14ac:dyDescent="0.3">
      <c r="A254" s="2" t="s">
        <v>189</v>
      </c>
      <c r="B254" s="4" t="s">
        <v>11</v>
      </c>
      <c r="C254" s="2" t="s">
        <v>88</v>
      </c>
      <c r="D254" s="2" t="s">
        <v>173</v>
      </c>
      <c r="E254" s="15">
        <v>25</v>
      </c>
    </row>
    <row r="255" spans="1:5" x14ac:dyDescent="0.3">
      <c r="A255" s="2" t="s">
        <v>189</v>
      </c>
      <c r="B255" s="4" t="s">
        <v>11</v>
      </c>
      <c r="C255" s="2" t="s">
        <v>88</v>
      </c>
      <c r="D255" s="2" t="s">
        <v>174</v>
      </c>
      <c r="E255" s="14">
        <v>31</v>
      </c>
    </row>
    <row r="256" spans="1:5" x14ac:dyDescent="0.3">
      <c r="A256" s="2" t="s">
        <v>189</v>
      </c>
      <c r="B256" s="4" t="s">
        <v>11</v>
      </c>
      <c r="C256" s="2" t="s">
        <v>88</v>
      </c>
      <c r="D256" s="2" t="s">
        <v>175</v>
      </c>
      <c r="E256" s="14">
        <v>32</v>
      </c>
    </row>
    <row r="257" spans="1:5" x14ac:dyDescent="0.3">
      <c r="A257" s="2" t="s">
        <v>189</v>
      </c>
      <c r="B257" s="4" t="s">
        <v>11</v>
      </c>
      <c r="C257" s="2" t="s">
        <v>88</v>
      </c>
      <c r="D257" s="2" t="s">
        <v>176</v>
      </c>
      <c r="E257" s="14">
        <v>37</v>
      </c>
    </row>
    <row r="258" spans="1:5" x14ac:dyDescent="0.3">
      <c r="A258" s="2" t="s">
        <v>189</v>
      </c>
      <c r="B258" s="4" t="s">
        <v>11</v>
      </c>
      <c r="C258" s="2" t="s">
        <v>88</v>
      </c>
      <c r="D258" s="2" t="s">
        <v>177</v>
      </c>
      <c r="E258" s="14">
        <v>24</v>
      </c>
    </row>
    <row r="259" spans="1:5" x14ac:dyDescent="0.3">
      <c r="A259" s="2" t="s">
        <v>189</v>
      </c>
      <c r="B259" s="4" t="s">
        <v>11</v>
      </c>
      <c r="C259" s="2" t="s">
        <v>95</v>
      </c>
      <c r="D259" s="2" t="s">
        <v>178</v>
      </c>
      <c r="E259" s="14">
        <v>24</v>
      </c>
    </row>
    <row r="260" spans="1:5" x14ac:dyDescent="0.3">
      <c r="A260" s="2" t="s">
        <v>189</v>
      </c>
      <c r="B260" s="4" t="s">
        <v>11</v>
      </c>
      <c r="C260" s="2" t="s">
        <v>95</v>
      </c>
      <c r="D260" s="2" t="s">
        <v>179</v>
      </c>
      <c r="E260" s="16">
        <v>21</v>
      </c>
    </row>
    <row r="261" spans="1:5" x14ac:dyDescent="0.3">
      <c r="A261" s="2" t="s">
        <v>189</v>
      </c>
      <c r="B261" s="4" t="s">
        <v>11</v>
      </c>
      <c r="C261" s="2" t="s">
        <v>95</v>
      </c>
      <c r="D261" s="2" t="s">
        <v>180</v>
      </c>
      <c r="E261" s="16">
        <v>21</v>
      </c>
    </row>
    <row r="262" spans="1:5" x14ac:dyDescent="0.3">
      <c r="A262" s="2" t="s">
        <v>189</v>
      </c>
      <c r="B262" s="4" t="s">
        <v>11</v>
      </c>
      <c r="C262" s="2" t="s">
        <v>95</v>
      </c>
      <c r="D262" s="2" t="s">
        <v>181</v>
      </c>
      <c r="E262" s="16">
        <v>21</v>
      </c>
    </row>
    <row r="263" spans="1:5" x14ac:dyDescent="0.3">
      <c r="A263" s="2" t="s">
        <v>189</v>
      </c>
      <c r="B263" s="4" t="s">
        <v>11</v>
      </c>
      <c r="C263" s="2" t="s">
        <v>95</v>
      </c>
      <c r="D263" s="2" t="s">
        <v>182</v>
      </c>
      <c r="E263" s="16">
        <v>21</v>
      </c>
    </row>
    <row r="264" spans="1:5" x14ac:dyDescent="0.3">
      <c r="A264" s="2" t="s">
        <v>189</v>
      </c>
      <c r="B264" s="4" t="s">
        <v>11</v>
      </c>
      <c r="C264" s="2" t="s">
        <v>95</v>
      </c>
      <c r="D264" s="2" t="s">
        <v>183</v>
      </c>
      <c r="E264" s="16">
        <v>24</v>
      </c>
    </row>
    <row r="265" spans="1:5" x14ac:dyDescent="0.3">
      <c r="A265" s="2" t="s">
        <v>189</v>
      </c>
      <c r="B265" s="4" t="s">
        <v>48</v>
      </c>
      <c r="C265" s="2" t="s">
        <v>74</v>
      </c>
      <c r="D265" s="2" t="s">
        <v>161</v>
      </c>
      <c r="E265" s="12">
        <v>36</v>
      </c>
    </row>
    <row r="266" spans="1:5" x14ac:dyDescent="0.3">
      <c r="A266" s="2" t="s">
        <v>189</v>
      </c>
      <c r="B266" s="4" t="s">
        <v>48</v>
      </c>
      <c r="C266" s="2" t="s">
        <v>74</v>
      </c>
      <c r="D266" s="2" t="s">
        <v>162</v>
      </c>
      <c r="E266" s="13">
        <v>41</v>
      </c>
    </row>
    <row r="267" spans="1:5" x14ac:dyDescent="0.3">
      <c r="A267" s="2" t="s">
        <v>189</v>
      </c>
      <c r="B267" s="4" t="s">
        <v>48</v>
      </c>
      <c r="C267" s="2" t="s">
        <v>74</v>
      </c>
      <c r="D267" s="2" t="s">
        <v>163</v>
      </c>
      <c r="E267" s="13">
        <v>30</v>
      </c>
    </row>
    <row r="268" spans="1:5" x14ac:dyDescent="0.3">
      <c r="A268" s="2" t="s">
        <v>189</v>
      </c>
      <c r="B268" s="4" t="s">
        <v>48</v>
      </c>
      <c r="C268" s="2" t="s">
        <v>74</v>
      </c>
      <c r="D268" s="2" t="s">
        <v>164</v>
      </c>
      <c r="E268" s="13">
        <v>31</v>
      </c>
    </row>
    <row r="269" spans="1:5" x14ac:dyDescent="0.3">
      <c r="A269" s="2" t="s">
        <v>189</v>
      </c>
      <c r="B269" s="4" t="s">
        <v>48</v>
      </c>
      <c r="C269" s="2" t="s">
        <v>74</v>
      </c>
      <c r="D269" s="2" t="s">
        <v>165</v>
      </c>
      <c r="E269" s="14">
        <v>22</v>
      </c>
    </row>
    <row r="270" spans="1:5" x14ac:dyDescent="0.3">
      <c r="A270" s="2" t="s">
        <v>189</v>
      </c>
      <c r="B270" s="4" t="s">
        <v>48</v>
      </c>
      <c r="C270" s="2" t="s">
        <v>81</v>
      </c>
      <c r="D270" s="2" t="s">
        <v>166</v>
      </c>
      <c r="E270" s="15">
        <v>34</v>
      </c>
    </row>
    <row r="271" spans="1:5" x14ac:dyDescent="0.3">
      <c r="A271" s="2" t="s">
        <v>189</v>
      </c>
      <c r="B271" s="4" t="s">
        <v>48</v>
      </c>
      <c r="C271" s="2" t="s">
        <v>81</v>
      </c>
      <c r="D271" s="2" t="s">
        <v>167</v>
      </c>
      <c r="E271" s="14">
        <v>32</v>
      </c>
    </row>
    <row r="272" spans="1:5" x14ac:dyDescent="0.3">
      <c r="A272" s="2" t="s">
        <v>189</v>
      </c>
      <c r="B272" s="4" t="s">
        <v>48</v>
      </c>
      <c r="C272" s="2" t="s">
        <v>81</v>
      </c>
      <c r="D272" s="2" t="s">
        <v>168</v>
      </c>
      <c r="E272" s="14">
        <v>32</v>
      </c>
    </row>
    <row r="273" spans="1:5" x14ac:dyDescent="0.3">
      <c r="A273" s="2" t="s">
        <v>189</v>
      </c>
      <c r="B273" s="4" t="s">
        <v>48</v>
      </c>
      <c r="C273" s="2" t="s">
        <v>81</v>
      </c>
      <c r="D273" s="2" t="s">
        <v>169</v>
      </c>
      <c r="E273" s="14">
        <v>36</v>
      </c>
    </row>
    <row r="274" spans="1:5" x14ac:dyDescent="0.3">
      <c r="A274" s="2" t="s">
        <v>189</v>
      </c>
      <c r="B274" s="4" t="s">
        <v>48</v>
      </c>
      <c r="C274" s="2" t="s">
        <v>81</v>
      </c>
      <c r="D274" s="2" t="s">
        <v>170</v>
      </c>
      <c r="E274" s="14">
        <v>28</v>
      </c>
    </row>
    <row r="275" spans="1:5" x14ac:dyDescent="0.3">
      <c r="A275" s="2" t="s">
        <v>189</v>
      </c>
      <c r="B275" s="4" t="s">
        <v>48</v>
      </c>
      <c r="C275" s="2" t="s">
        <v>81</v>
      </c>
      <c r="D275" s="2" t="s">
        <v>171</v>
      </c>
      <c r="E275" s="14">
        <v>39</v>
      </c>
    </row>
    <row r="276" spans="1:5" x14ac:dyDescent="0.3">
      <c r="A276" s="2" t="s">
        <v>189</v>
      </c>
      <c r="B276" s="4" t="s">
        <v>48</v>
      </c>
      <c r="C276" s="2" t="s">
        <v>81</v>
      </c>
      <c r="D276" s="2" t="s">
        <v>172</v>
      </c>
      <c r="E276" s="11">
        <v>0</v>
      </c>
    </row>
    <row r="277" spans="1:5" x14ac:dyDescent="0.3">
      <c r="A277" s="2" t="s">
        <v>189</v>
      </c>
      <c r="B277" s="4" t="s">
        <v>48</v>
      </c>
      <c r="C277" s="2" t="s">
        <v>88</v>
      </c>
      <c r="D277" s="2" t="s">
        <v>173</v>
      </c>
      <c r="E277" s="15">
        <v>31</v>
      </c>
    </row>
    <row r="278" spans="1:5" x14ac:dyDescent="0.3">
      <c r="A278" s="2" t="s">
        <v>189</v>
      </c>
      <c r="B278" s="4" t="s">
        <v>48</v>
      </c>
      <c r="C278" s="2" t="s">
        <v>88</v>
      </c>
      <c r="D278" s="2" t="s">
        <v>174</v>
      </c>
      <c r="E278" s="14">
        <v>31</v>
      </c>
    </row>
    <row r="279" spans="1:5" x14ac:dyDescent="0.3">
      <c r="A279" s="2" t="s">
        <v>189</v>
      </c>
      <c r="B279" s="4" t="s">
        <v>48</v>
      </c>
      <c r="C279" s="2" t="s">
        <v>88</v>
      </c>
      <c r="D279" s="2" t="s">
        <v>175</v>
      </c>
      <c r="E279" s="14">
        <v>39</v>
      </c>
    </row>
    <row r="280" spans="1:5" x14ac:dyDescent="0.3">
      <c r="A280" s="2" t="s">
        <v>189</v>
      </c>
      <c r="B280" s="4" t="s">
        <v>48</v>
      </c>
      <c r="C280" s="2" t="s">
        <v>88</v>
      </c>
      <c r="D280" s="2" t="s">
        <v>176</v>
      </c>
      <c r="E280" s="14">
        <v>40</v>
      </c>
    </row>
    <row r="281" spans="1:5" x14ac:dyDescent="0.3">
      <c r="A281" s="2" t="s">
        <v>189</v>
      </c>
      <c r="B281" s="4" t="s">
        <v>48</v>
      </c>
      <c r="C281" s="2" t="s">
        <v>88</v>
      </c>
      <c r="D281" s="2" t="s">
        <v>177</v>
      </c>
      <c r="E281" s="14">
        <v>19</v>
      </c>
    </row>
    <row r="282" spans="1:5" x14ac:dyDescent="0.3">
      <c r="A282" s="2" t="s">
        <v>189</v>
      </c>
      <c r="B282" s="4" t="s">
        <v>48</v>
      </c>
      <c r="C282" s="2" t="s">
        <v>95</v>
      </c>
      <c r="D282" s="2" t="s">
        <v>178</v>
      </c>
      <c r="E282" s="14">
        <v>39</v>
      </c>
    </row>
    <row r="283" spans="1:5" x14ac:dyDescent="0.3">
      <c r="A283" s="2" t="s">
        <v>189</v>
      </c>
      <c r="B283" s="4" t="s">
        <v>48</v>
      </c>
      <c r="C283" s="2" t="s">
        <v>95</v>
      </c>
      <c r="D283" s="2" t="s">
        <v>179</v>
      </c>
      <c r="E283" s="16">
        <v>34</v>
      </c>
    </row>
    <row r="284" spans="1:5" x14ac:dyDescent="0.3">
      <c r="A284" s="2" t="s">
        <v>189</v>
      </c>
      <c r="B284" s="4" t="s">
        <v>48</v>
      </c>
      <c r="C284" s="2" t="s">
        <v>95</v>
      </c>
      <c r="D284" s="2" t="s">
        <v>180</v>
      </c>
      <c r="E284" s="16">
        <v>34</v>
      </c>
    </row>
    <row r="285" spans="1:5" x14ac:dyDescent="0.3">
      <c r="A285" s="2" t="s">
        <v>189</v>
      </c>
      <c r="B285" s="4" t="s">
        <v>48</v>
      </c>
      <c r="C285" s="2" t="s">
        <v>95</v>
      </c>
      <c r="D285" s="2" t="s">
        <v>181</v>
      </c>
      <c r="E285" s="16">
        <v>34</v>
      </c>
    </row>
    <row r="286" spans="1:5" x14ac:dyDescent="0.3">
      <c r="A286" s="2" t="s">
        <v>189</v>
      </c>
      <c r="B286" s="4" t="s">
        <v>48</v>
      </c>
      <c r="C286" s="2" t="s">
        <v>95</v>
      </c>
      <c r="D286" s="2" t="s">
        <v>182</v>
      </c>
      <c r="E286" s="16">
        <v>34</v>
      </c>
    </row>
    <row r="287" spans="1:5" x14ac:dyDescent="0.3">
      <c r="A287" s="2" t="s">
        <v>189</v>
      </c>
      <c r="B287" s="4" t="s">
        <v>48</v>
      </c>
      <c r="C287" s="2" t="s">
        <v>95</v>
      </c>
      <c r="D287" s="2" t="s">
        <v>183</v>
      </c>
      <c r="E287" s="16">
        <v>39</v>
      </c>
    </row>
    <row r="288" spans="1:5" x14ac:dyDescent="0.3">
      <c r="A288" s="2" t="s">
        <v>189</v>
      </c>
      <c r="B288" s="4" t="s">
        <v>47</v>
      </c>
      <c r="C288" s="2" t="s">
        <v>74</v>
      </c>
      <c r="D288" s="2" t="s">
        <v>161</v>
      </c>
      <c r="E288" s="12">
        <v>31</v>
      </c>
    </row>
    <row r="289" spans="1:5" x14ac:dyDescent="0.3">
      <c r="A289" s="2" t="s">
        <v>189</v>
      </c>
      <c r="B289" s="4" t="s">
        <v>47</v>
      </c>
      <c r="C289" s="2" t="s">
        <v>74</v>
      </c>
      <c r="D289" s="2" t="s">
        <v>162</v>
      </c>
      <c r="E289" s="13">
        <v>33</v>
      </c>
    </row>
    <row r="290" spans="1:5" x14ac:dyDescent="0.3">
      <c r="A290" s="2" t="s">
        <v>189</v>
      </c>
      <c r="B290" s="4" t="s">
        <v>47</v>
      </c>
      <c r="C290" s="2" t="s">
        <v>74</v>
      </c>
      <c r="D290" s="2" t="s">
        <v>163</v>
      </c>
      <c r="E290" s="13">
        <v>24</v>
      </c>
    </row>
    <row r="291" spans="1:5" x14ac:dyDescent="0.3">
      <c r="A291" s="2" t="s">
        <v>189</v>
      </c>
      <c r="B291" s="4" t="s">
        <v>47</v>
      </c>
      <c r="C291" s="2" t="s">
        <v>74</v>
      </c>
      <c r="D291" s="2" t="s">
        <v>164</v>
      </c>
      <c r="E291" s="13">
        <v>27</v>
      </c>
    </row>
    <row r="292" spans="1:5" x14ac:dyDescent="0.3">
      <c r="A292" s="2" t="s">
        <v>189</v>
      </c>
      <c r="B292" s="4" t="s">
        <v>47</v>
      </c>
      <c r="C292" s="2" t="s">
        <v>74</v>
      </c>
      <c r="D292" s="2" t="s">
        <v>165</v>
      </c>
      <c r="E292" s="14">
        <v>17</v>
      </c>
    </row>
    <row r="293" spans="1:5" x14ac:dyDescent="0.3">
      <c r="A293" s="2" t="s">
        <v>189</v>
      </c>
      <c r="B293" s="4" t="s">
        <v>47</v>
      </c>
      <c r="C293" s="2" t="s">
        <v>81</v>
      </c>
      <c r="D293" s="2" t="s">
        <v>166</v>
      </c>
      <c r="E293" s="15">
        <v>30</v>
      </c>
    </row>
    <row r="294" spans="1:5" x14ac:dyDescent="0.3">
      <c r="A294" s="2" t="s">
        <v>189</v>
      </c>
      <c r="B294" s="4" t="s">
        <v>47</v>
      </c>
      <c r="C294" s="2" t="s">
        <v>81</v>
      </c>
      <c r="D294" s="2" t="s">
        <v>167</v>
      </c>
      <c r="E294" s="14">
        <v>32</v>
      </c>
    </row>
    <row r="295" spans="1:5" x14ac:dyDescent="0.3">
      <c r="A295" s="2" t="s">
        <v>189</v>
      </c>
      <c r="B295" s="4" t="s">
        <v>47</v>
      </c>
      <c r="C295" s="2" t="s">
        <v>81</v>
      </c>
      <c r="D295" s="2" t="s">
        <v>168</v>
      </c>
      <c r="E295" s="14">
        <v>29</v>
      </c>
    </row>
    <row r="296" spans="1:5" x14ac:dyDescent="0.3">
      <c r="A296" s="2" t="s">
        <v>189</v>
      </c>
      <c r="B296" s="4" t="s">
        <v>47</v>
      </c>
      <c r="C296" s="2" t="s">
        <v>81</v>
      </c>
      <c r="D296" s="2" t="s">
        <v>169</v>
      </c>
      <c r="E296" s="14">
        <v>39</v>
      </c>
    </row>
    <row r="297" spans="1:5" x14ac:dyDescent="0.3">
      <c r="A297" s="2" t="s">
        <v>189</v>
      </c>
      <c r="B297" s="4" t="s">
        <v>47</v>
      </c>
      <c r="C297" s="2" t="s">
        <v>81</v>
      </c>
      <c r="D297" s="2" t="s">
        <v>170</v>
      </c>
      <c r="E297" s="14">
        <v>30</v>
      </c>
    </row>
    <row r="298" spans="1:5" x14ac:dyDescent="0.3">
      <c r="A298" s="2" t="s">
        <v>189</v>
      </c>
      <c r="B298" s="4" t="s">
        <v>47</v>
      </c>
      <c r="C298" s="2" t="s">
        <v>81</v>
      </c>
      <c r="D298" s="2" t="s">
        <v>171</v>
      </c>
      <c r="E298" s="14">
        <v>35</v>
      </c>
    </row>
    <row r="299" spans="1:5" x14ac:dyDescent="0.3">
      <c r="A299" s="2" t="s">
        <v>189</v>
      </c>
      <c r="B299" s="4" t="s">
        <v>47</v>
      </c>
      <c r="C299" s="2" t="s">
        <v>81</v>
      </c>
      <c r="D299" s="2" t="s">
        <v>172</v>
      </c>
      <c r="E299" s="11">
        <v>0</v>
      </c>
    </row>
    <row r="300" spans="1:5" x14ac:dyDescent="0.3">
      <c r="A300" s="2" t="s">
        <v>189</v>
      </c>
      <c r="B300" s="4" t="s">
        <v>47</v>
      </c>
      <c r="C300" s="2" t="s">
        <v>88</v>
      </c>
      <c r="D300" s="2" t="s">
        <v>173</v>
      </c>
      <c r="E300" s="15">
        <v>39</v>
      </c>
    </row>
    <row r="301" spans="1:5" x14ac:dyDescent="0.3">
      <c r="A301" s="2" t="s">
        <v>189</v>
      </c>
      <c r="B301" s="4" t="s">
        <v>47</v>
      </c>
      <c r="C301" s="2" t="s">
        <v>88</v>
      </c>
      <c r="D301" s="2" t="s">
        <v>174</v>
      </c>
      <c r="E301" s="14">
        <v>25</v>
      </c>
    </row>
    <row r="302" spans="1:5" x14ac:dyDescent="0.3">
      <c r="A302" s="2" t="s">
        <v>189</v>
      </c>
      <c r="B302" s="4" t="s">
        <v>47</v>
      </c>
      <c r="C302" s="2" t="s">
        <v>88</v>
      </c>
      <c r="D302" s="2" t="s">
        <v>175</v>
      </c>
      <c r="E302" s="14">
        <v>32</v>
      </c>
    </row>
    <row r="303" spans="1:5" x14ac:dyDescent="0.3">
      <c r="A303" s="2" t="s">
        <v>189</v>
      </c>
      <c r="B303" s="4" t="s">
        <v>47</v>
      </c>
      <c r="C303" s="2" t="s">
        <v>88</v>
      </c>
      <c r="D303" s="2" t="s">
        <v>176</v>
      </c>
      <c r="E303" s="14">
        <v>36</v>
      </c>
    </row>
    <row r="304" spans="1:5" x14ac:dyDescent="0.3">
      <c r="A304" s="2" t="s">
        <v>189</v>
      </c>
      <c r="B304" s="4" t="s">
        <v>47</v>
      </c>
      <c r="C304" s="2" t="s">
        <v>88</v>
      </c>
      <c r="D304" s="2" t="s">
        <v>177</v>
      </c>
      <c r="E304" s="14">
        <v>15</v>
      </c>
    </row>
    <row r="305" spans="1:5" x14ac:dyDescent="0.3">
      <c r="A305" s="2" t="s">
        <v>189</v>
      </c>
      <c r="B305" s="4" t="s">
        <v>47</v>
      </c>
      <c r="C305" s="2" t="s">
        <v>95</v>
      </c>
      <c r="D305" s="2" t="s">
        <v>178</v>
      </c>
      <c r="E305" s="14">
        <v>36</v>
      </c>
    </row>
    <row r="306" spans="1:5" x14ac:dyDescent="0.3">
      <c r="A306" s="2" t="s">
        <v>189</v>
      </c>
      <c r="B306" s="4" t="s">
        <v>47</v>
      </c>
      <c r="C306" s="2" t="s">
        <v>95</v>
      </c>
      <c r="D306" s="2" t="s">
        <v>179</v>
      </c>
      <c r="E306" s="16">
        <v>32</v>
      </c>
    </row>
    <row r="307" spans="1:5" x14ac:dyDescent="0.3">
      <c r="A307" s="2" t="s">
        <v>189</v>
      </c>
      <c r="B307" s="4" t="s">
        <v>47</v>
      </c>
      <c r="C307" s="2" t="s">
        <v>95</v>
      </c>
      <c r="D307" s="2" t="s">
        <v>180</v>
      </c>
      <c r="E307" s="16">
        <v>32</v>
      </c>
    </row>
    <row r="308" spans="1:5" x14ac:dyDescent="0.3">
      <c r="A308" s="2" t="s">
        <v>189</v>
      </c>
      <c r="B308" s="4" t="s">
        <v>47</v>
      </c>
      <c r="C308" s="2" t="s">
        <v>95</v>
      </c>
      <c r="D308" s="2" t="s">
        <v>181</v>
      </c>
      <c r="E308" s="16">
        <v>32</v>
      </c>
    </row>
    <row r="309" spans="1:5" x14ac:dyDescent="0.3">
      <c r="A309" s="2" t="s">
        <v>189</v>
      </c>
      <c r="B309" s="4" t="s">
        <v>47</v>
      </c>
      <c r="C309" s="2" t="s">
        <v>95</v>
      </c>
      <c r="D309" s="2" t="s">
        <v>182</v>
      </c>
      <c r="E309" s="16">
        <v>32</v>
      </c>
    </row>
    <row r="310" spans="1:5" x14ac:dyDescent="0.3">
      <c r="A310" s="2" t="s">
        <v>189</v>
      </c>
      <c r="B310" s="4" t="s">
        <v>47</v>
      </c>
      <c r="C310" s="2" t="s">
        <v>95</v>
      </c>
      <c r="D310" s="2" t="s">
        <v>183</v>
      </c>
      <c r="E310" s="16">
        <v>36</v>
      </c>
    </row>
    <row r="311" spans="1:5" x14ac:dyDescent="0.3">
      <c r="A311" s="2" t="s">
        <v>189</v>
      </c>
      <c r="B311" s="4" t="s">
        <v>13</v>
      </c>
      <c r="C311" s="2" t="s">
        <v>74</v>
      </c>
      <c r="D311" s="2" t="s">
        <v>161</v>
      </c>
      <c r="E311" s="12">
        <v>29</v>
      </c>
    </row>
    <row r="312" spans="1:5" x14ac:dyDescent="0.3">
      <c r="A312" s="2" t="s">
        <v>189</v>
      </c>
      <c r="B312" s="4" t="s">
        <v>13</v>
      </c>
      <c r="C312" s="2" t="s">
        <v>74</v>
      </c>
      <c r="D312" s="2" t="s">
        <v>162</v>
      </c>
      <c r="E312" s="13">
        <v>29</v>
      </c>
    </row>
    <row r="313" spans="1:5" x14ac:dyDescent="0.3">
      <c r="A313" s="2" t="s">
        <v>189</v>
      </c>
      <c r="B313" s="4" t="s">
        <v>13</v>
      </c>
      <c r="C313" s="2" t="s">
        <v>74</v>
      </c>
      <c r="D313" s="2" t="s">
        <v>163</v>
      </c>
      <c r="E313" s="13">
        <v>24</v>
      </c>
    </row>
    <row r="314" spans="1:5" x14ac:dyDescent="0.3">
      <c r="A314" s="2" t="s">
        <v>189</v>
      </c>
      <c r="B314" s="4" t="s">
        <v>13</v>
      </c>
      <c r="C314" s="2" t="s">
        <v>74</v>
      </c>
      <c r="D314" s="2" t="s">
        <v>164</v>
      </c>
      <c r="E314" s="13">
        <v>31</v>
      </c>
    </row>
    <row r="315" spans="1:5" x14ac:dyDescent="0.3">
      <c r="A315" s="2" t="s">
        <v>189</v>
      </c>
      <c r="B315" s="4" t="s">
        <v>13</v>
      </c>
      <c r="C315" s="2" t="s">
        <v>74</v>
      </c>
      <c r="D315" s="2" t="s">
        <v>165</v>
      </c>
      <c r="E315" s="14">
        <v>16</v>
      </c>
    </row>
    <row r="316" spans="1:5" x14ac:dyDescent="0.3">
      <c r="A316" s="2" t="s">
        <v>189</v>
      </c>
      <c r="B316" s="4" t="s">
        <v>13</v>
      </c>
      <c r="C316" s="2" t="s">
        <v>81</v>
      </c>
      <c r="D316" s="2" t="s">
        <v>166</v>
      </c>
      <c r="E316" s="15">
        <v>27</v>
      </c>
    </row>
    <row r="317" spans="1:5" x14ac:dyDescent="0.3">
      <c r="A317" s="2" t="s">
        <v>189</v>
      </c>
      <c r="B317" s="4" t="s">
        <v>13</v>
      </c>
      <c r="C317" s="2" t="s">
        <v>81</v>
      </c>
      <c r="D317" s="2" t="s">
        <v>167</v>
      </c>
      <c r="E317" s="14">
        <v>28</v>
      </c>
    </row>
    <row r="318" spans="1:5" x14ac:dyDescent="0.3">
      <c r="A318" s="2" t="s">
        <v>189</v>
      </c>
      <c r="B318" s="4" t="s">
        <v>13</v>
      </c>
      <c r="C318" s="2" t="s">
        <v>81</v>
      </c>
      <c r="D318" s="2" t="s">
        <v>168</v>
      </c>
      <c r="E318" s="14">
        <v>31</v>
      </c>
    </row>
    <row r="319" spans="1:5" x14ac:dyDescent="0.3">
      <c r="A319" s="2" t="s">
        <v>189</v>
      </c>
      <c r="B319" s="4" t="s">
        <v>13</v>
      </c>
      <c r="C319" s="2" t="s">
        <v>81</v>
      </c>
      <c r="D319" s="2" t="s">
        <v>169</v>
      </c>
      <c r="E319" s="14">
        <v>33</v>
      </c>
    </row>
    <row r="320" spans="1:5" x14ac:dyDescent="0.3">
      <c r="A320" s="2" t="s">
        <v>189</v>
      </c>
      <c r="B320" s="4" t="s">
        <v>13</v>
      </c>
      <c r="C320" s="2" t="s">
        <v>81</v>
      </c>
      <c r="D320" s="2" t="s">
        <v>170</v>
      </c>
      <c r="E320" s="14">
        <v>25</v>
      </c>
    </row>
    <row r="321" spans="1:5" x14ac:dyDescent="0.3">
      <c r="A321" s="2" t="s">
        <v>189</v>
      </c>
      <c r="B321" s="4" t="s">
        <v>13</v>
      </c>
      <c r="C321" s="2" t="s">
        <v>81</v>
      </c>
      <c r="D321" s="2" t="s">
        <v>171</v>
      </c>
      <c r="E321" s="14">
        <v>32</v>
      </c>
    </row>
    <row r="322" spans="1:5" x14ac:dyDescent="0.3">
      <c r="A322" s="2" t="s">
        <v>189</v>
      </c>
      <c r="B322" s="4" t="s">
        <v>13</v>
      </c>
      <c r="C322" s="2" t="s">
        <v>81</v>
      </c>
      <c r="D322" s="2" t="s">
        <v>172</v>
      </c>
      <c r="E322" s="11">
        <v>0</v>
      </c>
    </row>
    <row r="323" spans="1:5" x14ac:dyDescent="0.3">
      <c r="A323" s="2" t="s">
        <v>189</v>
      </c>
      <c r="B323" s="4" t="s">
        <v>13</v>
      </c>
      <c r="C323" s="2" t="s">
        <v>88</v>
      </c>
      <c r="D323" s="2" t="s">
        <v>173</v>
      </c>
      <c r="E323" s="15">
        <v>25</v>
      </c>
    </row>
    <row r="324" spans="1:5" x14ac:dyDescent="0.3">
      <c r="A324" s="2" t="s">
        <v>189</v>
      </c>
      <c r="B324" s="4" t="s">
        <v>13</v>
      </c>
      <c r="C324" s="2" t="s">
        <v>88</v>
      </c>
      <c r="D324" s="2" t="s">
        <v>174</v>
      </c>
      <c r="E324" s="14">
        <v>30</v>
      </c>
    </row>
    <row r="325" spans="1:5" x14ac:dyDescent="0.3">
      <c r="A325" s="2" t="s">
        <v>189</v>
      </c>
      <c r="B325" s="4" t="s">
        <v>13</v>
      </c>
      <c r="C325" s="2" t="s">
        <v>88</v>
      </c>
      <c r="D325" s="2" t="s">
        <v>175</v>
      </c>
      <c r="E325" s="14">
        <v>26</v>
      </c>
    </row>
    <row r="326" spans="1:5" x14ac:dyDescent="0.3">
      <c r="A326" s="2" t="s">
        <v>189</v>
      </c>
      <c r="B326" s="4" t="s">
        <v>13</v>
      </c>
      <c r="C326" s="2" t="s">
        <v>88</v>
      </c>
      <c r="D326" s="2" t="s">
        <v>176</v>
      </c>
      <c r="E326" s="14">
        <v>27</v>
      </c>
    </row>
    <row r="327" spans="1:5" x14ac:dyDescent="0.3">
      <c r="A327" s="2" t="s">
        <v>189</v>
      </c>
      <c r="B327" s="4" t="s">
        <v>13</v>
      </c>
      <c r="C327" s="2" t="s">
        <v>88</v>
      </c>
      <c r="D327" s="2" t="s">
        <v>177</v>
      </c>
      <c r="E327" s="14">
        <v>16</v>
      </c>
    </row>
    <row r="328" spans="1:5" x14ac:dyDescent="0.3">
      <c r="A328" s="2" t="s">
        <v>189</v>
      </c>
      <c r="B328" s="4" t="s">
        <v>13</v>
      </c>
      <c r="C328" s="2" t="s">
        <v>95</v>
      </c>
      <c r="D328" s="2" t="s">
        <v>178</v>
      </c>
      <c r="E328" s="16">
        <v>32</v>
      </c>
    </row>
    <row r="329" spans="1:5" x14ac:dyDescent="0.3">
      <c r="A329" s="2" t="s">
        <v>189</v>
      </c>
      <c r="B329" s="4" t="s">
        <v>13</v>
      </c>
      <c r="C329" s="2" t="s">
        <v>95</v>
      </c>
      <c r="D329" s="2" t="s">
        <v>179</v>
      </c>
      <c r="E329" s="16">
        <v>28</v>
      </c>
    </row>
    <row r="330" spans="1:5" x14ac:dyDescent="0.3">
      <c r="A330" s="2" t="s">
        <v>189</v>
      </c>
      <c r="B330" s="4" t="s">
        <v>13</v>
      </c>
      <c r="C330" s="2" t="s">
        <v>95</v>
      </c>
      <c r="D330" s="2" t="s">
        <v>180</v>
      </c>
      <c r="E330" s="16">
        <v>28</v>
      </c>
    </row>
    <row r="331" spans="1:5" x14ac:dyDescent="0.3">
      <c r="A331" s="2" t="s">
        <v>189</v>
      </c>
      <c r="B331" s="4" t="s">
        <v>13</v>
      </c>
      <c r="C331" s="2" t="s">
        <v>95</v>
      </c>
      <c r="D331" s="2" t="s">
        <v>181</v>
      </c>
      <c r="E331" s="16">
        <v>28</v>
      </c>
    </row>
    <row r="332" spans="1:5" x14ac:dyDescent="0.3">
      <c r="A332" s="2" t="s">
        <v>189</v>
      </c>
      <c r="B332" s="4" t="s">
        <v>13</v>
      </c>
      <c r="C332" s="2" t="s">
        <v>95</v>
      </c>
      <c r="D332" s="2" t="s">
        <v>182</v>
      </c>
      <c r="E332" s="16">
        <v>28</v>
      </c>
    </row>
    <row r="333" spans="1:5" x14ac:dyDescent="0.3">
      <c r="A333" s="2" t="s">
        <v>189</v>
      </c>
      <c r="B333" s="4" t="s">
        <v>13</v>
      </c>
      <c r="C333" s="2" t="s">
        <v>95</v>
      </c>
      <c r="D333" s="2" t="s">
        <v>183</v>
      </c>
      <c r="E333" s="16">
        <v>32</v>
      </c>
    </row>
    <row r="334" spans="1:5" x14ac:dyDescent="0.3">
      <c r="A334" s="2" t="s">
        <v>189</v>
      </c>
      <c r="B334" s="4" t="s">
        <v>12</v>
      </c>
      <c r="C334" s="2" t="s">
        <v>74</v>
      </c>
      <c r="D334" s="2" t="s">
        <v>161</v>
      </c>
      <c r="E334" s="12">
        <v>33</v>
      </c>
    </row>
    <row r="335" spans="1:5" x14ac:dyDescent="0.3">
      <c r="A335" s="2" t="s">
        <v>189</v>
      </c>
      <c r="B335" s="4" t="s">
        <v>12</v>
      </c>
      <c r="C335" s="2" t="s">
        <v>74</v>
      </c>
      <c r="D335" s="2" t="s">
        <v>162</v>
      </c>
      <c r="E335" s="13">
        <v>37</v>
      </c>
    </row>
    <row r="336" spans="1:5" x14ac:dyDescent="0.3">
      <c r="A336" s="2" t="s">
        <v>189</v>
      </c>
      <c r="B336" s="4" t="s">
        <v>12</v>
      </c>
      <c r="C336" s="2" t="s">
        <v>74</v>
      </c>
      <c r="D336" s="2" t="s">
        <v>163</v>
      </c>
      <c r="E336" s="13">
        <v>29</v>
      </c>
    </row>
    <row r="337" spans="1:5" x14ac:dyDescent="0.3">
      <c r="A337" s="2" t="s">
        <v>189</v>
      </c>
      <c r="B337" s="4" t="s">
        <v>12</v>
      </c>
      <c r="C337" s="2" t="s">
        <v>74</v>
      </c>
      <c r="D337" s="2" t="s">
        <v>164</v>
      </c>
      <c r="E337" s="13">
        <v>33</v>
      </c>
    </row>
    <row r="338" spans="1:5" x14ac:dyDescent="0.3">
      <c r="A338" s="2" t="s">
        <v>189</v>
      </c>
      <c r="B338" s="4" t="s">
        <v>12</v>
      </c>
      <c r="C338" s="2" t="s">
        <v>74</v>
      </c>
      <c r="D338" s="2" t="s">
        <v>165</v>
      </c>
      <c r="E338" s="14">
        <v>12</v>
      </c>
    </row>
    <row r="339" spans="1:5" x14ac:dyDescent="0.3">
      <c r="A339" s="2" t="s">
        <v>189</v>
      </c>
      <c r="B339" s="4" t="s">
        <v>12</v>
      </c>
      <c r="C339" s="2" t="s">
        <v>81</v>
      </c>
      <c r="D339" s="2" t="s">
        <v>166</v>
      </c>
      <c r="E339" s="15">
        <v>27</v>
      </c>
    </row>
    <row r="340" spans="1:5" x14ac:dyDescent="0.3">
      <c r="A340" s="2" t="s">
        <v>189</v>
      </c>
      <c r="B340" s="4" t="s">
        <v>12</v>
      </c>
      <c r="C340" s="2" t="s">
        <v>81</v>
      </c>
      <c r="D340" s="2" t="s">
        <v>167</v>
      </c>
      <c r="E340" s="14">
        <v>26</v>
      </c>
    </row>
    <row r="341" spans="1:5" x14ac:dyDescent="0.3">
      <c r="A341" s="2" t="s">
        <v>189</v>
      </c>
      <c r="B341" s="4" t="s">
        <v>12</v>
      </c>
      <c r="C341" s="2" t="s">
        <v>81</v>
      </c>
      <c r="D341" s="2" t="s">
        <v>168</v>
      </c>
      <c r="E341" s="14">
        <v>27</v>
      </c>
    </row>
    <row r="342" spans="1:5" x14ac:dyDescent="0.3">
      <c r="A342" s="2" t="s">
        <v>189</v>
      </c>
      <c r="B342" s="4" t="s">
        <v>12</v>
      </c>
      <c r="C342" s="2" t="s">
        <v>81</v>
      </c>
      <c r="D342" s="2" t="s">
        <v>169</v>
      </c>
      <c r="E342" s="14">
        <v>31</v>
      </c>
    </row>
    <row r="343" spans="1:5" x14ac:dyDescent="0.3">
      <c r="A343" s="2" t="s">
        <v>189</v>
      </c>
      <c r="B343" s="4" t="s">
        <v>12</v>
      </c>
      <c r="C343" s="2" t="s">
        <v>81</v>
      </c>
      <c r="D343" s="2" t="s">
        <v>170</v>
      </c>
      <c r="E343" s="14">
        <v>27</v>
      </c>
    </row>
    <row r="344" spans="1:5" x14ac:dyDescent="0.3">
      <c r="A344" s="2" t="s">
        <v>189</v>
      </c>
      <c r="B344" s="4" t="s">
        <v>12</v>
      </c>
      <c r="C344" s="2" t="s">
        <v>81</v>
      </c>
      <c r="D344" s="2" t="s">
        <v>171</v>
      </c>
      <c r="E344" s="14">
        <v>42</v>
      </c>
    </row>
    <row r="345" spans="1:5" x14ac:dyDescent="0.3">
      <c r="A345" s="2" t="s">
        <v>189</v>
      </c>
      <c r="B345" s="4" t="s">
        <v>12</v>
      </c>
      <c r="C345" s="2" t="s">
        <v>81</v>
      </c>
      <c r="D345" s="2" t="s">
        <v>172</v>
      </c>
      <c r="E345" s="11">
        <v>0</v>
      </c>
    </row>
    <row r="346" spans="1:5" x14ac:dyDescent="0.3">
      <c r="A346" s="2" t="s">
        <v>189</v>
      </c>
      <c r="B346" s="4" t="s">
        <v>12</v>
      </c>
      <c r="C346" s="2" t="s">
        <v>88</v>
      </c>
      <c r="D346" s="2" t="s">
        <v>173</v>
      </c>
      <c r="E346" s="15">
        <v>32</v>
      </c>
    </row>
    <row r="347" spans="1:5" x14ac:dyDescent="0.3">
      <c r="A347" s="2" t="s">
        <v>189</v>
      </c>
      <c r="B347" s="4" t="s">
        <v>12</v>
      </c>
      <c r="C347" s="2" t="s">
        <v>88</v>
      </c>
      <c r="D347" s="2" t="s">
        <v>174</v>
      </c>
      <c r="E347" s="14">
        <v>32</v>
      </c>
    </row>
    <row r="348" spans="1:5" x14ac:dyDescent="0.3">
      <c r="A348" s="2" t="s">
        <v>189</v>
      </c>
      <c r="B348" s="4" t="s">
        <v>12</v>
      </c>
      <c r="C348" s="2" t="s">
        <v>88</v>
      </c>
      <c r="D348" s="2" t="s">
        <v>175</v>
      </c>
      <c r="E348" s="14">
        <v>33</v>
      </c>
    </row>
    <row r="349" spans="1:5" x14ac:dyDescent="0.3">
      <c r="A349" s="2" t="s">
        <v>189</v>
      </c>
      <c r="B349" s="4" t="s">
        <v>12</v>
      </c>
      <c r="C349" s="2" t="s">
        <v>88</v>
      </c>
      <c r="D349" s="2" t="s">
        <v>176</v>
      </c>
      <c r="E349" s="14">
        <v>33</v>
      </c>
    </row>
    <row r="350" spans="1:5" x14ac:dyDescent="0.3">
      <c r="A350" s="2" t="s">
        <v>189</v>
      </c>
      <c r="B350" s="4" t="s">
        <v>12</v>
      </c>
      <c r="C350" s="2" t="s">
        <v>88</v>
      </c>
      <c r="D350" s="2" t="s">
        <v>177</v>
      </c>
      <c r="E350" s="14">
        <v>12</v>
      </c>
    </row>
    <row r="351" spans="1:5" x14ac:dyDescent="0.3">
      <c r="A351" s="2" t="s">
        <v>189</v>
      </c>
      <c r="B351" s="4" t="s">
        <v>12</v>
      </c>
      <c r="C351" s="2" t="s">
        <v>95</v>
      </c>
      <c r="D351" s="2" t="s">
        <v>178</v>
      </c>
      <c r="E351" s="16">
        <v>34</v>
      </c>
    </row>
    <row r="352" spans="1:5" x14ac:dyDescent="0.3">
      <c r="A352" s="2" t="s">
        <v>189</v>
      </c>
      <c r="B352" s="4" t="s">
        <v>12</v>
      </c>
      <c r="C352" s="2" t="s">
        <v>95</v>
      </c>
      <c r="D352" s="2" t="s">
        <v>179</v>
      </c>
      <c r="E352" s="16">
        <v>29</v>
      </c>
    </row>
    <row r="353" spans="1:5" x14ac:dyDescent="0.3">
      <c r="A353" s="2" t="s">
        <v>189</v>
      </c>
      <c r="B353" s="4" t="s">
        <v>12</v>
      </c>
      <c r="C353" s="2" t="s">
        <v>95</v>
      </c>
      <c r="D353" s="2" t="s">
        <v>180</v>
      </c>
      <c r="E353" s="16">
        <v>29</v>
      </c>
    </row>
    <row r="354" spans="1:5" x14ac:dyDescent="0.3">
      <c r="A354" s="2" t="s">
        <v>189</v>
      </c>
      <c r="B354" s="4" t="s">
        <v>12</v>
      </c>
      <c r="C354" s="2" t="s">
        <v>95</v>
      </c>
      <c r="D354" s="2" t="s">
        <v>181</v>
      </c>
      <c r="E354" s="16">
        <v>29</v>
      </c>
    </row>
    <row r="355" spans="1:5" x14ac:dyDescent="0.3">
      <c r="A355" s="2" t="s">
        <v>189</v>
      </c>
      <c r="B355" s="4" t="s">
        <v>12</v>
      </c>
      <c r="C355" s="2" t="s">
        <v>95</v>
      </c>
      <c r="D355" s="2" t="s">
        <v>182</v>
      </c>
      <c r="E355" s="16">
        <v>29</v>
      </c>
    </row>
    <row r="356" spans="1:5" x14ac:dyDescent="0.3">
      <c r="A356" s="2" t="s">
        <v>189</v>
      </c>
      <c r="B356" s="4" t="s">
        <v>12</v>
      </c>
      <c r="C356" s="2" t="s">
        <v>95</v>
      </c>
      <c r="D356" s="2" t="s">
        <v>183</v>
      </c>
      <c r="E356" s="16">
        <v>34</v>
      </c>
    </row>
    <row r="357" spans="1:5" x14ac:dyDescent="0.3">
      <c r="A357" s="2" t="s">
        <v>189</v>
      </c>
      <c r="B357" s="4" t="s">
        <v>190</v>
      </c>
      <c r="C357" s="2" t="s">
        <v>74</v>
      </c>
      <c r="D357" s="2" t="s">
        <v>161</v>
      </c>
      <c r="E357" s="12">
        <v>24</v>
      </c>
    </row>
    <row r="358" spans="1:5" x14ac:dyDescent="0.3">
      <c r="A358" s="2" t="s">
        <v>189</v>
      </c>
      <c r="B358" s="4" t="s">
        <v>190</v>
      </c>
      <c r="C358" s="2" t="s">
        <v>74</v>
      </c>
      <c r="D358" s="2" t="s">
        <v>162</v>
      </c>
      <c r="E358" s="13">
        <v>19</v>
      </c>
    </row>
    <row r="359" spans="1:5" x14ac:dyDescent="0.3">
      <c r="A359" s="2" t="s">
        <v>189</v>
      </c>
      <c r="B359" s="4" t="s">
        <v>190</v>
      </c>
      <c r="C359" s="2" t="s">
        <v>74</v>
      </c>
      <c r="D359" s="2" t="s">
        <v>163</v>
      </c>
      <c r="E359" s="13">
        <v>17</v>
      </c>
    </row>
    <row r="360" spans="1:5" x14ac:dyDescent="0.3">
      <c r="A360" s="2" t="s">
        <v>189</v>
      </c>
      <c r="B360" s="4" t="s">
        <v>190</v>
      </c>
      <c r="C360" s="2" t="s">
        <v>74</v>
      </c>
      <c r="D360" s="2" t="s">
        <v>164</v>
      </c>
      <c r="E360" s="13">
        <v>18</v>
      </c>
    </row>
    <row r="361" spans="1:5" x14ac:dyDescent="0.3">
      <c r="A361" s="2" t="s">
        <v>189</v>
      </c>
      <c r="B361" s="4" t="s">
        <v>190</v>
      </c>
      <c r="C361" s="2" t="s">
        <v>74</v>
      </c>
      <c r="D361" s="2" t="s">
        <v>165</v>
      </c>
      <c r="E361" s="14">
        <v>12</v>
      </c>
    </row>
    <row r="362" spans="1:5" x14ac:dyDescent="0.3">
      <c r="A362" s="2" t="s">
        <v>189</v>
      </c>
      <c r="B362" s="4" t="s">
        <v>190</v>
      </c>
      <c r="C362" s="2" t="s">
        <v>81</v>
      </c>
      <c r="D362" s="2" t="s">
        <v>166</v>
      </c>
      <c r="E362" s="15">
        <v>29</v>
      </c>
    </row>
    <row r="363" spans="1:5" x14ac:dyDescent="0.3">
      <c r="A363" s="2" t="s">
        <v>189</v>
      </c>
      <c r="B363" s="4" t="s">
        <v>190</v>
      </c>
      <c r="C363" s="2" t="s">
        <v>81</v>
      </c>
      <c r="D363" s="2" t="s">
        <v>167</v>
      </c>
      <c r="E363" s="14">
        <v>29</v>
      </c>
    </row>
    <row r="364" spans="1:5" x14ac:dyDescent="0.3">
      <c r="A364" s="2" t="s">
        <v>189</v>
      </c>
      <c r="B364" s="4" t="s">
        <v>190</v>
      </c>
      <c r="C364" s="2" t="s">
        <v>81</v>
      </c>
      <c r="D364" s="2" t="s">
        <v>168</v>
      </c>
      <c r="E364" s="14">
        <v>26</v>
      </c>
    </row>
    <row r="365" spans="1:5" x14ac:dyDescent="0.3">
      <c r="A365" s="2" t="s">
        <v>189</v>
      </c>
      <c r="B365" s="4" t="s">
        <v>190</v>
      </c>
      <c r="C365" s="2" t="s">
        <v>81</v>
      </c>
      <c r="D365" s="2" t="s">
        <v>169</v>
      </c>
      <c r="E365" s="14">
        <v>32</v>
      </c>
    </row>
    <row r="366" spans="1:5" x14ac:dyDescent="0.3">
      <c r="A366" s="2" t="s">
        <v>189</v>
      </c>
      <c r="B366" s="4" t="s">
        <v>190</v>
      </c>
      <c r="C366" s="2" t="s">
        <v>81</v>
      </c>
      <c r="D366" s="2" t="s">
        <v>170</v>
      </c>
      <c r="E366" s="14">
        <v>27</v>
      </c>
    </row>
    <row r="367" spans="1:5" x14ac:dyDescent="0.3">
      <c r="A367" s="2" t="s">
        <v>189</v>
      </c>
      <c r="B367" s="4" t="s">
        <v>190</v>
      </c>
      <c r="C367" s="2" t="s">
        <v>81</v>
      </c>
      <c r="D367" s="2" t="s">
        <v>171</v>
      </c>
      <c r="E367" s="14">
        <v>30</v>
      </c>
    </row>
    <row r="368" spans="1:5" x14ac:dyDescent="0.3">
      <c r="A368" s="2" t="s">
        <v>189</v>
      </c>
      <c r="B368" s="4" t="s">
        <v>190</v>
      </c>
      <c r="C368" s="2" t="s">
        <v>81</v>
      </c>
      <c r="D368" s="2" t="s">
        <v>172</v>
      </c>
      <c r="E368" s="11">
        <v>0</v>
      </c>
    </row>
    <row r="369" spans="1:5" x14ac:dyDescent="0.3">
      <c r="A369" s="2" t="s">
        <v>189</v>
      </c>
      <c r="B369" s="4" t="s">
        <v>190</v>
      </c>
      <c r="C369" s="2" t="s">
        <v>88</v>
      </c>
      <c r="D369" s="2" t="s">
        <v>173</v>
      </c>
      <c r="E369" s="15">
        <v>29</v>
      </c>
    </row>
    <row r="370" spans="1:5" x14ac:dyDescent="0.3">
      <c r="A370" s="2" t="s">
        <v>189</v>
      </c>
      <c r="B370" s="4" t="s">
        <v>190</v>
      </c>
      <c r="C370" s="2" t="s">
        <v>88</v>
      </c>
      <c r="D370" s="2" t="s">
        <v>174</v>
      </c>
      <c r="E370" s="14">
        <v>29</v>
      </c>
    </row>
    <row r="371" spans="1:5" x14ac:dyDescent="0.3">
      <c r="A371" s="2" t="s">
        <v>189</v>
      </c>
      <c r="B371" s="4" t="s">
        <v>190</v>
      </c>
      <c r="C371" s="2" t="s">
        <v>88</v>
      </c>
      <c r="D371" s="2" t="s">
        <v>175</v>
      </c>
      <c r="E371" s="14">
        <v>28</v>
      </c>
    </row>
    <row r="372" spans="1:5" x14ac:dyDescent="0.3">
      <c r="A372" s="2" t="s">
        <v>189</v>
      </c>
      <c r="B372" s="4" t="s">
        <v>190</v>
      </c>
      <c r="C372" s="2" t="s">
        <v>88</v>
      </c>
      <c r="D372" s="2" t="s">
        <v>176</v>
      </c>
      <c r="E372" s="14">
        <v>19</v>
      </c>
    </row>
    <row r="373" spans="1:5" x14ac:dyDescent="0.3">
      <c r="A373" s="2" t="s">
        <v>189</v>
      </c>
      <c r="B373" s="4" t="s">
        <v>190</v>
      </c>
      <c r="C373" s="2" t="s">
        <v>88</v>
      </c>
      <c r="D373" s="2" t="s">
        <v>177</v>
      </c>
      <c r="E373" s="14">
        <v>10</v>
      </c>
    </row>
    <row r="374" spans="1:5" x14ac:dyDescent="0.3">
      <c r="A374" s="2" t="s">
        <v>189</v>
      </c>
      <c r="B374" s="4" t="s">
        <v>190</v>
      </c>
      <c r="C374" s="2" t="s">
        <v>95</v>
      </c>
      <c r="D374" s="2" t="s">
        <v>178</v>
      </c>
      <c r="E374" s="16">
        <v>32</v>
      </c>
    </row>
    <row r="375" spans="1:5" x14ac:dyDescent="0.3">
      <c r="A375" s="2" t="s">
        <v>189</v>
      </c>
      <c r="B375" s="4" t="s">
        <v>190</v>
      </c>
      <c r="C375" s="2" t="s">
        <v>95</v>
      </c>
      <c r="D375" s="2" t="s">
        <v>179</v>
      </c>
      <c r="E375" s="16">
        <v>28</v>
      </c>
    </row>
    <row r="376" spans="1:5" x14ac:dyDescent="0.3">
      <c r="A376" s="2" t="s">
        <v>189</v>
      </c>
      <c r="B376" s="4" t="s">
        <v>190</v>
      </c>
      <c r="C376" s="2" t="s">
        <v>95</v>
      </c>
      <c r="D376" s="2" t="s">
        <v>180</v>
      </c>
      <c r="E376" s="16">
        <v>28</v>
      </c>
    </row>
    <row r="377" spans="1:5" x14ac:dyDescent="0.3">
      <c r="A377" s="2" t="s">
        <v>189</v>
      </c>
      <c r="B377" s="4" t="s">
        <v>190</v>
      </c>
      <c r="C377" s="2" t="s">
        <v>95</v>
      </c>
      <c r="D377" s="2" t="s">
        <v>181</v>
      </c>
      <c r="E377" s="16">
        <v>28</v>
      </c>
    </row>
    <row r="378" spans="1:5" x14ac:dyDescent="0.3">
      <c r="A378" s="2" t="s">
        <v>189</v>
      </c>
      <c r="B378" s="4" t="s">
        <v>190</v>
      </c>
      <c r="C378" s="2" t="s">
        <v>95</v>
      </c>
      <c r="D378" s="2" t="s">
        <v>182</v>
      </c>
      <c r="E378" s="16">
        <v>28</v>
      </c>
    </row>
    <row r="379" spans="1:5" x14ac:dyDescent="0.3">
      <c r="A379" s="2" t="s">
        <v>189</v>
      </c>
      <c r="B379" s="4" t="s">
        <v>190</v>
      </c>
      <c r="C379" s="2" t="s">
        <v>95</v>
      </c>
      <c r="D379" s="2" t="s">
        <v>183</v>
      </c>
      <c r="E379" s="16">
        <v>32</v>
      </c>
    </row>
    <row r="380" spans="1:5" x14ac:dyDescent="0.3">
      <c r="A380" s="2" t="s">
        <v>189</v>
      </c>
      <c r="B380" s="4" t="s">
        <v>191</v>
      </c>
      <c r="C380" s="2" t="s">
        <v>74</v>
      </c>
      <c r="D380" s="2" t="s">
        <v>161</v>
      </c>
      <c r="E380" s="11">
        <v>0</v>
      </c>
    </row>
    <row r="381" spans="1:5" x14ac:dyDescent="0.3">
      <c r="A381" s="2" t="s">
        <v>189</v>
      </c>
      <c r="B381" s="4" t="s">
        <v>191</v>
      </c>
      <c r="C381" s="2" t="s">
        <v>74</v>
      </c>
      <c r="D381" s="2" t="s">
        <v>162</v>
      </c>
      <c r="E381" s="11">
        <v>0</v>
      </c>
    </row>
    <row r="382" spans="1:5" x14ac:dyDescent="0.3">
      <c r="A382" s="2" t="s">
        <v>189</v>
      </c>
      <c r="B382" s="4" t="s">
        <v>191</v>
      </c>
      <c r="C382" s="2" t="s">
        <v>74</v>
      </c>
      <c r="D382" s="2" t="s">
        <v>163</v>
      </c>
      <c r="E382" s="11">
        <v>0</v>
      </c>
    </row>
    <row r="383" spans="1:5" x14ac:dyDescent="0.3">
      <c r="A383" s="2" t="s">
        <v>189</v>
      </c>
      <c r="B383" s="4" t="s">
        <v>191</v>
      </c>
      <c r="C383" s="2" t="s">
        <v>74</v>
      </c>
      <c r="D383" s="2" t="s">
        <v>164</v>
      </c>
      <c r="E383" s="11">
        <v>0</v>
      </c>
    </row>
    <row r="384" spans="1:5" x14ac:dyDescent="0.3">
      <c r="A384" s="2" t="s">
        <v>189</v>
      </c>
      <c r="B384" s="4" t="s">
        <v>191</v>
      </c>
      <c r="C384" s="2" t="s">
        <v>74</v>
      </c>
      <c r="D384" s="2" t="s">
        <v>165</v>
      </c>
      <c r="E384" s="11">
        <v>0</v>
      </c>
    </row>
    <row r="385" spans="1:5" x14ac:dyDescent="0.3">
      <c r="A385" s="2" t="s">
        <v>189</v>
      </c>
      <c r="B385" s="4" t="s">
        <v>191</v>
      </c>
      <c r="C385" s="2" t="s">
        <v>81</v>
      </c>
      <c r="D385" s="2" t="s">
        <v>166</v>
      </c>
      <c r="E385" s="11">
        <v>0</v>
      </c>
    </row>
    <row r="386" spans="1:5" x14ac:dyDescent="0.3">
      <c r="A386" s="2" t="s">
        <v>189</v>
      </c>
      <c r="B386" s="4" t="s">
        <v>191</v>
      </c>
      <c r="C386" s="2" t="s">
        <v>81</v>
      </c>
      <c r="D386" s="2" t="s">
        <v>167</v>
      </c>
      <c r="E386" s="11">
        <v>0</v>
      </c>
    </row>
    <row r="387" spans="1:5" x14ac:dyDescent="0.3">
      <c r="A387" s="2" t="s">
        <v>189</v>
      </c>
      <c r="B387" s="4" t="s">
        <v>191</v>
      </c>
      <c r="C387" s="2" t="s">
        <v>81</v>
      </c>
      <c r="D387" s="2" t="s">
        <v>168</v>
      </c>
      <c r="E387" s="11">
        <v>0</v>
      </c>
    </row>
    <row r="388" spans="1:5" x14ac:dyDescent="0.3">
      <c r="A388" s="2" t="s">
        <v>189</v>
      </c>
      <c r="B388" s="4" t="s">
        <v>191</v>
      </c>
      <c r="C388" s="2" t="s">
        <v>81</v>
      </c>
      <c r="D388" s="2" t="s">
        <v>169</v>
      </c>
      <c r="E388" s="11">
        <v>0</v>
      </c>
    </row>
    <row r="389" spans="1:5" x14ac:dyDescent="0.3">
      <c r="A389" s="2" t="s">
        <v>189</v>
      </c>
      <c r="B389" s="4" t="s">
        <v>191</v>
      </c>
      <c r="C389" s="2" t="s">
        <v>81</v>
      </c>
      <c r="D389" s="2" t="s">
        <v>170</v>
      </c>
      <c r="E389" s="11">
        <v>0</v>
      </c>
    </row>
    <row r="390" spans="1:5" x14ac:dyDescent="0.3">
      <c r="A390" s="2" t="s">
        <v>189</v>
      </c>
      <c r="B390" s="4" t="s">
        <v>191</v>
      </c>
      <c r="C390" s="2" t="s">
        <v>81</v>
      </c>
      <c r="D390" s="2" t="s">
        <v>171</v>
      </c>
      <c r="E390" s="11">
        <v>0</v>
      </c>
    </row>
    <row r="391" spans="1:5" x14ac:dyDescent="0.3">
      <c r="A391" s="2" t="s">
        <v>189</v>
      </c>
      <c r="B391" s="4" t="s">
        <v>191</v>
      </c>
      <c r="C391" s="2" t="s">
        <v>81</v>
      </c>
      <c r="D391" s="2" t="s">
        <v>172</v>
      </c>
      <c r="E391" s="11">
        <v>0</v>
      </c>
    </row>
    <row r="392" spans="1:5" x14ac:dyDescent="0.3">
      <c r="A392" s="2" t="s">
        <v>189</v>
      </c>
      <c r="B392" s="4" t="s">
        <v>191</v>
      </c>
      <c r="C392" s="2" t="s">
        <v>88</v>
      </c>
      <c r="D392" s="2" t="s">
        <v>173</v>
      </c>
      <c r="E392" s="15">
        <v>24</v>
      </c>
    </row>
    <row r="393" spans="1:5" x14ac:dyDescent="0.3">
      <c r="A393" s="2" t="s">
        <v>189</v>
      </c>
      <c r="B393" s="4" t="s">
        <v>191</v>
      </c>
      <c r="C393" s="2" t="s">
        <v>88</v>
      </c>
      <c r="D393" s="2" t="s">
        <v>174</v>
      </c>
      <c r="E393" s="14">
        <v>41</v>
      </c>
    </row>
    <row r="394" spans="1:5" x14ac:dyDescent="0.3">
      <c r="A394" s="2" t="s">
        <v>189</v>
      </c>
      <c r="B394" s="4" t="s">
        <v>191</v>
      </c>
      <c r="C394" s="2" t="s">
        <v>88</v>
      </c>
      <c r="D394" s="2" t="s">
        <v>175</v>
      </c>
      <c r="E394" s="14">
        <v>41</v>
      </c>
    </row>
    <row r="395" spans="1:5" x14ac:dyDescent="0.3">
      <c r="A395" s="2" t="s">
        <v>189</v>
      </c>
      <c r="B395" s="4" t="s">
        <v>191</v>
      </c>
      <c r="C395" s="2" t="s">
        <v>88</v>
      </c>
      <c r="D395" s="2" t="s">
        <v>176</v>
      </c>
      <c r="E395" s="14">
        <v>35</v>
      </c>
    </row>
    <row r="396" spans="1:5" x14ac:dyDescent="0.3">
      <c r="A396" s="2" t="s">
        <v>189</v>
      </c>
      <c r="B396" s="4" t="s">
        <v>191</v>
      </c>
      <c r="C396" s="2" t="s">
        <v>88</v>
      </c>
      <c r="D396" s="2" t="s">
        <v>177</v>
      </c>
      <c r="E396" s="14">
        <v>23</v>
      </c>
    </row>
    <row r="397" spans="1:5" x14ac:dyDescent="0.3">
      <c r="A397" s="2" t="s">
        <v>189</v>
      </c>
      <c r="B397" s="4" t="s">
        <v>191</v>
      </c>
      <c r="C397" s="2" t="s">
        <v>95</v>
      </c>
      <c r="D397" s="2" t="s">
        <v>178</v>
      </c>
      <c r="E397" s="16">
        <v>37</v>
      </c>
    </row>
    <row r="398" spans="1:5" x14ac:dyDescent="0.3">
      <c r="A398" s="2" t="s">
        <v>189</v>
      </c>
      <c r="B398" s="4" t="s">
        <v>191</v>
      </c>
      <c r="C398" s="2" t="s">
        <v>95</v>
      </c>
      <c r="D398" s="2" t="s">
        <v>179</v>
      </c>
      <c r="E398" s="16">
        <v>32</v>
      </c>
    </row>
    <row r="399" spans="1:5" x14ac:dyDescent="0.3">
      <c r="A399" s="2" t="s">
        <v>189</v>
      </c>
      <c r="B399" s="4" t="s">
        <v>191</v>
      </c>
      <c r="C399" s="2" t="s">
        <v>95</v>
      </c>
      <c r="D399" s="2" t="s">
        <v>180</v>
      </c>
      <c r="E399" s="16">
        <v>32</v>
      </c>
    </row>
    <row r="400" spans="1:5" x14ac:dyDescent="0.3">
      <c r="A400" s="2" t="s">
        <v>189</v>
      </c>
      <c r="B400" s="4" t="s">
        <v>191</v>
      </c>
      <c r="C400" s="2" t="s">
        <v>95</v>
      </c>
      <c r="D400" s="2" t="s">
        <v>181</v>
      </c>
      <c r="E400" s="16">
        <v>32</v>
      </c>
    </row>
    <row r="401" spans="1:5" x14ac:dyDescent="0.3">
      <c r="A401" s="2" t="s">
        <v>189</v>
      </c>
      <c r="B401" s="4" t="s">
        <v>191</v>
      </c>
      <c r="C401" s="2" t="s">
        <v>95</v>
      </c>
      <c r="D401" s="2" t="s">
        <v>182</v>
      </c>
      <c r="E401" s="16">
        <v>32</v>
      </c>
    </row>
    <row r="402" spans="1:5" x14ac:dyDescent="0.3">
      <c r="A402" s="8" t="s">
        <v>189</v>
      </c>
      <c r="B402" s="9" t="s">
        <v>191</v>
      </c>
      <c r="C402" s="8" t="s">
        <v>95</v>
      </c>
      <c r="D402" s="8" t="s">
        <v>183</v>
      </c>
      <c r="E402" s="17">
        <v>37</v>
      </c>
    </row>
    <row r="403" spans="1:5" x14ac:dyDescent="0.3">
      <c r="A403" s="8" t="s">
        <v>189</v>
      </c>
      <c r="B403" s="9" t="s">
        <v>192</v>
      </c>
      <c r="C403" s="2" t="s">
        <v>74</v>
      </c>
      <c r="D403" s="2" t="s">
        <v>161</v>
      </c>
      <c r="E403" s="11">
        <v>0</v>
      </c>
    </row>
    <row r="404" spans="1:5" x14ac:dyDescent="0.3">
      <c r="A404" s="8" t="s">
        <v>189</v>
      </c>
      <c r="B404" s="9" t="s">
        <v>192</v>
      </c>
      <c r="C404" s="2" t="s">
        <v>74</v>
      </c>
      <c r="D404" s="2" t="s">
        <v>162</v>
      </c>
      <c r="E404" s="11">
        <v>0</v>
      </c>
    </row>
    <row r="405" spans="1:5" x14ac:dyDescent="0.3">
      <c r="A405" s="8" t="s">
        <v>189</v>
      </c>
      <c r="B405" s="9" t="s">
        <v>192</v>
      </c>
      <c r="C405" s="2" t="s">
        <v>74</v>
      </c>
      <c r="D405" s="2" t="s">
        <v>163</v>
      </c>
      <c r="E405" s="11">
        <v>0</v>
      </c>
    </row>
    <row r="406" spans="1:5" x14ac:dyDescent="0.3">
      <c r="A406" s="8" t="s">
        <v>189</v>
      </c>
      <c r="B406" s="9" t="s">
        <v>192</v>
      </c>
      <c r="C406" s="2" t="s">
        <v>74</v>
      </c>
      <c r="D406" s="2" t="s">
        <v>164</v>
      </c>
      <c r="E406" s="11">
        <v>0</v>
      </c>
    </row>
    <row r="407" spans="1:5" x14ac:dyDescent="0.3">
      <c r="A407" s="8" t="s">
        <v>189</v>
      </c>
      <c r="B407" s="9" t="s">
        <v>192</v>
      </c>
      <c r="C407" s="2" t="s">
        <v>74</v>
      </c>
      <c r="D407" s="2" t="s">
        <v>165</v>
      </c>
      <c r="E407" s="11">
        <v>0</v>
      </c>
    </row>
    <row r="408" spans="1:5" x14ac:dyDescent="0.3">
      <c r="A408" s="8" t="s">
        <v>189</v>
      </c>
      <c r="B408" s="9" t="s">
        <v>192</v>
      </c>
      <c r="C408" s="2" t="s">
        <v>81</v>
      </c>
      <c r="D408" s="2" t="s">
        <v>166</v>
      </c>
      <c r="E408" s="11">
        <v>0</v>
      </c>
    </row>
    <row r="409" spans="1:5" x14ac:dyDescent="0.3">
      <c r="A409" s="8" t="s">
        <v>189</v>
      </c>
      <c r="B409" s="9" t="s">
        <v>192</v>
      </c>
      <c r="C409" s="2" t="s">
        <v>81</v>
      </c>
      <c r="D409" s="2" t="s">
        <v>167</v>
      </c>
      <c r="E409" s="11">
        <v>0</v>
      </c>
    </row>
    <row r="410" spans="1:5" x14ac:dyDescent="0.3">
      <c r="A410" s="8" t="s">
        <v>189</v>
      </c>
      <c r="B410" s="9" t="s">
        <v>192</v>
      </c>
      <c r="C410" s="2" t="s">
        <v>81</v>
      </c>
      <c r="D410" s="2" t="s">
        <v>168</v>
      </c>
      <c r="E410" s="11">
        <v>0</v>
      </c>
    </row>
    <row r="411" spans="1:5" x14ac:dyDescent="0.3">
      <c r="A411" s="8" t="s">
        <v>189</v>
      </c>
      <c r="B411" s="9" t="s">
        <v>192</v>
      </c>
      <c r="C411" s="2" t="s">
        <v>81</v>
      </c>
      <c r="D411" s="2" t="s">
        <v>169</v>
      </c>
      <c r="E411" s="11">
        <v>0</v>
      </c>
    </row>
    <row r="412" spans="1:5" x14ac:dyDescent="0.3">
      <c r="A412" s="8" t="s">
        <v>189</v>
      </c>
      <c r="B412" s="9" t="s">
        <v>192</v>
      </c>
      <c r="C412" s="2" t="s">
        <v>81</v>
      </c>
      <c r="D412" s="2" t="s">
        <v>170</v>
      </c>
      <c r="E412" s="11">
        <v>0</v>
      </c>
    </row>
    <row r="413" spans="1:5" x14ac:dyDescent="0.3">
      <c r="A413" s="8" t="s">
        <v>189</v>
      </c>
      <c r="B413" s="9" t="s">
        <v>192</v>
      </c>
      <c r="C413" s="2" t="s">
        <v>81</v>
      </c>
      <c r="D413" s="2" t="s">
        <v>171</v>
      </c>
      <c r="E413" s="11">
        <v>0</v>
      </c>
    </row>
    <row r="414" spans="1:5" x14ac:dyDescent="0.3">
      <c r="A414" s="8" t="s">
        <v>189</v>
      </c>
      <c r="B414" s="9" t="s">
        <v>192</v>
      </c>
      <c r="C414" s="2" t="s">
        <v>81</v>
      </c>
      <c r="D414" s="2" t="s">
        <v>172</v>
      </c>
      <c r="E414" s="11">
        <v>0</v>
      </c>
    </row>
    <row r="415" spans="1:5" x14ac:dyDescent="0.3">
      <c r="A415" s="8" t="s">
        <v>189</v>
      </c>
      <c r="B415" s="9" t="s">
        <v>192</v>
      </c>
      <c r="C415" s="2" t="s">
        <v>88</v>
      </c>
      <c r="D415" s="2" t="s">
        <v>173</v>
      </c>
      <c r="E415" s="15">
        <v>13</v>
      </c>
    </row>
    <row r="416" spans="1:5" x14ac:dyDescent="0.3">
      <c r="A416" s="8" t="s">
        <v>189</v>
      </c>
      <c r="B416" s="9" t="s">
        <v>192</v>
      </c>
      <c r="C416" s="2" t="s">
        <v>88</v>
      </c>
      <c r="D416" s="2" t="s">
        <v>174</v>
      </c>
      <c r="E416" s="14">
        <v>24</v>
      </c>
    </row>
    <row r="417" spans="1:7" x14ac:dyDescent="0.3">
      <c r="A417" s="8" t="s">
        <v>189</v>
      </c>
      <c r="B417" s="9" t="s">
        <v>192</v>
      </c>
      <c r="C417" s="2" t="s">
        <v>88</v>
      </c>
      <c r="D417" s="2" t="s">
        <v>175</v>
      </c>
      <c r="E417" s="14">
        <v>28</v>
      </c>
    </row>
    <row r="418" spans="1:7" x14ac:dyDescent="0.3">
      <c r="A418" s="8" t="s">
        <v>189</v>
      </c>
      <c r="B418" s="9" t="s">
        <v>192</v>
      </c>
      <c r="C418" s="2" t="s">
        <v>88</v>
      </c>
      <c r="D418" s="2" t="s">
        <v>176</v>
      </c>
      <c r="E418" s="14">
        <v>22</v>
      </c>
    </row>
    <row r="419" spans="1:7" x14ac:dyDescent="0.3">
      <c r="A419" s="8" t="s">
        <v>189</v>
      </c>
      <c r="B419" s="9" t="s">
        <v>192</v>
      </c>
      <c r="C419" s="2" t="s">
        <v>88</v>
      </c>
      <c r="D419" s="2" t="s">
        <v>177</v>
      </c>
      <c r="E419" s="14">
        <v>16</v>
      </c>
    </row>
    <row r="420" spans="1:7" x14ac:dyDescent="0.3">
      <c r="A420" s="8" t="s">
        <v>189</v>
      </c>
      <c r="B420" s="9" t="s">
        <v>192</v>
      </c>
      <c r="C420" s="2" t="s">
        <v>95</v>
      </c>
      <c r="D420" s="2" t="s">
        <v>178</v>
      </c>
      <c r="E420" s="17">
        <v>27</v>
      </c>
    </row>
    <row r="421" spans="1:7" x14ac:dyDescent="0.3">
      <c r="A421" s="8" t="s">
        <v>189</v>
      </c>
      <c r="B421" s="9" t="s">
        <v>192</v>
      </c>
      <c r="C421" s="2" t="s">
        <v>95</v>
      </c>
      <c r="D421" s="2" t="s">
        <v>179</v>
      </c>
      <c r="E421" s="17">
        <v>24</v>
      </c>
    </row>
    <row r="422" spans="1:7" x14ac:dyDescent="0.3">
      <c r="A422" s="8" t="s">
        <v>189</v>
      </c>
      <c r="B422" s="9" t="s">
        <v>192</v>
      </c>
      <c r="C422" s="2" t="s">
        <v>95</v>
      </c>
      <c r="D422" s="2" t="s">
        <v>180</v>
      </c>
      <c r="E422" s="17">
        <v>24</v>
      </c>
    </row>
    <row r="423" spans="1:7" x14ac:dyDescent="0.3">
      <c r="A423" s="8" t="s">
        <v>189</v>
      </c>
      <c r="B423" s="9" t="s">
        <v>192</v>
      </c>
      <c r="C423" s="2" t="s">
        <v>95</v>
      </c>
      <c r="D423" s="2" t="s">
        <v>181</v>
      </c>
      <c r="E423" s="17">
        <v>24</v>
      </c>
    </row>
    <row r="424" spans="1:7" x14ac:dyDescent="0.3">
      <c r="A424" s="8" t="s">
        <v>189</v>
      </c>
      <c r="B424" s="9" t="s">
        <v>192</v>
      </c>
      <c r="C424" s="2" t="s">
        <v>95</v>
      </c>
      <c r="D424" s="2" t="s">
        <v>182</v>
      </c>
      <c r="E424" s="17">
        <v>24</v>
      </c>
    </row>
    <row r="425" spans="1:7" x14ac:dyDescent="0.3">
      <c r="A425" s="8" t="s">
        <v>189</v>
      </c>
      <c r="B425" s="9" t="s">
        <v>192</v>
      </c>
      <c r="C425" s="8" t="s">
        <v>95</v>
      </c>
      <c r="D425" s="8" t="s">
        <v>183</v>
      </c>
      <c r="E425" s="17">
        <v>27</v>
      </c>
    </row>
    <row r="426" spans="1:7" x14ac:dyDescent="0.3">
      <c r="A426" s="2" t="s">
        <v>193</v>
      </c>
      <c r="B426" s="4" t="s">
        <v>3</v>
      </c>
      <c r="C426" s="2" t="s">
        <v>74</v>
      </c>
      <c r="D426" s="2" t="s">
        <v>161</v>
      </c>
      <c r="E426" s="6">
        <v>5</v>
      </c>
      <c r="G426" s="28"/>
    </row>
    <row r="427" spans="1:7" x14ac:dyDescent="0.3">
      <c r="A427" s="2" t="s">
        <v>193</v>
      </c>
      <c r="B427" s="4" t="s">
        <v>3</v>
      </c>
      <c r="C427" s="2" t="s">
        <v>74</v>
      </c>
      <c r="D427" s="2" t="s">
        <v>162</v>
      </c>
      <c r="E427" s="6">
        <v>8</v>
      </c>
    </row>
    <row r="428" spans="1:7" x14ac:dyDescent="0.3">
      <c r="A428" s="2" t="s">
        <v>193</v>
      </c>
      <c r="B428" s="4" t="s">
        <v>3</v>
      </c>
      <c r="C428" s="2" t="s">
        <v>74</v>
      </c>
      <c r="D428" s="2" t="s">
        <v>163</v>
      </c>
      <c r="E428" s="6">
        <v>3</v>
      </c>
    </row>
    <row r="429" spans="1:7" x14ac:dyDescent="0.3">
      <c r="A429" s="2" t="s">
        <v>193</v>
      </c>
      <c r="B429" s="4" t="s">
        <v>3</v>
      </c>
      <c r="C429" s="2" t="s">
        <v>74</v>
      </c>
      <c r="D429" s="2" t="s">
        <v>164</v>
      </c>
      <c r="E429" s="6">
        <v>3</v>
      </c>
    </row>
    <row r="430" spans="1:7" x14ac:dyDescent="0.3">
      <c r="A430" s="2" t="s">
        <v>193</v>
      </c>
      <c r="B430" s="4" t="s">
        <v>3</v>
      </c>
      <c r="C430" s="2" t="s">
        <v>74</v>
      </c>
      <c r="D430" s="2" t="s">
        <v>165</v>
      </c>
      <c r="E430" s="6">
        <v>8</v>
      </c>
    </row>
    <row r="431" spans="1:7" x14ac:dyDescent="0.3">
      <c r="A431" s="2" t="s">
        <v>193</v>
      </c>
      <c r="B431" s="4" t="s">
        <v>3</v>
      </c>
      <c r="C431" s="2" t="s">
        <v>81</v>
      </c>
      <c r="D431" s="2" t="s">
        <v>166</v>
      </c>
      <c r="E431" s="6">
        <v>1</v>
      </c>
    </row>
    <row r="432" spans="1:7" x14ac:dyDescent="0.3">
      <c r="A432" s="2" t="s">
        <v>193</v>
      </c>
      <c r="B432" s="4" t="s">
        <v>3</v>
      </c>
      <c r="C432" s="2" t="s">
        <v>81</v>
      </c>
      <c r="D432" s="2" t="s">
        <v>167</v>
      </c>
      <c r="E432" s="6">
        <v>7</v>
      </c>
    </row>
    <row r="433" spans="1:7" x14ac:dyDescent="0.3">
      <c r="A433" s="2" t="s">
        <v>193</v>
      </c>
      <c r="B433" s="4" t="s">
        <v>3</v>
      </c>
      <c r="C433" s="2" t="s">
        <v>81</v>
      </c>
      <c r="D433" s="2" t="s">
        <v>168</v>
      </c>
      <c r="E433" s="6">
        <v>3</v>
      </c>
    </row>
    <row r="434" spans="1:7" x14ac:dyDescent="0.3">
      <c r="A434" s="2" t="s">
        <v>193</v>
      </c>
      <c r="B434" s="4" t="s">
        <v>3</v>
      </c>
      <c r="C434" s="2" t="s">
        <v>81</v>
      </c>
      <c r="D434" s="2" t="s">
        <v>169</v>
      </c>
      <c r="E434" s="6">
        <v>42</v>
      </c>
    </row>
    <row r="435" spans="1:7" x14ac:dyDescent="0.3">
      <c r="A435" s="2" t="s">
        <v>193</v>
      </c>
      <c r="B435" s="4" t="s">
        <v>3</v>
      </c>
      <c r="C435" s="2" t="s">
        <v>81</v>
      </c>
      <c r="D435" s="2" t="s">
        <v>170</v>
      </c>
      <c r="E435" s="6">
        <v>9</v>
      </c>
      <c r="G435" s="20">
        <v>36</v>
      </c>
    </row>
    <row r="436" spans="1:7" x14ac:dyDescent="0.3">
      <c r="A436" s="2" t="s">
        <v>193</v>
      </c>
      <c r="B436" s="4" t="s">
        <v>3</v>
      </c>
      <c r="C436" s="2" t="s">
        <v>81</v>
      </c>
      <c r="D436" s="2" t="s">
        <v>171</v>
      </c>
      <c r="E436" s="6">
        <v>63</v>
      </c>
    </row>
    <row r="437" spans="1:7" x14ac:dyDescent="0.3">
      <c r="A437" s="2" t="s">
        <v>193</v>
      </c>
      <c r="B437" s="4" t="s">
        <v>3</v>
      </c>
      <c r="C437" s="2" t="s">
        <v>81</v>
      </c>
      <c r="D437" s="2" t="s">
        <v>172</v>
      </c>
      <c r="E437" s="6">
        <v>40</v>
      </c>
    </row>
    <row r="438" spans="1:7" x14ac:dyDescent="0.3">
      <c r="A438" s="2" t="s">
        <v>193</v>
      </c>
      <c r="B438" s="4" t="s">
        <v>3</v>
      </c>
      <c r="C438" s="2" t="s">
        <v>88</v>
      </c>
      <c r="D438" s="2" t="s">
        <v>173</v>
      </c>
      <c r="E438" s="6">
        <v>41</v>
      </c>
    </row>
    <row r="439" spans="1:7" x14ac:dyDescent="0.3">
      <c r="A439" s="2" t="s">
        <v>193</v>
      </c>
      <c r="B439" s="4" t="s">
        <v>3</v>
      </c>
      <c r="C439" s="2" t="s">
        <v>88</v>
      </c>
      <c r="D439" s="2" t="s">
        <v>174</v>
      </c>
      <c r="E439" s="6">
        <v>32</v>
      </c>
    </row>
    <row r="440" spans="1:7" x14ac:dyDescent="0.3">
      <c r="A440" s="2" t="s">
        <v>193</v>
      </c>
      <c r="B440" s="4" t="s">
        <v>3</v>
      </c>
      <c r="C440" s="2" t="s">
        <v>88</v>
      </c>
      <c r="D440" s="2" t="s">
        <v>175</v>
      </c>
      <c r="E440" s="6">
        <v>31</v>
      </c>
    </row>
    <row r="441" spans="1:7" x14ac:dyDescent="0.3">
      <c r="A441" s="2" t="s">
        <v>193</v>
      </c>
      <c r="B441" s="4" t="s">
        <v>3</v>
      </c>
      <c r="C441" s="2" t="s">
        <v>88</v>
      </c>
      <c r="D441" s="2" t="s">
        <v>176</v>
      </c>
      <c r="E441" s="6">
        <v>36</v>
      </c>
    </row>
    <row r="442" spans="1:7" x14ac:dyDescent="0.3">
      <c r="A442" s="2" t="s">
        <v>193</v>
      </c>
      <c r="B442" s="4" t="s">
        <v>3</v>
      </c>
      <c r="C442" s="2" t="s">
        <v>88</v>
      </c>
      <c r="D442" s="2" t="s">
        <v>177</v>
      </c>
      <c r="E442" s="6">
        <v>16</v>
      </c>
    </row>
    <row r="443" spans="1:7" x14ac:dyDescent="0.3">
      <c r="A443" s="2" t="s">
        <v>193</v>
      </c>
      <c r="B443" s="4" t="s">
        <v>3</v>
      </c>
      <c r="C443" s="2" t="s">
        <v>95</v>
      </c>
      <c r="D443" s="2" t="s">
        <v>178</v>
      </c>
      <c r="E443" s="6">
        <v>35</v>
      </c>
    </row>
    <row r="444" spans="1:7" x14ac:dyDescent="0.3">
      <c r="A444" s="2" t="s">
        <v>193</v>
      </c>
      <c r="B444" s="4" t="s">
        <v>3</v>
      </c>
      <c r="C444" s="2" t="s">
        <v>95</v>
      </c>
      <c r="D444" s="2" t="s">
        <v>179</v>
      </c>
      <c r="E444" s="6">
        <v>31</v>
      </c>
    </row>
    <row r="445" spans="1:7" x14ac:dyDescent="0.3">
      <c r="A445" s="2" t="s">
        <v>193</v>
      </c>
      <c r="B445" s="4" t="s">
        <v>3</v>
      </c>
      <c r="C445" s="2" t="s">
        <v>95</v>
      </c>
      <c r="D445" s="2" t="s">
        <v>180</v>
      </c>
      <c r="E445" s="6">
        <v>31</v>
      </c>
    </row>
    <row r="446" spans="1:7" x14ac:dyDescent="0.3">
      <c r="A446" s="2" t="s">
        <v>193</v>
      </c>
      <c r="B446" s="4" t="s">
        <v>3</v>
      </c>
      <c r="C446" s="2" t="s">
        <v>95</v>
      </c>
      <c r="D446" s="2" t="s">
        <v>181</v>
      </c>
      <c r="E446" s="6">
        <v>31</v>
      </c>
    </row>
    <row r="447" spans="1:7" x14ac:dyDescent="0.3">
      <c r="A447" s="2" t="s">
        <v>193</v>
      </c>
      <c r="B447" s="4" t="s">
        <v>3</v>
      </c>
      <c r="C447" s="2" t="s">
        <v>95</v>
      </c>
      <c r="D447" s="2" t="s">
        <v>182</v>
      </c>
      <c r="E447" s="6">
        <v>31</v>
      </c>
    </row>
    <row r="448" spans="1:7" x14ac:dyDescent="0.3">
      <c r="A448" s="2" t="s">
        <v>193</v>
      </c>
      <c r="B448" s="4" t="s">
        <v>3</v>
      </c>
      <c r="C448" s="2" t="s">
        <v>95</v>
      </c>
      <c r="D448" s="2" t="s">
        <v>183</v>
      </c>
      <c r="E448" s="6">
        <v>7</v>
      </c>
    </row>
    <row r="449" spans="1:5" x14ac:dyDescent="0.3">
      <c r="A449" s="2" t="s">
        <v>193</v>
      </c>
      <c r="B449" s="4" t="s">
        <v>4</v>
      </c>
      <c r="C449" s="2" t="s">
        <v>74</v>
      </c>
      <c r="D449" s="2" t="s">
        <v>161</v>
      </c>
      <c r="E449" s="6">
        <v>0</v>
      </c>
    </row>
    <row r="450" spans="1:5" x14ac:dyDescent="0.3">
      <c r="A450" s="2" t="s">
        <v>193</v>
      </c>
      <c r="B450" s="4" t="s">
        <v>4</v>
      </c>
      <c r="C450" s="2" t="s">
        <v>74</v>
      </c>
      <c r="D450" s="2" t="s">
        <v>162</v>
      </c>
      <c r="E450" s="6">
        <v>0</v>
      </c>
    </row>
    <row r="451" spans="1:5" x14ac:dyDescent="0.3">
      <c r="A451" s="2" t="s">
        <v>193</v>
      </c>
      <c r="B451" s="4" t="s">
        <v>4</v>
      </c>
      <c r="C451" s="2" t="s">
        <v>74</v>
      </c>
      <c r="D451" s="2" t="s">
        <v>163</v>
      </c>
      <c r="E451" s="6">
        <v>0</v>
      </c>
    </row>
    <row r="452" spans="1:5" x14ac:dyDescent="0.3">
      <c r="A452" s="2" t="s">
        <v>193</v>
      </c>
      <c r="B452" s="4" t="s">
        <v>4</v>
      </c>
      <c r="C452" s="2" t="s">
        <v>74</v>
      </c>
      <c r="D452" s="2" t="s">
        <v>164</v>
      </c>
      <c r="E452" s="6">
        <v>0</v>
      </c>
    </row>
    <row r="453" spans="1:5" x14ac:dyDescent="0.3">
      <c r="A453" s="2" t="s">
        <v>193</v>
      </c>
      <c r="B453" s="4" t="s">
        <v>4</v>
      </c>
      <c r="C453" s="2" t="s">
        <v>74</v>
      </c>
      <c r="D453" s="2" t="s">
        <v>165</v>
      </c>
      <c r="E453" s="6">
        <v>0</v>
      </c>
    </row>
    <row r="454" spans="1:5" x14ac:dyDescent="0.3">
      <c r="A454" s="2" t="s">
        <v>193</v>
      </c>
      <c r="B454" s="4" t="s">
        <v>4</v>
      </c>
      <c r="C454" s="2" t="s">
        <v>81</v>
      </c>
      <c r="D454" s="2" t="s">
        <v>166</v>
      </c>
      <c r="E454" s="6">
        <v>0</v>
      </c>
    </row>
    <row r="455" spans="1:5" x14ac:dyDescent="0.3">
      <c r="A455" s="2" t="s">
        <v>193</v>
      </c>
      <c r="B455" s="4" t="s">
        <v>4</v>
      </c>
      <c r="C455" s="2" t="s">
        <v>81</v>
      </c>
      <c r="D455" s="2" t="s">
        <v>167</v>
      </c>
      <c r="E455" s="6">
        <v>0</v>
      </c>
    </row>
    <row r="456" spans="1:5" x14ac:dyDescent="0.3">
      <c r="A456" s="2" t="s">
        <v>193</v>
      </c>
      <c r="B456" s="4" t="s">
        <v>4</v>
      </c>
      <c r="C456" s="2" t="s">
        <v>81</v>
      </c>
      <c r="D456" s="2" t="s">
        <v>168</v>
      </c>
      <c r="E456" s="6">
        <v>14</v>
      </c>
    </row>
    <row r="457" spans="1:5" x14ac:dyDescent="0.3">
      <c r="A457" s="2" t="s">
        <v>193</v>
      </c>
      <c r="B457" s="4" t="s">
        <v>4</v>
      </c>
      <c r="C457" s="2" t="s">
        <v>81</v>
      </c>
      <c r="D457" s="2" t="s">
        <v>169</v>
      </c>
      <c r="E457" s="6">
        <v>35</v>
      </c>
    </row>
    <row r="458" spans="1:5" x14ac:dyDescent="0.3">
      <c r="A458" s="2" t="s">
        <v>193</v>
      </c>
      <c r="B458" s="4" t="s">
        <v>4</v>
      </c>
      <c r="C458" s="2" t="s">
        <v>81</v>
      </c>
      <c r="D458" s="2" t="s">
        <v>170</v>
      </c>
      <c r="E458" s="6">
        <v>39</v>
      </c>
    </row>
    <row r="459" spans="1:5" x14ac:dyDescent="0.3">
      <c r="A459" s="2" t="s">
        <v>193</v>
      </c>
      <c r="B459" s="4" t="s">
        <v>4</v>
      </c>
      <c r="C459" s="2" t="s">
        <v>81</v>
      </c>
      <c r="D459" s="2" t="s">
        <v>171</v>
      </c>
      <c r="E459" s="6">
        <v>22</v>
      </c>
    </row>
    <row r="460" spans="1:5" x14ac:dyDescent="0.3">
      <c r="A460" s="2" t="s">
        <v>193</v>
      </c>
      <c r="B460" s="4" t="s">
        <v>4</v>
      </c>
      <c r="C460" s="2" t="s">
        <v>81</v>
      </c>
      <c r="D460" s="2" t="s">
        <v>172</v>
      </c>
      <c r="E460" s="6">
        <v>39</v>
      </c>
    </row>
    <row r="461" spans="1:5" x14ac:dyDescent="0.3">
      <c r="A461" s="2" t="s">
        <v>193</v>
      </c>
      <c r="B461" s="4" t="s">
        <v>4</v>
      </c>
      <c r="C461" s="2" t="s">
        <v>88</v>
      </c>
      <c r="D461" s="2" t="s">
        <v>173</v>
      </c>
      <c r="E461" s="6">
        <v>35</v>
      </c>
    </row>
    <row r="462" spans="1:5" x14ac:dyDescent="0.3">
      <c r="A462" s="2" t="s">
        <v>193</v>
      </c>
      <c r="B462" s="4" t="s">
        <v>4</v>
      </c>
      <c r="C462" s="2" t="s">
        <v>88</v>
      </c>
      <c r="D462" s="2" t="s">
        <v>174</v>
      </c>
      <c r="E462" s="6">
        <v>32</v>
      </c>
    </row>
    <row r="463" spans="1:5" x14ac:dyDescent="0.3">
      <c r="A463" s="2" t="s">
        <v>193</v>
      </c>
      <c r="B463" s="4" t="s">
        <v>4</v>
      </c>
      <c r="C463" s="2" t="s">
        <v>88</v>
      </c>
      <c r="D463" s="2" t="s">
        <v>175</v>
      </c>
      <c r="E463" s="6">
        <v>17</v>
      </c>
    </row>
    <row r="464" spans="1:5" x14ac:dyDescent="0.3">
      <c r="A464" s="2" t="s">
        <v>193</v>
      </c>
      <c r="B464" s="4" t="s">
        <v>4</v>
      </c>
      <c r="C464" s="2" t="s">
        <v>88</v>
      </c>
      <c r="D464" s="2" t="s">
        <v>176</v>
      </c>
      <c r="E464" s="6">
        <v>32</v>
      </c>
    </row>
    <row r="465" spans="1:7" x14ac:dyDescent="0.3">
      <c r="A465" s="2" t="s">
        <v>193</v>
      </c>
      <c r="B465" s="4" t="s">
        <v>4</v>
      </c>
      <c r="C465" s="2" t="s">
        <v>88</v>
      </c>
      <c r="D465" s="2" t="s">
        <v>177</v>
      </c>
      <c r="E465" s="6">
        <v>13</v>
      </c>
      <c r="G465" s="20">
        <v>27</v>
      </c>
    </row>
    <row r="466" spans="1:7" x14ac:dyDescent="0.3">
      <c r="A466" s="2" t="s">
        <v>193</v>
      </c>
      <c r="B466" s="4" t="s">
        <v>4</v>
      </c>
      <c r="C466" s="2" t="s">
        <v>95</v>
      </c>
      <c r="D466" s="2" t="s">
        <v>178</v>
      </c>
      <c r="E466" s="6">
        <v>24</v>
      </c>
    </row>
    <row r="467" spans="1:7" x14ac:dyDescent="0.3">
      <c r="A467" s="2" t="s">
        <v>193</v>
      </c>
      <c r="B467" s="4" t="s">
        <v>4</v>
      </c>
      <c r="C467" s="2" t="s">
        <v>95</v>
      </c>
      <c r="D467" s="2" t="s">
        <v>179</v>
      </c>
      <c r="E467" s="6">
        <v>24</v>
      </c>
    </row>
    <row r="468" spans="1:7" x14ac:dyDescent="0.3">
      <c r="A468" s="2" t="s">
        <v>193</v>
      </c>
      <c r="B468" s="4" t="s">
        <v>4</v>
      </c>
      <c r="C468" s="2" t="s">
        <v>95</v>
      </c>
      <c r="D468" s="2" t="s">
        <v>180</v>
      </c>
      <c r="E468" s="6">
        <v>24</v>
      </c>
    </row>
    <row r="469" spans="1:7" x14ac:dyDescent="0.3">
      <c r="A469" s="2" t="s">
        <v>193</v>
      </c>
      <c r="B469" s="4" t="s">
        <v>4</v>
      </c>
      <c r="C469" s="2" t="s">
        <v>95</v>
      </c>
      <c r="D469" s="2" t="s">
        <v>181</v>
      </c>
      <c r="E469" s="6">
        <v>24</v>
      </c>
    </row>
    <row r="470" spans="1:7" x14ac:dyDescent="0.3">
      <c r="A470" s="2" t="s">
        <v>193</v>
      </c>
      <c r="B470" s="4" t="s">
        <v>4</v>
      </c>
      <c r="C470" s="2" t="s">
        <v>95</v>
      </c>
      <c r="D470" s="2" t="s">
        <v>182</v>
      </c>
      <c r="E470" s="6">
        <v>24</v>
      </c>
    </row>
    <row r="471" spans="1:7" x14ac:dyDescent="0.3">
      <c r="A471" s="2" t="s">
        <v>193</v>
      </c>
      <c r="B471" s="4" t="s">
        <v>4</v>
      </c>
      <c r="C471" s="2" t="s">
        <v>95</v>
      </c>
      <c r="D471" s="2" t="s">
        <v>183</v>
      </c>
      <c r="E471" s="6">
        <v>5</v>
      </c>
    </row>
    <row r="472" spans="1:7" x14ac:dyDescent="0.3">
      <c r="A472" s="2" t="s">
        <v>193</v>
      </c>
      <c r="B472" s="4" t="s">
        <v>34</v>
      </c>
      <c r="C472" s="2" t="s">
        <v>74</v>
      </c>
      <c r="D472" s="2" t="s">
        <v>161</v>
      </c>
      <c r="E472" s="6">
        <v>0</v>
      </c>
    </row>
    <row r="473" spans="1:7" x14ac:dyDescent="0.3">
      <c r="A473" s="2" t="s">
        <v>193</v>
      </c>
      <c r="B473" s="4" t="s">
        <v>34</v>
      </c>
      <c r="C473" s="2" t="s">
        <v>74</v>
      </c>
      <c r="D473" s="2" t="s">
        <v>162</v>
      </c>
      <c r="E473" s="6">
        <v>0</v>
      </c>
    </row>
    <row r="474" spans="1:7" x14ac:dyDescent="0.3">
      <c r="A474" s="2" t="s">
        <v>193</v>
      </c>
      <c r="B474" s="4" t="s">
        <v>34</v>
      </c>
      <c r="C474" s="2" t="s">
        <v>74</v>
      </c>
      <c r="D474" s="2" t="s">
        <v>163</v>
      </c>
      <c r="E474" s="6">
        <v>0</v>
      </c>
    </row>
    <row r="475" spans="1:7" x14ac:dyDescent="0.3">
      <c r="A475" s="2" t="s">
        <v>193</v>
      </c>
      <c r="B475" s="4" t="s">
        <v>34</v>
      </c>
      <c r="C475" s="2" t="s">
        <v>74</v>
      </c>
      <c r="D475" s="2" t="s">
        <v>164</v>
      </c>
      <c r="E475" s="6">
        <v>0</v>
      </c>
    </row>
    <row r="476" spans="1:7" x14ac:dyDescent="0.3">
      <c r="A476" s="2" t="s">
        <v>193</v>
      </c>
      <c r="B476" s="4" t="s">
        <v>34</v>
      </c>
      <c r="C476" s="2" t="s">
        <v>74</v>
      </c>
      <c r="D476" s="2" t="s">
        <v>165</v>
      </c>
      <c r="E476" s="6">
        <v>0</v>
      </c>
    </row>
    <row r="477" spans="1:7" x14ac:dyDescent="0.3">
      <c r="A477" s="2" t="s">
        <v>193</v>
      </c>
      <c r="B477" s="4" t="s">
        <v>34</v>
      </c>
      <c r="C477" s="2" t="s">
        <v>81</v>
      </c>
      <c r="D477" s="2" t="s">
        <v>166</v>
      </c>
      <c r="E477" s="6">
        <v>0</v>
      </c>
    </row>
    <row r="478" spans="1:7" x14ac:dyDescent="0.3">
      <c r="A478" s="2" t="s">
        <v>193</v>
      </c>
      <c r="B478" s="4" t="s">
        <v>34</v>
      </c>
      <c r="C478" s="2" t="s">
        <v>81</v>
      </c>
      <c r="D478" s="2" t="s">
        <v>167</v>
      </c>
      <c r="E478" s="6">
        <v>0</v>
      </c>
    </row>
    <row r="479" spans="1:7" x14ac:dyDescent="0.3">
      <c r="A479" s="2" t="s">
        <v>193</v>
      </c>
      <c r="B479" s="4" t="s">
        <v>34</v>
      </c>
      <c r="C479" s="2" t="s">
        <v>81</v>
      </c>
      <c r="D479" s="2" t="s">
        <v>168</v>
      </c>
      <c r="E479" s="6">
        <v>0</v>
      </c>
    </row>
    <row r="480" spans="1:7" x14ac:dyDescent="0.3">
      <c r="A480" s="2" t="s">
        <v>193</v>
      </c>
      <c r="B480" s="4" t="s">
        <v>34</v>
      </c>
      <c r="C480" s="2" t="s">
        <v>81</v>
      </c>
      <c r="D480" s="2" t="s">
        <v>169</v>
      </c>
      <c r="E480" s="6">
        <v>18</v>
      </c>
    </row>
    <row r="481" spans="1:7" x14ac:dyDescent="0.3">
      <c r="A481" s="2" t="s">
        <v>193</v>
      </c>
      <c r="B481" s="4" t="s">
        <v>34</v>
      </c>
      <c r="C481" s="2" t="s">
        <v>81</v>
      </c>
      <c r="D481" s="2" t="s">
        <v>170</v>
      </c>
      <c r="E481" s="6">
        <v>0</v>
      </c>
    </row>
    <row r="482" spans="1:7" x14ac:dyDescent="0.3">
      <c r="A482" s="2" t="s">
        <v>193</v>
      </c>
      <c r="B482" s="4" t="s">
        <v>34</v>
      </c>
      <c r="C482" s="2" t="s">
        <v>81</v>
      </c>
      <c r="D482" s="2" t="s">
        <v>171</v>
      </c>
      <c r="E482" s="6">
        <v>80</v>
      </c>
    </row>
    <row r="483" spans="1:7" x14ac:dyDescent="0.3">
      <c r="A483" s="2" t="s">
        <v>193</v>
      </c>
      <c r="B483" s="4" t="s">
        <v>34</v>
      </c>
      <c r="C483" s="2" t="s">
        <v>81</v>
      </c>
      <c r="D483" s="2" t="s">
        <v>172</v>
      </c>
      <c r="E483" s="6">
        <v>25</v>
      </c>
    </row>
    <row r="484" spans="1:7" x14ac:dyDescent="0.3">
      <c r="A484" s="2" t="s">
        <v>193</v>
      </c>
      <c r="B484" s="4" t="s">
        <v>34</v>
      </c>
      <c r="C484" s="2" t="s">
        <v>88</v>
      </c>
      <c r="D484" s="2" t="s">
        <v>173</v>
      </c>
      <c r="E484" s="6">
        <v>30</v>
      </c>
      <c r="G484" s="20">
        <v>25</v>
      </c>
    </row>
    <row r="485" spans="1:7" x14ac:dyDescent="0.3">
      <c r="A485" s="2" t="s">
        <v>193</v>
      </c>
      <c r="B485" s="4" t="s">
        <v>34</v>
      </c>
      <c r="C485" s="2" t="s">
        <v>88</v>
      </c>
      <c r="D485" s="2" t="s">
        <v>174</v>
      </c>
      <c r="E485" s="6">
        <v>19</v>
      </c>
    </row>
    <row r="486" spans="1:7" x14ac:dyDescent="0.3">
      <c r="A486" s="2" t="s">
        <v>193</v>
      </c>
      <c r="B486" s="4" t="s">
        <v>34</v>
      </c>
      <c r="C486" s="2" t="s">
        <v>88</v>
      </c>
      <c r="D486" s="2" t="s">
        <v>175</v>
      </c>
      <c r="E486" s="6">
        <v>22</v>
      </c>
    </row>
    <row r="487" spans="1:7" x14ac:dyDescent="0.3">
      <c r="A487" s="2" t="s">
        <v>193</v>
      </c>
      <c r="B487" s="4" t="s">
        <v>34</v>
      </c>
      <c r="C487" s="2" t="s">
        <v>88</v>
      </c>
      <c r="D487" s="2" t="s">
        <v>176</v>
      </c>
      <c r="E487" s="6">
        <v>9</v>
      </c>
    </row>
    <row r="488" spans="1:7" x14ac:dyDescent="0.3">
      <c r="A488" s="2" t="s">
        <v>193</v>
      </c>
      <c r="B488" s="4" t="s">
        <v>34</v>
      </c>
      <c r="C488" s="2" t="s">
        <v>88</v>
      </c>
      <c r="D488" s="2" t="s">
        <v>177</v>
      </c>
      <c r="E488" s="6">
        <v>22</v>
      </c>
    </row>
    <row r="489" spans="1:7" x14ac:dyDescent="0.3">
      <c r="A489" s="2" t="s">
        <v>193</v>
      </c>
      <c r="B489" s="4" t="s">
        <v>34</v>
      </c>
      <c r="C489" s="2" t="s">
        <v>95</v>
      </c>
      <c r="D489" s="2" t="s">
        <v>178</v>
      </c>
      <c r="E489" s="6">
        <v>22</v>
      </c>
    </row>
    <row r="490" spans="1:7" x14ac:dyDescent="0.3">
      <c r="A490" s="2" t="s">
        <v>193</v>
      </c>
      <c r="B490" s="4" t="s">
        <v>34</v>
      </c>
      <c r="C490" s="2" t="s">
        <v>95</v>
      </c>
      <c r="D490" s="2" t="s">
        <v>179</v>
      </c>
      <c r="E490" s="6">
        <v>22</v>
      </c>
    </row>
    <row r="491" spans="1:7" x14ac:dyDescent="0.3">
      <c r="A491" s="2" t="s">
        <v>193</v>
      </c>
      <c r="B491" s="4" t="s">
        <v>34</v>
      </c>
      <c r="C491" s="2" t="s">
        <v>95</v>
      </c>
      <c r="D491" s="2" t="s">
        <v>180</v>
      </c>
      <c r="E491" s="6">
        <v>22</v>
      </c>
    </row>
    <row r="492" spans="1:7" x14ac:dyDescent="0.3">
      <c r="A492" s="2" t="s">
        <v>193</v>
      </c>
      <c r="B492" s="4" t="s">
        <v>34</v>
      </c>
      <c r="C492" s="2" t="s">
        <v>95</v>
      </c>
      <c r="D492" s="2" t="s">
        <v>181</v>
      </c>
      <c r="E492" s="6">
        <v>22</v>
      </c>
    </row>
    <row r="493" spans="1:7" x14ac:dyDescent="0.3">
      <c r="A493" s="2" t="s">
        <v>193</v>
      </c>
      <c r="B493" s="4" t="s">
        <v>34</v>
      </c>
      <c r="C493" s="2" t="s">
        <v>95</v>
      </c>
      <c r="D493" s="2" t="s">
        <v>182</v>
      </c>
      <c r="E493" s="6">
        <v>22</v>
      </c>
    </row>
    <row r="494" spans="1:7" x14ac:dyDescent="0.3">
      <c r="A494" s="2" t="s">
        <v>193</v>
      </c>
      <c r="B494" s="4" t="s">
        <v>34</v>
      </c>
      <c r="C494" s="2" t="s">
        <v>95</v>
      </c>
      <c r="D494" s="2" t="s">
        <v>183</v>
      </c>
      <c r="E494" s="6">
        <v>5</v>
      </c>
    </row>
    <row r="495" spans="1:7" x14ac:dyDescent="0.3">
      <c r="A495" s="2" t="s">
        <v>193</v>
      </c>
      <c r="B495" s="4" t="s">
        <v>35</v>
      </c>
      <c r="C495" s="2" t="s">
        <v>74</v>
      </c>
      <c r="D495" s="2" t="s">
        <v>161</v>
      </c>
      <c r="E495" s="6">
        <v>15</v>
      </c>
    </row>
    <row r="496" spans="1:7" x14ac:dyDescent="0.3">
      <c r="A496" s="2" t="s">
        <v>193</v>
      </c>
      <c r="B496" s="4" t="s">
        <v>35</v>
      </c>
      <c r="C496" s="2" t="s">
        <v>74</v>
      </c>
      <c r="D496" s="2" t="s">
        <v>162</v>
      </c>
      <c r="E496" s="6">
        <v>12</v>
      </c>
    </row>
    <row r="497" spans="1:7" x14ac:dyDescent="0.3">
      <c r="A497" s="2" t="s">
        <v>193</v>
      </c>
      <c r="B497" s="4" t="s">
        <v>35</v>
      </c>
      <c r="C497" s="2" t="s">
        <v>74</v>
      </c>
      <c r="D497" s="2" t="s">
        <v>163</v>
      </c>
      <c r="E497" s="6">
        <v>15</v>
      </c>
    </row>
    <row r="498" spans="1:7" x14ac:dyDescent="0.3">
      <c r="A498" s="2" t="s">
        <v>193</v>
      </c>
      <c r="B498" s="4" t="s">
        <v>35</v>
      </c>
      <c r="C498" s="2" t="s">
        <v>74</v>
      </c>
      <c r="D498" s="2" t="s">
        <v>164</v>
      </c>
      <c r="E498" s="6">
        <v>5</v>
      </c>
    </row>
    <row r="499" spans="1:7" x14ac:dyDescent="0.3">
      <c r="A499" s="2" t="s">
        <v>193</v>
      </c>
      <c r="B499" s="4" t="s">
        <v>35</v>
      </c>
      <c r="C499" s="2" t="s">
        <v>74</v>
      </c>
      <c r="D499" s="2" t="s">
        <v>165</v>
      </c>
      <c r="E499" s="6">
        <v>15</v>
      </c>
    </row>
    <row r="500" spans="1:7" x14ac:dyDescent="0.3">
      <c r="A500" s="2" t="s">
        <v>193</v>
      </c>
      <c r="B500" s="4" t="s">
        <v>35</v>
      </c>
      <c r="C500" s="2" t="s">
        <v>81</v>
      </c>
      <c r="D500" s="2" t="s">
        <v>166</v>
      </c>
      <c r="E500" s="6">
        <v>9</v>
      </c>
    </row>
    <row r="501" spans="1:7" x14ac:dyDescent="0.3">
      <c r="A501" s="2" t="s">
        <v>193</v>
      </c>
      <c r="B501" s="4" t="s">
        <v>35</v>
      </c>
      <c r="C501" s="2" t="s">
        <v>81</v>
      </c>
      <c r="D501" s="2" t="s">
        <v>167</v>
      </c>
      <c r="E501" s="6">
        <v>23</v>
      </c>
    </row>
    <row r="502" spans="1:7" x14ac:dyDescent="0.3">
      <c r="A502" s="2" t="s">
        <v>193</v>
      </c>
      <c r="B502" s="4" t="s">
        <v>35</v>
      </c>
      <c r="C502" s="2" t="s">
        <v>81</v>
      </c>
      <c r="D502" s="2" t="s">
        <v>168</v>
      </c>
      <c r="E502" s="6">
        <v>16</v>
      </c>
    </row>
    <row r="503" spans="1:7" x14ac:dyDescent="0.3">
      <c r="A503" s="2" t="s">
        <v>193</v>
      </c>
      <c r="B503" s="4" t="s">
        <v>35</v>
      </c>
      <c r="C503" s="2" t="s">
        <v>81</v>
      </c>
      <c r="D503" s="2" t="s">
        <v>169</v>
      </c>
      <c r="E503" s="6">
        <v>24</v>
      </c>
    </row>
    <row r="504" spans="1:7" x14ac:dyDescent="0.3">
      <c r="A504" s="2" t="s">
        <v>193</v>
      </c>
      <c r="B504" s="4" t="s">
        <v>35</v>
      </c>
      <c r="C504" s="2" t="s">
        <v>81</v>
      </c>
      <c r="D504" s="2" t="s">
        <v>170</v>
      </c>
      <c r="E504" s="6">
        <v>14</v>
      </c>
    </row>
    <row r="505" spans="1:7" x14ac:dyDescent="0.3">
      <c r="A505" s="2" t="s">
        <v>193</v>
      </c>
      <c r="B505" s="4" t="s">
        <v>35</v>
      </c>
      <c r="C505" s="2" t="s">
        <v>81</v>
      </c>
      <c r="D505" s="2" t="s">
        <v>171</v>
      </c>
      <c r="E505" s="6">
        <v>20</v>
      </c>
      <c r="G505" s="20">
        <v>21</v>
      </c>
    </row>
    <row r="506" spans="1:7" x14ac:dyDescent="0.3">
      <c r="A506" s="2" t="s">
        <v>193</v>
      </c>
      <c r="B506" s="4" t="s">
        <v>35</v>
      </c>
      <c r="C506" s="2" t="s">
        <v>81</v>
      </c>
      <c r="D506" s="2" t="s">
        <v>172</v>
      </c>
      <c r="E506" s="6">
        <v>10</v>
      </c>
    </row>
    <row r="507" spans="1:7" x14ac:dyDescent="0.3">
      <c r="A507" s="2" t="s">
        <v>193</v>
      </c>
      <c r="B507" s="4" t="s">
        <v>35</v>
      </c>
      <c r="C507" s="2" t="s">
        <v>88</v>
      </c>
      <c r="D507" s="2" t="s">
        <v>173</v>
      </c>
      <c r="E507" s="6">
        <v>29</v>
      </c>
    </row>
    <row r="508" spans="1:7" x14ac:dyDescent="0.3">
      <c r="A508" s="2" t="s">
        <v>193</v>
      </c>
      <c r="B508" s="4" t="s">
        <v>35</v>
      </c>
      <c r="C508" s="2" t="s">
        <v>88</v>
      </c>
      <c r="D508" s="2" t="s">
        <v>174</v>
      </c>
      <c r="E508" s="6">
        <v>24</v>
      </c>
    </row>
    <row r="509" spans="1:7" x14ac:dyDescent="0.3">
      <c r="A509" s="2" t="s">
        <v>193</v>
      </c>
      <c r="B509" s="4" t="s">
        <v>35</v>
      </c>
      <c r="C509" s="2" t="s">
        <v>88</v>
      </c>
      <c r="D509" s="2" t="s">
        <v>175</v>
      </c>
      <c r="E509" s="6">
        <v>13</v>
      </c>
    </row>
    <row r="510" spans="1:7" x14ac:dyDescent="0.3">
      <c r="A510" s="2" t="s">
        <v>193</v>
      </c>
      <c r="B510" s="4" t="s">
        <v>35</v>
      </c>
      <c r="C510" s="2" t="s">
        <v>88</v>
      </c>
      <c r="D510" s="2" t="s">
        <v>176</v>
      </c>
      <c r="E510" s="6">
        <v>27</v>
      </c>
    </row>
    <row r="511" spans="1:7" x14ac:dyDescent="0.3">
      <c r="A511" s="2" t="s">
        <v>193</v>
      </c>
      <c r="B511" s="4" t="s">
        <v>35</v>
      </c>
      <c r="C511" s="2" t="s">
        <v>88</v>
      </c>
      <c r="D511" s="2" t="s">
        <v>177</v>
      </c>
      <c r="E511" s="6">
        <v>10</v>
      </c>
    </row>
    <row r="512" spans="1:7" x14ac:dyDescent="0.3">
      <c r="A512" s="2" t="s">
        <v>193</v>
      </c>
      <c r="B512" s="4" t="s">
        <v>35</v>
      </c>
      <c r="C512" s="2" t="s">
        <v>95</v>
      </c>
      <c r="D512" s="2" t="s">
        <v>178</v>
      </c>
      <c r="E512" s="6">
        <v>19</v>
      </c>
    </row>
    <row r="513" spans="1:7" x14ac:dyDescent="0.3">
      <c r="A513" s="2" t="s">
        <v>193</v>
      </c>
      <c r="B513" s="4" t="s">
        <v>35</v>
      </c>
      <c r="C513" s="2" t="s">
        <v>95</v>
      </c>
      <c r="D513" s="2" t="s">
        <v>179</v>
      </c>
      <c r="E513" s="6">
        <v>19</v>
      </c>
    </row>
    <row r="514" spans="1:7" x14ac:dyDescent="0.3">
      <c r="A514" s="2" t="s">
        <v>193</v>
      </c>
      <c r="B514" s="4" t="s">
        <v>35</v>
      </c>
      <c r="C514" s="2" t="s">
        <v>95</v>
      </c>
      <c r="D514" s="2" t="s">
        <v>180</v>
      </c>
      <c r="E514" s="6">
        <v>19</v>
      </c>
    </row>
    <row r="515" spans="1:7" x14ac:dyDescent="0.3">
      <c r="A515" s="2" t="s">
        <v>193</v>
      </c>
      <c r="B515" s="4" t="s">
        <v>35</v>
      </c>
      <c r="C515" s="2" t="s">
        <v>95</v>
      </c>
      <c r="D515" s="2" t="s">
        <v>181</v>
      </c>
      <c r="E515" s="6">
        <v>19</v>
      </c>
    </row>
    <row r="516" spans="1:7" x14ac:dyDescent="0.3">
      <c r="A516" s="2" t="s">
        <v>193</v>
      </c>
      <c r="B516" s="4" t="s">
        <v>35</v>
      </c>
      <c r="C516" s="2" t="s">
        <v>95</v>
      </c>
      <c r="D516" s="2" t="s">
        <v>182</v>
      </c>
      <c r="E516" s="6">
        <v>19</v>
      </c>
    </row>
    <row r="517" spans="1:7" x14ac:dyDescent="0.3">
      <c r="A517" s="2" t="s">
        <v>193</v>
      </c>
      <c r="B517" s="4" t="s">
        <v>35</v>
      </c>
      <c r="C517" s="2" t="s">
        <v>95</v>
      </c>
      <c r="D517" s="2" t="s">
        <v>183</v>
      </c>
      <c r="E517" s="6">
        <v>4</v>
      </c>
    </row>
    <row r="518" spans="1:7" x14ac:dyDescent="0.3">
      <c r="A518" s="2" t="s">
        <v>193</v>
      </c>
      <c r="B518" s="4" t="s">
        <v>33</v>
      </c>
      <c r="C518" s="2" t="s">
        <v>74</v>
      </c>
      <c r="D518" s="2" t="s">
        <v>161</v>
      </c>
      <c r="E518" s="6">
        <v>33</v>
      </c>
    </row>
    <row r="519" spans="1:7" x14ac:dyDescent="0.3">
      <c r="A519" s="2" t="s">
        <v>193</v>
      </c>
      <c r="B519" s="4" t="s">
        <v>33</v>
      </c>
      <c r="C519" s="2" t="s">
        <v>74</v>
      </c>
      <c r="D519" s="2" t="s">
        <v>162</v>
      </c>
      <c r="E519" s="6">
        <v>48</v>
      </c>
    </row>
    <row r="520" spans="1:7" x14ac:dyDescent="0.3">
      <c r="A520" s="2" t="s">
        <v>193</v>
      </c>
      <c r="B520" s="4" t="s">
        <v>33</v>
      </c>
      <c r="C520" s="2" t="s">
        <v>74</v>
      </c>
      <c r="D520" s="2" t="s">
        <v>163</v>
      </c>
      <c r="E520" s="6">
        <v>58</v>
      </c>
    </row>
    <row r="521" spans="1:7" x14ac:dyDescent="0.3">
      <c r="A521" s="2" t="s">
        <v>193</v>
      </c>
      <c r="B521" s="4" t="s">
        <v>33</v>
      </c>
      <c r="C521" s="2" t="s">
        <v>74</v>
      </c>
      <c r="D521" s="2" t="s">
        <v>164</v>
      </c>
      <c r="E521" s="6">
        <v>38</v>
      </c>
    </row>
    <row r="522" spans="1:7" x14ac:dyDescent="0.3">
      <c r="A522" s="2" t="s">
        <v>193</v>
      </c>
      <c r="B522" s="4" t="s">
        <v>33</v>
      </c>
      <c r="C522" s="2" t="s">
        <v>74</v>
      </c>
      <c r="D522" s="2" t="s">
        <v>165</v>
      </c>
      <c r="E522" s="6">
        <v>10</v>
      </c>
    </row>
    <row r="523" spans="1:7" x14ac:dyDescent="0.3">
      <c r="A523" s="2" t="s">
        <v>193</v>
      </c>
      <c r="B523" s="4" t="s">
        <v>33</v>
      </c>
      <c r="C523" s="2" t="s">
        <v>81</v>
      </c>
      <c r="D523" s="2" t="s">
        <v>166</v>
      </c>
      <c r="E523" s="6">
        <v>32</v>
      </c>
    </row>
    <row r="524" spans="1:7" x14ac:dyDescent="0.3">
      <c r="A524" s="2" t="s">
        <v>193</v>
      </c>
      <c r="B524" s="4" t="s">
        <v>33</v>
      </c>
      <c r="C524" s="2" t="s">
        <v>81</v>
      </c>
      <c r="D524" s="2" t="s">
        <v>167</v>
      </c>
      <c r="E524" s="6">
        <v>26</v>
      </c>
    </row>
    <row r="525" spans="1:7" x14ac:dyDescent="0.3">
      <c r="A525" s="2" t="s">
        <v>193</v>
      </c>
      <c r="B525" s="4" t="s">
        <v>33</v>
      </c>
      <c r="C525" s="2" t="s">
        <v>81</v>
      </c>
      <c r="D525" s="2" t="s">
        <v>168</v>
      </c>
      <c r="E525" s="6">
        <v>52</v>
      </c>
    </row>
    <row r="526" spans="1:7" x14ac:dyDescent="0.3">
      <c r="A526" s="2" t="s">
        <v>193</v>
      </c>
      <c r="B526" s="4" t="s">
        <v>33</v>
      </c>
      <c r="C526" s="2" t="s">
        <v>81</v>
      </c>
      <c r="D526" s="2" t="s">
        <v>169</v>
      </c>
      <c r="E526" s="6">
        <v>41</v>
      </c>
    </row>
    <row r="527" spans="1:7" x14ac:dyDescent="0.3">
      <c r="A527" s="2" t="s">
        <v>193</v>
      </c>
      <c r="B527" s="4" t="s">
        <v>33</v>
      </c>
      <c r="C527" s="2" t="s">
        <v>81</v>
      </c>
      <c r="D527" s="2" t="s">
        <v>170</v>
      </c>
      <c r="E527" s="6">
        <v>28</v>
      </c>
    </row>
    <row r="528" spans="1:7" x14ac:dyDescent="0.3">
      <c r="A528" s="2" t="s">
        <v>193</v>
      </c>
      <c r="B528" s="4" t="s">
        <v>33</v>
      </c>
      <c r="C528" s="2" t="s">
        <v>81</v>
      </c>
      <c r="D528" s="2" t="s">
        <v>171</v>
      </c>
      <c r="E528" s="6">
        <v>19</v>
      </c>
      <c r="G528" s="20">
        <v>21</v>
      </c>
    </row>
    <row r="529" spans="1:7" x14ac:dyDescent="0.3">
      <c r="A529" s="2" t="s">
        <v>193</v>
      </c>
      <c r="B529" s="4" t="s">
        <v>33</v>
      </c>
      <c r="C529" s="2" t="s">
        <v>81</v>
      </c>
      <c r="D529" s="2" t="s">
        <v>172</v>
      </c>
      <c r="E529" s="6">
        <v>25</v>
      </c>
    </row>
    <row r="530" spans="1:7" x14ac:dyDescent="0.3">
      <c r="A530" s="2" t="s">
        <v>193</v>
      </c>
      <c r="B530" s="4" t="s">
        <v>33</v>
      </c>
      <c r="C530" s="2" t="s">
        <v>88</v>
      </c>
      <c r="D530" s="2" t="s">
        <v>173</v>
      </c>
      <c r="E530" s="6">
        <v>36</v>
      </c>
    </row>
    <row r="531" spans="1:7" x14ac:dyDescent="0.3">
      <c r="A531" s="2" t="s">
        <v>193</v>
      </c>
      <c r="B531" s="4" t="s">
        <v>33</v>
      </c>
      <c r="C531" s="2" t="s">
        <v>88</v>
      </c>
      <c r="D531" s="2" t="s">
        <v>174</v>
      </c>
      <c r="E531" s="6">
        <v>11</v>
      </c>
    </row>
    <row r="532" spans="1:7" x14ac:dyDescent="0.3">
      <c r="A532" s="2" t="s">
        <v>193</v>
      </c>
      <c r="B532" s="4" t="s">
        <v>33</v>
      </c>
      <c r="C532" s="2" t="s">
        <v>88</v>
      </c>
      <c r="D532" s="2" t="s">
        <v>175</v>
      </c>
      <c r="E532" s="6">
        <v>21</v>
      </c>
    </row>
    <row r="533" spans="1:7" x14ac:dyDescent="0.3">
      <c r="A533" s="2" t="s">
        <v>193</v>
      </c>
      <c r="B533" s="4" t="s">
        <v>33</v>
      </c>
      <c r="C533" s="2" t="s">
        <v>88</v>
      </c>
      <c r="D533" s="2" t="s">
        <v>176</v>
      </c>
      <c r="E533" s="6">
        <v>13</v>
      </c>
    </row>
    <row r="534" spans="1:7" x14ac:dyDescent="0.3">
      <c r="A534" s="2" t="s">
        <v>193</v>
      </c>
      <c r="B534" s="4" t="s">
        <v>33</v>
      </c>
      <c r="C534" s="2" t="s">
        <v>88</v>
      </c>
      <c r="D534" s="2" t="s">
        <v>177</v>
      </c>
      <c r="E534" s="6">
        <v>10</v>
      </c>
    </row>
    <row r="535" spans="1:7" x14ac:dyDescent="0.3">
      <c r="A535" s="2" t="s">
        <v>193</v>
      </c>
      <c r="B535" s="4" t="s">
        <v>33</v>
      </c>
      <c r="C535" s="2" t="s">
        <v>95</v>
      </c>
      <c r="D535" s="2" t="s">
        <v>178</v>
      </c>
      <c r="E535" s="6">
        <v>19</v>
      </c>
    </row>
    <row r="536" spans="1:7" x14ac:dyDescent="0.3">
      <c r="A536" s="2" t="s">
        <v>193</v>
      </c>
      <c r="B536" s="4" t="s">
        <v>33</v>
      </c>
      <c r="C536" s="2" t="s">
        <v>95</v>
      </c>
      <c r="D536" s="2" t="s">
        <v>179</v>
      </c>
      <c r="E536" s="6">
        <v>19</v>
      </c>
    </row>
    <row r="537" spans="1:7" x14ac:dyDescent="0.3">
      <c r="A537" s="2" t="s">
        <v>193</v>
      </c>
      <c r="B537" s="4" t="s">
        <v>33</v>
      </c>
      <c r="C537" s="2" t="s">
        <v>95</v>
      </c>
      <c r="D537" s="2" t="s">
        <v>180</v>
      </c>
      <c r="E537" s="6">
        <v>19</v>
      </c>
    </row>
    <row r="538" spans="1:7" x14ac:dyDescent="0.3">
      <c r="A538" s="2" t="s">
        <v>193</v>
      </c>
      <c r="B538" s="4" t="s">
        <v>33</v>
      </c>
      <c r="C538" s="2" t="s">
        <v>95</v>
      </c>
      <c r="D538" s="2" t="s">
        <v>181</v>
      </c>
      <c r="E538" s="6">
        <v>19</v>
      </c>
    </row>
    <row r="539" spans="1:7" x14ac:dyDescent="0.3">
      <c r="A539" s="2" t="s">
        <v>193</v>
      </c>
      <c r="B539" s="4" t="s">
        <v>33</v>
      </c>
      <c r="C539" s="2" t="s">
        <v>95</v>
      </c>
      <c r="D539" s="2" t="s">
        <v>182</v>
      </c>
      <c r="E539" s="6">
        <v>19</v>
      </c>
    </row>
    <row r="540" spans="1:7" x14ac:dyDescent="0.3">
      <c r="A540" s="2" t="s">
        <v>193</v>
      </c>
      <c r="B540" s="4" t="s">
        <v>33</v>
      </c>
      <c r="C540" s="2" t="s">
        <v>95</v>
      </c>
      <c r="D540" s="2" t="s">
        <v>183</v>
      </c>
      <c r="E540" s="6">
        <v>4</v>
      </c>
    </row>
    <row r="541" spans="1:7" x14ac:dyDescent="0.3">
      <c r="A541" s="2" t="s">
        <v>193</v>
      </c>
      <c r="B541" s="4" t="s">
        <v>7</v>
      </c>
      <c r="C541" s="2" t="s">
        <v>74</v>
      </c>
      <c r="D541" s="2" t="s">
        <v>161</v>
      </c>
      <c r="E541" s="6">
        <v>0</v>
      </c>
      <c r="G541" s="28"/>
    </row>
    <row r="542" spans="1:7" x14ac:dyDescent="0.3">
      <c r="A542" s="2" t="s">
        <v>193</v>
      </c>
      <c r="B542" s="4" t="s">
        <v>7</v>
      </c>
      <c r="C542" s="2" t="s">
        <v>74</v>
      </c>
      <c r="D542" s="2" t="s">
        <v>162</v>
      </c>
      <c r="E542" s="6">
        <v>0</v>
      </c>
    </row>
    <row r="543" spans="1:7" x14ac:dyDescent="0.3">
      <c r="A543" s="2" t="s">
        <v>193</v>
      </c>
      <c r="B543" s="4" t="s">
        <v>7</v>
      </c>
      <c r="C543" s="2" t="s">
        <v>74</v>
      </c>
      <c r="D543" s="2" t="s">
        <v>163</v>
      </c>
      <c r="E543" s="6">
        <v>0</v>
      </c>
    </row>
    <row r="544" spans="1:7" x14ac:dyDescent="0.3">
      <c r="A544" s="2" t="s">
        <v>193</v>
      </c>
      <c r="B544" s="4" t="s">
        <v>7</v>
      </c>
      <c r="C544" s="2" t="s">
        <v>74</v>
      </c>
      <c r="D544" s="2" t="s">
        <v>164</v>
      </c>
      <c r="E544" s="6">
        <v>0</v>
      </c>
    </row>
    <row r="545" spans="1:7" x14ac:dyDescent="0.3">
      <c r="A545" s="2" t="s">
        <v>193</v>
      </c>
      <c r="B545" s="4" t="s">
        <v>7</v>
      </c>
      <c r="C545" s="2" t="s">
        <v>74</v>
      </c>
      <c r="D545" s="2" t="s">
        <v>165</v>
      </c>
      <c r="E545" s="6">
        <v>0</v>
      </c>
    </row>
    <row r="546" spans="1:7" x14ac:dyDescent="0.3">
      <c r="A546" s="2" t="s">
        <v>193</v>
      </c>
      <c r="B546" s="4" t="s">
        <v>7</v>
      </c>
      <c r="C546" s="2" t="s">
        <v>81</v>
      </c>
      <c r="D546" s="2" t="s">
        <v>166</v>
      </c>
      <c r="E546" s="6">
        <v>0</v>
      </c>
    </row>
    <row r="547" spans="1:7" x14ac:dyDescent="0.3">
      <c r="A547" s="2" t="s">
        <v>193</v>
      </c>
      <c r="B547" s="4" t="s">
        <v>7</v>
      </c>
      <c r="C547" s="2" t="s">
        <v>81</v>
      </c>
      <c r="D547" s="2" t="s">
        <v>167</v>
      </c>
      <c r="E547" s="6">
        <v>28</v>
      </c>
    </row>
    <row r="548" spans="1:7" x14ac:dyDescent="0.3">
      <c r="A548" s="2" t="s">
        <v>193</v>
      </c>
      <c r="B548" s="4" t="s">
        <v>7</v>
      </c>
      <c r="C548" s="2" t="s">
        <v>81</v>
      </c>
      <c r="D548" s="2" t="s">
        <v>168</v>
      </c>
      <c r="E548" s="6">
        <v>20</v>
      </c>
    </row>
    <row r="549" spans="1:7" x14ac:dyDescent="0.3">
      <c r="A549" s="2" t="s">
        <v>193</v>
      </c>
      <c r="B549" s="4" t="s">
        <v>7</v>
      </c>
      <c r="C549" s="2" t="s">
        <v>81</v>
      </c>
      <c r="D549" s="2" t="s">
        <v>169</v>
      </c>
      <c r="E549" s="6">
        <v>68</v>
      </c>
    </row>
    <row r="550" spans="1:7" x14ac:dyDescent="0.3">
      <c r="A550" s="2" t="s">
        <v>193</v>
      </c>
      <c r="B550" s="4" t="s">
        <v>7</v>
      </c>
      <c r="C550" s="2" t="s">
        <v>81</v>
      </c>
      <c r="D550" s="2" t="s">
        <v>170</v>
      </c>
      <c r="E550" s="6">
        <v>42</v>
      </c>
    </row>
    <row r="551" spans="1:7" x14ac:dyDescent="0.3">
      <c r="A551" s="2" t="s">
        <v>193</v>
      </c>
      <c r="B551" s="4" t="s">
        <v>7</v>
      </c>
      <c r="C551" s="2" t="s">
        <v>81</v>
      </c>
      <c r="D551" s="2" t="s">
        <v>171</v>
      </c>
      <c r="E551" s="6">
        <v>18</v>
      </c>
    </row>
    <row r="552" spans="1:7" x14ac:dyDescent="0.3">
      <c r="A552" s="2" t="s">
        <v>193</v>
      </c>
      <c r="B552" s="4" t="s">
        <v>7</v>
      </c>
      <c r="C552" s="2" t="s">
        <v>81</v>
      </c>
      <c r="D552" s="2" t="s">
        <v>172</v>
      </c>
      <c r="E552" s="6">
        <v>30</v>
      </c>
    </row>
    <row r="553" spans="1:7" x14ac:dyDescent="0.3">
      <c r="A553" s="2" t="s">
        <v>193</v>
      </c>
      <c r="B553" s="4" t="s">
        <v>7</v>
      </c>
      <c r="C553" s="2" t="s">
        <v>88</v>
      </c>
      <c r="D553" s="2" t="s">
        <v>173</v>
      </c>
      <c r="E553" s="6">
        <v>28</v>
      </c>
      <c r="G553" s="20">
        <v>41</v>
      </c>
    </row>
    <row r="554" spans="1:7" x14ac:dyDescent="0.3">
      <c r="A554" s="2" t="s">
        <v>193</v>
      </c>
      <c r="B554" s="4" t="s">
        <v>7</v>
      </c>
      <c r="C554" s="2" t="s">
        <v>88</v>
      </c>
      <c r="D554" s="2" t="s">
        <v>174</v>
      </c>
      <c r="E554" s="6">
        <v>24</v>
      </c>
    </row>
    <row r="555" spans="1:7" x14ac:dyDescent="0.3">
      <c r="A555" s="2" t="s">
        <v>193</v>
      </c>
      <c r="B555" s="4" t="s">
        <v>7</v>
      </c>
      <c r="C555" s="2" t="s">
        <v>88</v>
      </c>
      <c r="D555" s="2" t="s">
        <v>175</v>
      </c>
      <c r="E555" s="6">
        <v>55</v>
      </c>
    </row>
    <row r="556" spans="1:7" x14ac:dyDescent="0.3">
      <c r="A556" s="2" t="s">
        <v>193</v>
      </c>
      <c r="B556" s="4" t="s">
        <v>7</v>
      </c>
      <c r="C556" s="2" t="s">
        <v>88</v>
      </c>
      <c r="D556" s="2" t="s">
        <v>176</v>
      </c>
      <c r="E556" s="6">
        <v>68</v>
      </c>
    </row>
    <row r="557" spans="1:7" x14ac:dyDescent="0.3">
      <c r="A557" s="2" t="s">
        <v>193</v>
      </c>
      <c r="B557" s="4" t="s">
        <v>7</v>
      </c>
      <c r="C557" s="2" t="s">
        <v>88</v>
      </c>
      <c r="D557" s="2" t="s">
        <v>177</v>
      </c>
      <c r="E557" s="6">
        <v>20</v>
      </c>
    </row>
    <row r="558" spans="1:7" x14ac:dyDescent="0.3">
      <c r="A558" s="2" t="s">
        <v>193</v>
      </c>
      <c r="B558" s="4" t="s">
        <v>7</v>
      </c>
      <c r="C558" s="2" t="s">
        <v>95</v>
      </c>
      <c r="D558" s="2" t="s">
        <v>178</v>
      </c>
      <c r="E558" s="6">
        <v>37</v>
      </c>
    </row>
    <row r="559" spans="1:7" x14ac:dyDescent="0.3">
      <c r="A559" s="2" t="s">
        <v>193</v>
      </c>
      <c r="B559" s="4" t="s">
        <v>7</v>
      </c>
      <c r="C559" s="2" t="s">
        <v>95</v>
      </c>
      <c r="D559" s="2" t="s">
        <v>179</v>
      </c>
      <c r="E559" s="6">
        <v>37</v>
      </c>
    </row>
    <row r="560" spans="1:7" x14ac:dyDescent="0.3">
      <c r="A560" s="2" t="s">
        <v>193</v>
      </c>
      <c r="B560" s="4" t="s">
        <v>7</v>
      </c>
      <c r="C560" s="2" t="s">
        <v>95</v>
      </c>
      <c r="D560" s="2" t="s">
        <v>180</v>
      </c>
      <c r="E560" s="6">
        <v>37</v>
      </c>
    </row>
    <row r="561" spans="1:7" x14ac:dyDescent="0.3">
      <c r="A561" s="2" t="s">
        <v>193</v>
      </c>
      <c r="B561" s="4" t="s">
        <v>7</v>
      </c>
      <c r="C561" s="2" t="s">
        <v>95</v>
      </c>
      <c r="D561" s="2" t="s">
        <v>181</v>
      </c>
      <c r="E561" s="6">
        <v>37</v>
      </c>
    </row>
    <row r="562" spans="1:7" x14ac:dyDescent="0.3">
      <c r="A562" s="2" t="s">
        <v>193</v>
      </c>
      <c r="B562" s="4" t="s">
        <v>7</v>
      </c>
      <c r="C562" s="2" t="s">
        <v>95</v>
      </c>
      <c r="D562" s="2" t="s">
        <v>182</v>
      </c>
      <c r="E562" s="6">
        <v>37</v>
      </c>
    </row>
    <row r="563" spans="1:7" x14ac:dyDescent="0.3">
      <c r="A563" s="2" t="s">
        <v>193</v>
      </c>
      <c r="B563" s="4" t="s">
        <v>7</v>
      </c>
      <c r="C563" s="2" t="s">
        <v>95</v>
      </c>
      <c r="D563" s="2" t="s">
        <v>183</v>
      </c>
      <c r="E563" s="6">
        <v>8</v>
      </c>
    </row>
    <row r="564" spans="1:7" x14ac:dyDescent="0.3">
      <c r="A564" s="2" t="s">
        <v>193</v>
      </c>
      <c r="B564" s="4" t="s">
        <v>14</v>
      </c>
      <c r="C564" s="2" t="s">
        <v>74</v>
      </c>
      <c r="D564" s="2" t="s">
        <v>161</v>
      </c>
      <c r="E564" s="6">
        <v>7</v>
      </c>
    </row>
    <row r="565" spans="1:7" x14ac:dyDescent="0.3">
      <c r="A565" s="2" t="s">
        <v>193</v>
      </c>
      <c r="B565" s="4" t="s">
        <v>14</v>
      </c>
      <c r="C565" s="2" t="s">
        <v>74</v>
      </c>
      <c r="D565" s="2" t="s">
        <v>162</v>
      </c>
      <c r="E565" s="6">
        <v>11</v>
      </c>
    </row>
    <row r="566" spans="1:7" x14ac:dyDescent="0.3">
      <c r="A566" s="2" t="s">
        <v>193</v>
      </c>
      <c r="B566" s="4" t="s">
        <v>14</v>
      </c>
      <c r="C566" s="2" t="s">
        <v>74</v>
      </c>
      <c r="D566" s="2" t="s">
        <v>163</v>
      </c>
      <c r="E566" s="6">
        <v>12</v>
      </c>
    </row>
    <row r="567" spans="1:7" x14ac:dyDescent="0.3">
      <c r="A567" s="2" t="s">
        <v>193</v>
      </c>
      <c r="B567" s="4" t="s">
        <v>14</v>
      </c>
      <c r="C567" s="2" t="s">
        <v>74</v>
      </c>
      <c r="D567" s="2" t="s">
        <v>164</v>
      </c>
      <c r="E567" s="6">
        <v>10</v>
      </c>
    </row>
    <row r="568" spans="1:7" x14ac:dyDescent="0.3">
      <c r="A568" s="2" t="s">
        <v>193</v>
      </c>
      <c r="B568" s="4" t="s">
        <v>14</v>
      </c>
      <c r="C568" s="2" t="s">
        <v>74</v>
      </c>
      <c r="D568" s="2" t="s">
        <v>165</v>
      </c>
      <c r="E568" s="6">
        <v>8</v>
      </c>
    </row>
    <row r="569" spans="1:7" x14ac:dyDescent="0.3">
      <c r="A569" s="2" t="s">
        <v>193</v>
      </c>
      <c r="B569" s="4" t="s">
        <v>14</v>
      </c>
      <c r="C569" s="2" t="s">
        <v>81</v>
      </c>
      <c r="D569" s="2" t="s">
        <v>166</v>
      </c>
      <c r="E569" s="6">
        <v>50</v>
      </c>
    </row>
    <row r="570" spans="1:7" x14ac:dyDescent="0.3">
      <c r="A570" s="2" t="s">
        <v>193</v>
      </c>
      <c r="B570" s="4" t="s">
        <v>14</v>
      </c>
      <c r="C570" s="2" t="s">
        <v>81</v>
      </c>
      <c r="D570" s="2" t="s">
        <v>167</v>
      </c>
      <c r="E570" s="6">
        <v>19</v>
      </c>
    </row>
    <row r="571" spans="1:7" x14ac:dyDescent="0.3">
      <c r="A571" s="2" t="s">
        <v>193</v>
      </c>
      <c r="B571" s="4" t="s">
        <v>14</v>
      </c>
      <c r="C571" s="2" t="s">
        <v>81</v>
      </c>
      <c r="D571" s="2" t="s">
        <v>168</v>
      </c>
      <c r="E571" s="6">
        <v>35</v>
      </c>
    </row>
    <row r="572" spans="1:7" x14ac:dyDescent="0.3">
      <c r="A572" s="2" t="s">
        <v>193</v>
      </c>
      <c r="B572" s="4" t="s">
        <v>14</v>
      </c>
      <c r="C572" s="2" t="s">
        <v>81</v>
      </c>
      <c r="D572" s="2" t="s">
        <v>169</v>
      </c>
      <c r="E572" s="6">
        <v>42</v>
      </c>
    </row>
    <row r="573" spans="1:7" x14ac:dyDescent="0.3">
      <c r="A573" s="2" t="s">
        <v>193</v>
      </c>
      <c r="B573" s="4" t="s">
        <v>14</v>
      </c>
      <c r="C573" s="2" t="s">
        <v>81</v>
      </c>
      <c r="D573" s="2" t="s">
        <v>170</v>
      </c>
      <c r="E573" s="6">
        <v>39</v>
      </c>
    </row>
    <row r="574" spans="1:7" x14ac:dyDescent="0.3">
      <c r="A574" s="2" t="s">
        <v>193</v>
      </c>
      <c r="B574" s="4" t="s">
        <v>14</v>
      </c>
      <c r="C574" s="2" t="s">
        <v>81</v>
      </c>
      <c r="D574" s="2" t="s">
        <v>171</v>
      </c>
      <c r="E574" s="6">
        <v>48</v>
      </c>
      <c r="G574" s="20">
        <v>38</v>
      </c>
    </row>
    <row r="575" spans="1:7" x14ac:dyDescent="0.3">
      <c r="A575" s="2" t="s">
        <v>193</v>
      </c>
      <c r="B575" s="4" t="s">
        <v>14</v>
      </c>
      <c r="C575" s="2" t="s">
        <v>81</v>
      </c>
      <c r="D575" s="2" t="s">
        <v>172</v>
      </c>
      <c r="E575" s="6">
        <v>26</v>
      </c>
    </row>
    <row r="576" spans="1:7" x14ac:dyDescent="0.3">
      <c r="A576" s="2" t="s">
        <v>193</v>
      </c>
      <c r="B576" s="4" t="s">
        <v>14</v>
      </c>
      <c r="C576" s="2" t="s">
        <v>88</v>
      </c>
      <c r="D576" s="2" t="s">
        <v>173</v>
      </c>
      <c r="E576" s="6">
        <v>35</v>
      </c>
    </row>
    <row r="577" spans="1:5" x14ac:dyDescent="0.3">
      <c r="A577" s="2" t="s">
        <v>193</v>
      </c>
      <c r="B577" s="4" t="s">
        <v>14</v>
      </c>
      <c r="C577" s="2" t="s">
        <v>88</v>
      </c>
      <c r="D577" s="2" t="s">
        <v>174</v>
      </c>
      <c r="E577" s="6">
        <v>31</v>
      </c>
    </row>
    <row r="578" spans="1:5" x14ac:dyDescent="0.3">
      <c r="A578" s="2" t="s">
        <v>193</v>
      </c>
      <c r="B578" s="4" t="s">
        <v>14</v>
      </c>
      <c r="C578" s="2" t="s">
        <v>88</v>
      </c>
      <c r="D578" s="2" t="s">
        <v>175</v>
      </c>
      <c r="E578" s="6">
        <v>62</v>
      </c>
    </row>
    <row r="579" spans="1:5" x14ac:dyDescent="0.3">
      <c r="A579" s="2" t="s">
        <v>193</v>
      </c>
      <c r="B579" s="4" t="s">
        <v>14</v>
      </c>
      <c r="C579" s="2" t="s">
        <v>88</v>
      </c>
      <c r="D579" s="2" t="s">
        <v>176</v>
      </c>
      <c r="E579" s="6">
        <v>38</v>
      </c>
    </row>
    <row r="580" spans="1:5" x14ac:dyDescent="0.3">
      <c r="A580" s="2" t="s">
        <v>193</v>
      </c>
      <c r="B580" s="4" t="s">
        <v>14</v>
      </c>
      <c r="C580" s="2" t="s">
        <v>88</v>
      </c>
      <c r="D580" s="2" t="s">
        <v>177</v>
      </c>
      <c r="E580" s="6">
        <v>19</v>
      </c>
    </row>
    <row r="581" spans="1:5" x14ac:dyDescent="0.3">
      <c r="A581" s="2" t="s">
        <v>193</v>
      </c>
      <c r="B581" s="4" t="s">
        <v>14</v>
      </c>
      <c r="C581" s="2" t="s">
        <v>95</v>
      </c>
      <c r="D581" s="2" t="s">
        <v>178</v>
      </c>
      <c r="E581" s="6">
        <v>34</v>
      </c>
    </row>
    <row r="582" spans="1:5" x14ac:dyDescent="0.3">
      <c r="A582" s="2" t="s">
        <v>193</v>
      </c>
      <c r="B582" s="4" t="s">
        <v>14</v>
      </c>
      <c r="C582" s="2" t="s">
        <v>95</v>
      </c>
      <c r="D582" s="2" t="s">
        <v>179</v>
      </c>
      <c r="E582" s="6">
        <v>34</v>
      </c>
    </row>
    <row r="583" spans="1:5" x14ac:dyDescent="0.3">
      <c r="A583" s="2" t="s">
        <v>193</v>
      </c>
      <c r="B583" s="4" t="s">
        <v>14</v>
      </c>
      <c r="C583" s="2" t="s">
        <v>95</v>
      </c>
      <c r="D583" s="2" t="s">
        <v>180</v>
      </c>
      <c r="E583" s="6">
        <v>34</v>
      </c>
    </row>
    <row r="584" spans="1:5" x14ac:dyDescent="0.3">
      <c r="A584" s="2" t="s">
        <v>193</v>
      </c>
      <c r="B584" s="4" t="s">
        <v>14</v>
      </c>
      <c r="C584" s="2" t="s">
        <v>95</v>
      </c>
      <c r="D584" s="2" t="s">
        <v>181</v>
      </c>
      <c r="E584" s="6">
        <v>34</v>
      </c>
    </row>
    <row r="585" spans="1:5" x14ac:dyDescent="0.3">
      <c r="A585" s="2" t="s">
        <v>193</v>
      </c>
      <c r="B585" s="4" t="s">
        <v>14</v>
      </c>
      <c r="C585" s="2" t="s">
        <v>95</v>
      </c>
      <c r="D585" s="2" t="s">
        <v>182</v>
      </c>
      <c r="E585" s="6">
        <v>34</v>
      </c>
    </row>
    <row r="586" spans="1:5" x14ac:dyDescent="0.3">
      <c r="A586" s="2" t="s">
        <v>193</v>
      </c>
      <c r="B586" s="4" t="s">
        <v>14</v>
      </c>
      <c r="C586" s="2" t="s">
        <v>95</v>
      </c>
      <c r="D586" s="2" t="s">
        <v>183</v>
      </c>
      <c r="E586" s="6">
        <v>7</v>
      </c>
    </row>
    <row r="587" spans="1:5" x14ac:dyDescent="0.3">
      <c r="A587" s="2" t="s">
        <v>193</v>
      </c>
      <c r="B587" s="4" t="s">
        <v>5</v>
      </c>
      <c r="C587" s="2" t="s">
        <v>74</v>
      </c>
      <c r="D587" s="2" t="s">
        <v>161</v>
      </c>
      <c r="E587" s="6">
        <v>0</v>
      </c>
    </row>
    <row r="588" spans="1:5" x14ac:dyDescent="0.3">
      <c r="A588" s="2" t="s">
        <v>193</v>
      </c>
      <c r="B588" s="4" t="s">
        <v>5</v>
      </c>
      <c r="C588" s="2" t="s">
        <v>74</v>
      </c>
      <c r="D588" s="2" t="s">
        <v>162</v>
      </c>
      <c r="E588" s="6">
        <v>0</v>
      </c>
    </row>
    <row r="589" spans="1:5" x14ac:dyDescent="0.3">
      <c r="A589" s="2" t="s">
        <v>193</v>
      </c>
      <c r="B589" s="4" t="s">
        <v>5</v>
      </c>
      <c r="C589" s="2" t="s">
        <v>74</v>
      </c>
      <c r="D589" s="2" t="s">
        <v>163</v>
      </c>
      <c r="E589" s="6">
        <v>0</v>
      </c>
    </row>
    <row r="590" spans="1:5" x14ac:dyDescent="0.3">
      <c r="A590" s="2" t="s">
        <v>193</v>
      </c>
      <c r="B590" s="4" t="s">
        <v>5</v>
      </c>
      <c r="C590" s="2" t="s">
        <v>74</v>
      </c>
      <c r="D590" s="2" t="s">
        <v>164</v>
      </c>
      <c r="E590" s="6">
        <v>0</v>
      </c>
    </row>
    <row r="591" spans="1:5" x14ac:dyDescent="0.3">
      <c r="A591" s="2" t="s">
        <v>193</v>
      </c>
      <c r="B591" s="4" t="s">
        <v>5</v>
      </c>
      <c r="C591" s="2" t="s">
        <v>74</v>
      </c>
      <c r="D591" s="2" t="s">
        <v>165</v>
      </c>
      <c r="E591" s="6">
        <v>0</v>
      </c>
    </row>
    <row r="592" spans="1:5" x14ac:dyDescent="0.3">
      <c r="A592" s="2" t="s">
        <v>193</v>
      </c>
      <c r="B592" s="4" t="s">
        <v>5</v>
      </c>
      <c r="C592" s="2" t="s">
        <v>81</v>
      </c>
      <c r="D592" s="2" t="s">
        <v>166</v>
      </c>
      <c r="E592" s="6">
        <v>0</v>
      </c>
    </row>
    <row r="593" spans="1:7" x14ac:dyDescent="0.3">
      <c r="A593" s="2" t="s">
        <v>193</v>
      </c>
      <c r="B593" s="4" t="s">
        <v>5</v>
      </c>
      <c r="C593" s="2" t="s">
        <v>81</v>
      </c>
      <c r="D593" s="2" t="s">
        <v>167</v>
      </c>
      <c r="E593" s="6">
        <v>5</v>
      </c>
      <c r="G593" s="20">
        <v>43</v>
      </c>
    </row>
    <row r="594" spans="1:7" x14ac:dyDescent="0.3">
      <c r="A594" s="2" t="s">
        <v>193</v>
      </c>
      <c r="B594" s="4" t="s">
        <v>5</v>
      </c>
      <c r="C594" s="2" t="s">
        <v>81</v>
      </c>
      <c r="D594" s="2" t="s">
        <v>168</v>
      </c>
      <c r="E594" s="6">
        <v>41</v>
      </c>
    </row>
    <row r="595" spans="1:7" x14ac:dyDescent="0.3">
      <c r="A595" s="2" t="s">
        <v>193</v>
      </c>
      <c r="B595" s="4" t="s">
        <v>5</v>
      </c>
      <c r="C595" s="2" t="s">
        <v>81</v>
      </c>
      <c r="D595" s="2" t="s">
        <v>169</v>
      </c>
      <c r="E595" s="6">
        <v>70</v>
      </c>
    </row>
    <row r="596" spans="1:7" x14ac:dyDescent="0.3">
      <c r="A596" s="2" t="s">
        <v>193</v>
      </c>
      <c r="B596" s="4" t="s">
        <v>5</v>
      </c>
      <c r="C596" s="2" t="s">
        <v>81</v>
      </c>
      <c r="D596" s="2" t="s">
        <v>170</v>
      </c>
      <c r="E596" s="6">
        <v>17</v>
      </c>
    </row>
    <row r="597" spans="1:7" x14ac:dyDescent="0.3">
      <c r="A597" s="2" t="s">
        <v>193</v>
      </c>
      <c r="B597" s="4" t="s">
        <v>5</v>
      </c>
      <c r="C597" s="2" t="s">
        <v>81</v>
      </c>
      <c r="D597" s="2" t="s">
        <v>171</v>
      </c>
      <c r="E597" s="6">
        <v>56</v>
      </c>
    </row>
    <row r="598" spans="1:7" x14ac:dyDescent="0.3">
      <c r="A598" s="2" t="s">
        <v>193</v>
      </c>
      <c r="B598" s="4" t="s">
        <v>5</v>
      </c>
      <c r="C598" s="2" t="s">
        <v>81</v>
      </c>
      <c r="D598" s="2" t="s">
        <v>172</v>
      </c>
      <c r="E598" s="6">
        <v>31</v>
      </c>
    </row>
    <row r="599" spans="1:7" x14ac:dyDescent="0.3">
      <c r="A599" s="2" t="s">
        <v>193</v>
      </c>
      <c r="B599" s="4" t="s">
        <v>5</v>
      </c>
      <c r="C599" s="2" t="s">
        <v>88</v>
      </c>
      <c r="D599" s="2" t="s">
        <v>173</v>
      </c>
      <c r="E599" s="6">
        <v>25</v>
      </c>
    </row>
    <row r="600" spans="1:7" x14ac:dyDescent="0.3">
      <c r="A600" s="2" t="s">
        <v>193</v>
      </c>
      <c r="B600" s="4" t="s">
        <v>5</v>
      </c>
      <c r="C600" s="2" t="s">
        <v>88</v>
      </c>
      <c r="D600" s="2" t="s">
        <v>174</v>
      </c>
      <c r="E600" s="6">
        <v>92</v>
      </c>
    </row>
    <row r="601" spans="1:7" x14ac:dyDescent="0.3">
      <c r="A601" s="2" t="s">
        <v>193</v>
      </c>
      <c r="B601" s="4" t="s">
        <v>5</v>
      </c>
      <c r="C601" s="2" t="s">
        <v>88</v>
      </c>
      <c r="D601" s="2" t="s">
        <v>175</v>
      </c>
      <c r="E601" s="6">
        <v>29</v>
      </c>
    </row>
    <row r="602" spans="1:7" x14ac:dyDescent="0.3">
      <c r="A602" s="2" t="s">
        <v>193</v>
      </c>
      <c r="B602" s="4" t="s">
        <v>5</v>
      </c>
      <c r="C602" s="2" t="s">
        <v>88</v>
      </c>
      <c r="D602" s="2" t="s">
        <v>176</v>
      </c>
      <c r="E602" s="6">
        <v>40</v>
      </c>
    </row>
    <row r="603" spans="1:7" x14ac:dyDescent="0.3">
      <c r="A603" s="2" t="s">
        <v>193</v>
      </c>
      <c r="B603" s="4" t="s">
        <v>5</v>
      </c>
      <c r="C603" s="2" t="s">
        <v>88</v>
      </c>
      <c r="D603" s="2" t="s">
        <v>177</v>
      </c>
      <c r="E603" s="6">
        <v>21</v>
      </c>
    </row>
    <row r="604" spans="1:7" x14ac:dyDescent="0.3">
      <c r="A604" s="2" t="s">
        <v>193</v>
      </c>
      <c r="B604" s="4" t="s">
        <v>5</v>
      </c>
      <c r="C604" s="2" t="s">
        <v>95</v>
      </c>
      <c r="D604" s="2" t="s">
        <v>178</v>
      </c>
      <c r="E604" s="6">
        <v>38</v>
      </c>
    </row>
    <row r="605" spans="1:7" x14ac:dyDescent="0.3">
      <c r="A605" s="2" t="s">
        <v>193</v>
      </c>
      <c r="B605" s="4" t="s">
        <v>5</v>
      </c>
      <c r="C605" s="2" t="s">
        <v>95</v>
      </c>
      <c r="D605" s="2" t="s">
        <v>179</v>
      </c>
      <c r="E605" s="6">
        <v>38</v>
      </c>
    </row>
    <row r="606" spans="1:7" x14ac:dyDescent="0.3">
      <c r="A606" s="2" t="s">
        <v>193</v>
      </c>
      <c r="B606" s="4" t="s">
        <v>5</v>
      </c>
      <c r="C606" s="2" t="s">
        <v>95</v>
      </c>
      <c r="D606" s="2" t="s">
        <v>180</v>
      </c>
      <c r="E606" s="6">
        <v>38</v>
      </c>
    </row>
    <row r="607" spans="1:7" x14ac:dyDescent="0.3">
      <c r="A607" s="2" t="s">
        <v>193</v>
      </c>
      <c r="B607" s="4" t="s">
        <v>5</v>
      </c>
      <c r="C607" s="2" t="s">
        <v>95</v>
      </c>
      <c r="D607" s="2" t="s">
        <v>181</v>
      </c>
      <c r="E607" s="6">
        <v>38</v>
      </c>
    </row>
    <row r="608" spans="1:7" x14ac:dyDescent="0.3">
      <c r="A608" s="2" t="s">
        <v>193</v>
      </c>
      <c r="B608" s="4" t="s">
        <v>5</v>
      </c>
      <c r="C608" s="2" t="s">
        <v>95</v>
      </c>
      <c r="D608" s="2" t="s">
        <v>182</v>
      </c>
      <c r="E608" s="6">
        <v>38</v>
      </c>
    </row>
    <row r="609" spans="1:5" x14ac:dyDescent="0.3">
      <c r="A609" s="2" t="s">
        <v>193</v>
      </c>
      <c r="B609" s="4" t="s">
        <v>5</v>
      </c>
      <c r="C609" s="2" t="s">
        <v>95</v>
      </c>
      <c r="D609" s="2" t="s">
        <v>183</v>
      </c>
      <c r="E609" s="6">
        <v>8</v>
      </c>
    </row>
    <row r="610" spans="1:5" x14ac:dyDescent="0.3">
      <c r="A610" s="2" t="s">
        <v>193</v>
      </c>
      <c r="B610" s="4" t="s">
        <v>194</v>
      </c>
      <c r="C610" s="2" t="s">
        <v>74</v>
      </c>
      <c r="D610" s="2" t="s">
        <v>161</v>
      </c>
      <c r="E610" s="6">
        <v>10</v>
      </c>
    </row>
    <row r="611" spans="1:5" x14ac:dyDescent="0.3">
      <c r="A611" s="2" t="s">
        <v>193</v>
      </c>
      <c r="B611" s="4" t="s">
        <v>194</v>
      </c>
      <c r="C611" s="2" t="s">
        <v>74</v>
      </c>
      <c r="D611" s="2" t="s">
        <v>162</v>
      </c>
      <c r="E611" s="6">
        <v>39</v>
      </c>
    </row>
    <row r="612" spans="1:5" x14ac:dyDescent="0.3">
      <c r="A612" s="2" t="s">
        <v>193</v>
      </c>
      <c r="B612" s="4" t="s">
        <v>194</v>
      </c>
      <c r="C612" s="2" t="s">
        <v>74</v>
      </c>
      <c r="D612" s="2" t="s">
        <v>163</v>
      </c>
      <c r="E612" s="6">
        <v>46</v>
      </c>
    </row>
    <row r="613" spans="1:5" x14ac:dyDescent="0.3">
      <c r="A613" s="2" t="s">
        <v>193</v>
      </c>
      <c r="B613" s="4" t="s">
        <v>194</v>
      </c>
      <c r="C613" s="2" t="s">
        <v>74</v>
      </c>
      <c r="D613" s="2" t="s">
        <v>164</v>
      </c>
      <c r="E613" s="6">
        <v>18</v>
      </c>
    </row>
    <row r="614" spans="1:5" x14ac:dyDescent="0.3">
      <c r="A614" s="2" t="s">
        <v>193</v>
      </c>
      <c r="B614" s="4" t="s">
        <v>194</v>
      </c>
      <c r="C614" s="2" t="s">
        <v>74</v>
      </c>
      <c r="D614" s="2" t="s">
        <v>165</v>
      </c>
      <c r="E614" s="6">
        <v>25</v>
      </c>
    </row>
    <row r="615" spans="1:5" x14ac:dyDescent="0.3">
      <c r="A615" s="2" t="s">
        <v>193</v>
      </c>
      <c r="B615" s="4" t="s">
        <v>194</v>
      </c>
      <c r="C615" s="2" t="s">
        <v>81</v>
      </c>
      <c r="D615" s="2" t="s">
        <v>166</v>
      </c>
      <c r="E615" s="6">
        <v>45</v>
      </c>
    </row>
    <row r="616" spans="1:5" x14ac:dyDescent="0.3">
      <c r="A616" s="2" t="s">
        <v>193</v>
      </c>
      <c r="B616" s="4" t="s">
        <v>194</v>
      </c>
      <c r="C616" s="2" t="s">
        <v>81</v>
      </c>
      <c r="D616" s="2" t="s">
        <v>167</v>
      </c>
      <c r="E616" s="6">
        <v>33</v>
      </c>
    </row>
    <row r="617" spans="1:5" x14ac:dyDescent="0.3">
      <c r="A617" s="2" t="s">
        <v>193</v>
      </c>
      <c r="B617" s="4" t="s">
        <v>194</v>
      </c>
      <c r="C617" s="2" t="s">
        <v>81</v>
      </c>
      <c r="D617" s="2" t="s">
        <v>168</v>
      </c>
      <c r="E617" s="6">
        <v>27</v>
      </c>
    </row>
    <row r="618" spans="1:5" x14ac:dyDescent="0.3">
      <c r="A618" s="2" t="s">
        <v>193</v>
      </c>
      <c r="B618" s="4" t="s">
        <v>194</v>
      </c>
      <c r="C618" s="2" t="s">
        <v>81</v>
      </c>
      <c r="D618" s="2" t="s">
        <v>169</v>
      </c>
      <c r="E618" s="6">
        <v>46</v>
      </c>
    </row>
    <row r="619" spans="1:5" x14ac:dyDescent="0.3">
      <c r="A619" s="2" t="s">
        <v>193</v>
      </c>
      <c r="B619" s="4" t="s">
        <v>194</v>
      </c>
      <c r="C619" s="2" t="s">
        <v>81</v>
      </c>
      <c r="D619" s="2" t="s">
        <v>170</v>
      </c>
      <c r="E619" s="6">
        <v>30</v>
      </c>
    </row>
    <row r="620" spans="1:5" x14ac:dyDescent="0.3">
      <c r="A620" s="2" t="s">
        <v>193</v>
      </c>
      <c r="B620" s="4" t="s">
        <v>194</v>
      </c>
      <c r="C620" s="2" t="s">
        <v>81</v>
      </c>
      <c r="D620" s="2" t="s">
        <v>171</v>
      </c>
      <c r="E620" s="6">
        <v>34</v>
      </c>
    </row>
    <row r="621" spans="1:5" x14ac:dyDescent="0.3">
      <c r="A621" s="2" t="s">
        <v>193</v>
      </c>
      <c r="B621" s="4" t="s">
        <v>194</v>
      </c>
      <c r="C621" s="2" t="s">
        <v>81</v>
      </c>
      <c r="D621" s="2" t="s">
        <v>172</v>
      </c>
      <c r="E621" s="6">
        <v>33</v>
      </c>
    </row>
    <row r="622" spans="1:5" x14ac:dyDescent="0.3">
      <c r="A622" s="2" t="s">
        <v>193</v>
      </c>
      <c r="B622" s="4" t="s">
        <v>194</v>
      </c>
      <c r="C622" s="2" t="s">
        <v>88</v>
      </c>
      <c r="D622" s="2" t="s">
        <v>173</v>
      </c>
      <c r="E622" s="6">
        <v>55</v>
      </c>
    </row>
    <row r="623" spans="1:5" x14ac:dyDescent="0.3">
      <c r="A623" s="2" t="s">
        <v>193</v>
      </c>
      <c r="B623" s="4" t="s">
        <v>194</v>
      </c>
      <c r="C623" s="2" t="s">
        <v>88</v>
      </c>
      <c r="D623" s="2" t="s">
        <v>174</v>
      </c>
      <c r="E623" s="6">
        <v>42</v>
      </c>
    </row>
    <row r="624" spans="1:5" x14ac:dyDescent="0.3">
      <c r="A624" s="2" t="s">
        <v>193</v>
      </c>
      <c r="B624" s="4" t="s">
        <v>194</v>
      </c>
      <c r="C624" s="2" t="s">
        <v>88</v>
      </c>
      <c r="D624" s="2" t="s">
        <v>175</v>
      </c>
      <c r="E624" s="6">
        <v>38</v>
      </c>
    </row>
    <row r="625" spans="1:7" x14ac:dyDescent="0.3">
      <c r="A625" s="2" t="s">
        <v>193</v>
      </c>
      <c r="B625" s="4" t="s">
        <v>194</v>
      </c>
      <c r="C625" s="2" t="s">
        <v>88</v>
      </c>
      <c r="D625" s="2" t="s">
        <v>176</v>
      </c>
      <c r="E625" s="6">
        <v>52</v>
      </c>
    </row>
    <row r="626" spans="1:7" x14ac:dyDescent="0.3">
      <c r="A626" s="2" t="s">
        <v>193</v>
      </c>
      <c r="B626" s="4" t="s">
        <v>194</v>
      </c>
      <c r="C626" s="2" t="s">
        <v>88</v>
      </c>
      <c r="D626" s="2" t="s">
        <v>177</v>
      </c>
      <c r="E626" s="6">
        <v>20</v>
      </c>
    </row>
    <row r="627" spans="1:7" x14ac:dyDescent="0.3">
      <c r="A627" s="2" t="s">
        <v>193</v>
      </c>
      <c r="B627" s="4" t="s">
        <v>194</v>
      </c>
      <c r="C627" s="2" t="s">
        <v>95</v>
      </c>
      <c r="D627" s="2" t="s">
        <v>178</v>
      </c>
      <c r="E627" s="6">
        <v>36</v>
      </c>
    </row>
    <row r="628" spans="1:7" x14ac:dyDescent="0.3">
      <c r="A628" s="2" t="s">
        <v>193</v>
      </c>
      <c r="B628" s="4" t="s">
        <v>194</v>
      </c>
      <c r="C628" s="2" t="s">
        <v>95</v>
      </c>
      <c r="D628" s="2" t="s">
        <v>179</v>
      </c>
      <c r="E628" s="6">
        <v>36</v>
      </c>
      <c r="G628" s="20">
        <v>40</v>
      </c>
    </row>
    <row r="629" spans="1:7" x14ac:dyDescent="0.3">
      <c r="A629" s="2" t="s">
        <v>193</v>
      </c>
      <c r="B629" s="4" t="s">
        <v>194</v>
      </c>
      <c r="C629" s="2" t="s">
        <v>95</v>
      </c>
      <c r="D629" s="2" t="s">
        <v>180</v>
      </c>
      <c r="E629" s="6">
        <v>36</v>
      </c>
    </row>
    <row r="630" spans="1:7" x14ac:dyDescent="0.3">
      <c r="A630" s="2" t="s">
        <v>193</v>
      </c>
      <c r="B630" s="4" t="s">
        <v>194</v>
      </c>
      <c r="C630" s="2" t="s">
        <v>95</v>
      </c>
      <c r="D630" s="2" t="s">
        <v>181</v>
      </c>
      <c r="E630" s="6">
        <v>36</v>
      </c>
    </row>
    <row r="631" spans="1:7" x14ac:dyDescent="0.3">
      <c r="A631" s="2" t="s">
        <v>193</v>
      </c>
      <c r="B631" s="4" t="s">
        <v>194</v>
      </c>
      <c r="C631" s="2" t="s">
        <v>95</v>
      </c>
      <c r="D631" s="2" t="s">
        <v>182</v>
      </c>
      <c r="E631" s="6">
        <v>36</v>
      </c>
    </row>
    <row r="632" spans="1:7" x14ac:dyDescent="0.3">
      <c r="A632" s="2" t="s">
        <v>193</v>
      </c>
      <c r="B632" s="4" t="s">
        <v>194</v>
      </c>
      <c r="C632" s="2" t="s">
        <v>95</v>
      </c>
      <c r="D632" s="2" t="s">
        <v>183</v>
      </c>
      <c r="E632" s="6">
        <v>8</v>
      </c>
    </row>
    <row r="633" spans="1:7" x14ac:dyDescent="0.3">
      <c r="A633" s="21" t="s">
        <v>36</v>
      </c>
      <c r="B633" s="22" t="s">
        <v>195</v>
      </c>
      <c r="C633" s="21" t="s">
        <v>74</v>
      </c>
      <c r="D633" s="21" t="s">
        <v>161</v>
      </c>
      <c r="E633" s="23">
        <v>26</v>
      </c>
      <c r="G633" s="28"/>
    </row>
    <row r="634" spans="1:7" x14ac:dyDescent="0.3">
      <c r="A634" s="21" t="s">
        <v>36</v>
      </c>
      <c r="B634" s="22" t="s">
        <v>195</v>
      </c>
      <c r="C634" s="21" t="s">
        <v>74</v>
      </c>
      <c r="D634" s="21" t="s">
        <v>162</v>
      </c>
      <c r="E634" s="23">
        <v>25</v>
      </c>
    </row>
    <row r="635" spans="1:7" x14ac:dyDescent="0.3">
      <c r="A635" s="21" t="s">
        <v>36</v>
      </c>
      <c r="B635" s="22" t="s">
        <v>195</v>
      </c>
      <c r="C635" s="21" t="s">
        <v>74</v>
      </c>
      <c r="D635" s="21" t="s">
        <v>163</v>
      </c>
      <c r="E635" s="23">
        <v>18</v>
      </c>
    </row>
    <row r="636" spans="1:7" x14ac:dyDescent="0.3">
      <c r="A636" s="21" t="s">
        <v>36</v>
      </c>
      <c r="B636" s="22" t="s">
        <v>195</v>
      </c>
      <c r="C636" s="21" t="s">
        <v>74</v>
      </c>
      <c r="D636" s="21" t="s">
        <v>164</v>
      </c>
      <c r="E636" s="23">
        <v>34</v>
      </c>
    </row>
    <row r="637" spans="1:7" x14ac:dyDescent="0.3">
      <c r="A637" s="21" t="s">
        <v>36</v>
      </c>
      <c r="B637" s="22" t="s">
        <v>195</v>
      </c>
      <c r="C637" s="21" t="s">
        <v>74</v>
      </c>
      <c r="D637" s="21" t="s">
        <v>165</v>
      </c>
      <c r="E637" s="23">
        <v>36</v>
      </c>
    </row>
    <row r="638" spans="1:7" x14ac:dyDescent="0.3">
      <c r="A638" s="21" t="s">
        <v>36</v>
      </c>
      <c r="B638" s="22" t="s">
        <v>195</v>
      </c>
      <c r="C638" s="21" t="s">
        <v>81</v>
      </c>
      <c r="D638" s="21" t="s">
        <v>166</v>
      </c>
      <c r="E638" s="23">
        <v>18</v>
      </c>
    </row>
    <row r="639" spans="1:7" x14ac:dyDescent="0.3">
      <c r="A639" s="21" t="s">
        <v>36</v>
      </c>
      <c r="B639" s="22" t="s">
        <v>195</v>
      </c>
      <c r="C639" s="21" t="s">
        <v>81</v>
      </c>
      <c r="D639" s="21" t="s">
        <v>167</v>
      </c>
      <c r="E639" s="23">
        <v>23</v>
      </c>
    </row>
    <row r="640" spans="1:7" x14ac:dyDescent="0.3">
      <c r="A640" s="21" t="s">
        <v>36</v>
      </c>
      <c r="B640" s="22" t="s">
        <v>195</v>
      </c>
      <c r="C640" s="21" t="s">
        <v>81</v>
      </c>
      <c r="D640" s="21" t="s">
        <v>168</v>
      </c>
      <c r="E640" s="23">
        <v>40</v>
      </c>
    </row>
    <row r="641" spans="1:5" x14ac:dyDescent="0.3">
      <c r="A641" s="21" t="s">
        <v>36</v>
      </c>
      <c r="B641" s="22" t="s">
        <v>195</v>
      </c>
      <c r="C641" s="21" t="s">
        <v>81</v>
      </c>
      <c r="D641" s="21" t="s">
        <v>169</v>
      </c>
      <c r="E641" s="23">
        <v>28</v>
      </c>
    </row>
    <row r="642" spans="1:5" x14ac:dyDescent="0.3">
      <c r="A642" s="21" t="s">
        <v>36</v>
      </c>
      <c r="B642" s="22" t="s">
        <v>195</v>
      </c>
      <c r="C642" s="21" t="s">
        <v>81</v>
      </c>
      <c r="D642" s="21" t="s">
        <v>170</v>
      </c>
      <c r="E642" s="23">
        <v>28</v>
      </c>
    </row>
    <row r="643" spans="1:5" x14ac:dyDescent="0.3">
      <c r="A643" s="21" t="s">
        <v>36</v>
      </c>
      <c r="B643" s="22" t="s">
        <v>195</v>
      </c>
      <c r="C643" s="21" t="s">
        <v>81</v>
      </c>
      <c r="D643" s="21" t="s">
        <v>171</v>
      </c>
      <c r="E643" s="23">
        <v>35</v>
      </c>
    </row>
    <row r="644" spans="1:5" x14ac:dyDescent="0.3">
      <c r="A644" s="21" t="s">
        <v>36</v>
      </c>
      <c r="B644" s="22" t="s">
        <v>195</v>
      </c>
      <c r="C644" s="21" t="s">
        <v>81</v>
      </c>
      <c r="D644" s="21" t="s">
        <v>172</v>
      </c>
      <c r="E644" s="23">
        <v>32</v>
      </c>
    </row>
    <row r="645" spans="1:5" x14ac:dyDescent="0.3">
      <c r="A645" s="21" t="s">
        <v>36</v>
      </c>
      <c r="B645" s="22" t="s">
        <v>195</v>
      </c>
      <c r="C645" s="21" t="s">
        <v>88</v>
      </c>
      <c r="D645" s="21" t="s">
        <v>173</v>
      </c>
      <c r="E645" s="23">
        <v>38</v>
      </c>
    </row>
    <row r="646" spans="1:5" x14ac:dyDescent="0.3">
      <c r="A646" s="21" t="s">
        <v>36</v>
      </c>
      <c r="B646" s="22" t="s">
        <v>195</v>
      </c>
      <c r="C646" s="21" t="s">
        <v>88</v>
      </c>
      <c r="D646" s="21" t="s">
        <v>174</v>
      </c>
      <c r="E646" s="23">
        <v>63</v>
      </c>
    </row>
    <row r="647" spans="1:5" x14ac:dyDescent="0.3">
      <c r="A647" s="21" t="s">
        <v>36</v>
      </c>
      <c r="B647" s="22" t="s">
        <v>195</v>
      </c>
      <c r="C647" s="21" t="s">
        <v>88</v>
      </c>
      <c r="D647" s="21" t="s">
        <v>175</v>
      </c>
      <c r="E647" s="23">
        <v>66</v>
      </c>
    </row>
    <row r="648" spans="1:5" x14ac:dyDescent="0.3">
      <c r="A648" s="21" t="s">
        <v>36</v>
      </c>
      <c r="B648" s="22" t="s">
        <v>195</v>
      </c>
      <c r="C648" s="21" t="s">
        <v>88</v>
      </c>
      <c r="D648" s="21" t="s">
        <v>176</v>
      </c>
      <c r="E648" s="23">
        <v>29</v>
      </c>
    </row>
    <row r="649" spans="1:5" x14ac:dyDescent="0.3">
      <c r="A649" s="21" t="s">
        <v>36</v>
      </c>
      <c r="B649" s="22" t="s">
        <v>195</v>
      </c>
      <c r="C649" s="21" t="s">
        <v>88</v>
      </c>
      <c r="D649" s="21" t="s">
        <v>177</v>
      </c>
      <c r="E649" s="23">
        <v>30</v>
      </c>
    </row>
    <row r="650" spans="1:5" x14ac:dyDescent="0.3">
      <c r="A650" s="21" t="s">
        <v>36</v>
      </c>
      <c r="B650" s="22" t="s">
        <v>195</v>
      </c>
      <c r="C650" s="21" t="s">
        <v>95</v>
      </c>
      <c r="D650" s="21" t="s">
        <v>178</v>
      </c>
      <c r="E650" s="24">
        <v>41</v>
      </c>
    </row>
    <row r="651" spans="1:5" x14ac:dyDescent="0.3">
      <c r="A651" s="21" t="s">
        <v>36</v>
      </c>
      <c r="B651" s="22" t="s">
        <v>195</v>
      </c>
      <c r="C651" s="21" t="s">
        <v>95</v>
      </c>
      <c r="D651" s="21" t="s">
        <v>179</v>
      </c>
      <c r="E651" s="24">
        <v>36</v>
      </c>
    </row>
    <row r="652" spans="1:5" x14ac:dyDescent="0.3">
      <c r="A652" s="21" t="s">
        <v>36</v>
      </c>
      <c r="B652" s="22" t="s">
        <v>195</v>
      </c>
      <c r="C652" s="21" t="s">
        <v>95</v>
      </c>
      <c r="D652" s="21" t="s">
        <v>180</v>
      </c>
      <c r="E652" s="24">
        <v>36</v>
      </c>
    </row>
    <row r="653" spans="1:5" x14ac:dyDescent="0.3">
      <c r="A653" s="21" t="s">
        <v>36</v>
      </c>
      <c r="B653" s="22" t="s">
        <v>195</v>
      </c>
      <c r="C653" s="21" t="s">
        <v>95</v>
      </c>
      <c r="D653" s="21" t="s">
        <v>181</v>
      </c>
      <c r="E653" s="24">
        <v>36</v>
      </c>
    </row>
    <row r="654" spans="1:5" x14ac:dyDescent="0.3">
      <c r="A654" s="21" t="s">
        <v>36</v>
      </c>
      <c r="B654" s="22" t="s">
        <v>195</v>
      </c>
      <c r="C654" s="21" t="s">
        <v>95</v>
      </c>
      <c r="D654" s="21" t="s">
        <v>182</v>
      </c>
      <c r="E654" s="24">
        <v>36</v>
      </c>
    </row>
    <row r="655" spans="1:5" x14ac:dyDescent="0.3">
      <c r="A655" s="21" t="s">
        <v>36</v>
      </c>
      <c r="B655" s="22" t="s">
        <v>195</v>
      </c>
      <c r="C655" s="21" t="s">
        <v>95</v>
      </c>
      <c r="D655" s="21" t="s">
        <v>183</v>
      </c>
      <c r="E655" s="24">
        <v>15</v>
      </c>
    </row>
    <row r="656" spans="1:5" x14ac:dyDescent="0.3">
      <c r="A656" s="21" t="s">
        <v>36</v>
      </c>
      <c r="B656" s="22" t="s">
        <v>196</v>
      </c>
      <c r="C656" s="21" t="s">
        <v>74</v>
      </c>
      <c r="D656" s="21" t="s">
        <v>161</v>
      </c>
      <c r="E656" s="23">
        <v>0</v>
      </c>
    </row>
    <row r="657" spans="1:5" x14ac:dyDescent="0.3">
      <c r="A657" s="21" t="s">
        <v>36</v>
      </c>
      <c r="B657" s="22" t="s">
        <v>196</v>
      </c>
      <c r="C657" s="21" t="s">
        <v>74</v>
      </c>
      <c r="D657" s="21" t="s">
        <v>162</v>
      </c>
      <c r="E657" s="23">
        <v>8</v>
      </c>
    </row>
    <row r="658" spans="1:5" x14ac:dyDescent="0.3">
      <c r="A658" s="21" t="s">
        <v>36</v>
      </c>
      <c r="B658" s="22" t="s">
        <v>196</v>
      </c>
      <c r="C658" s="21" t="s">
        <v>74</v>
      </c>
      <c r="D658" s="21" t="s">
        <v>163</v>
      </c>
      <c r="E658" s="23">
        <v>10</v>
      </c>
    </row>
    <row r="659" spans="1:5" x14ac:dyDescent="0.3">
      <c r="A659" s="21" t="s">
        <v>36</v>
      </c>
      <c r="B659" s="22" t="s">
        <v>196</v>
      </c>
      <c r="C659" s="21" t="s">
        <v>74</v>
      </c>
      <c r="D659" s="21" t="s">
        <v>164</v>
      </c>
      <c r="E659" s="23">
        <v>22</v>
      </c>
    </row>
    <row r="660" spans="1:5" x14ac:dyDescent="0.3">
      <c r="A660" s="21" t="s">
        <v>36</v>
      </c>
      <c r="B660" s="22" t="s">
        <v>196</v>
      </c>
      <c r="C660" s="21" t="s">
        <v>74</v>
      </c>
      <c r="D660" s="21" t="s">
        <v>165</v>
      </c>
      <c r="E660" s="23">
        <v>27</v>
      </c>
    </row>
    <row r="661" spans="1:5" x14ac:dyDescent="0.3">
      <c r="A661" s="21" t="s">
        <v>36</v>
      </c>
      <c r="B661" s="22" t="s">
        <v>196</v>
      </c>
      <c r="C661" s="21" t="s">
        <v>81</v>
      </c>
      <c r="D661" s="21" t="s">
        <v>166</v>
      </c>
      <c r="E661" s="23">
        <v>24</v>
      </c>
    </row>
    <row r="662" spans="1:5" x14ac:dyDescent="0.3">
      <c r="A662" s="21" t="s">
        <v>36</v>
      </c>
      <c r="B662" s="22" t="s">
        <v>196</v>
      </c>
      <c r="C662" s="21" t="s">
        <v>81</v>
      </c>
      <c r="D662" s="21" t="s">
        <v>167</v>
      </c>
      <c r="E662" s="23">
        <v>23</v>
      </c>
    </row>
    <row r="663" spans="1:5" x14ac:dyDescent="0.3">
      <c r="A663" s="21" t="s">
        <v>36</v>
      </c>
      <c r="B663" s="22" t="s">
        <v>196</v>
      </c>
      <c r="C663" s="21" t="s">
        <v>81</v>
      </c>
      <c r="D663" s="21" t="s">
        <v>168</v>
      </c>
      <c r="E663" s="23">
        <v>26</v>
      </c>
    </row>
    <row r="664" spans="1:5" x14ac:dyDescent="0.3">
      <c r="A664" s="21" t="s">
        <v>36</v>
      </c>
      <c r="B664" s="22" t="s">
        <v>196</v>
      </c>
      <c r="C664" s="21" t="s">
        <v>81</v>
      </c>
      <c r="D664" s="21" t="s">
        <v>169</v>
      </c>
      <c r="E664" s="23">
        <v>38</v>
      </c>
    </row>
    <row r="665" spans="1:5" x14ac:dyDescent="0.3">
      <c r="A665" s="21" t="s">
        <v>36</v>
      </c>
      <c r="B665" s="22" t="s">
        <v>196</v>
      </c>
      <c r="C665" s="21" t="s">
        <v>81</v>
      </c>
      <c r="D665" s="21" t="s">
        <v>170</v>
      </c>
      <c r="E665" s="23">
        <v>23</v>
      </c>
    </row>
    <row r="666" spans="1:5" x14ac:dyDescent="0.3">
      <c r="A666" s="21" t="s">
        <v>36</v>
      </c>
      <c r="B666" s="22" t="s">
        <v>196</v>
      </c>
      <c r="C666" s="21" t="s">
        <v>81</v>
      </c>
      <c r="D666" s="21" t="s">
        <v>171</v>
      </c>
      <c r="E666" s="23">
        <v>32</v>
      </c>
    </row>
    <row r="667" spans="1:5" x14ac:dyDescent="0.3">
      <c r="A667" s="21" t="s">
        <v>36</v>
      </c>
      <c r="B667" s="22" t="s">
        <v>196</v>
      </c>
      <c r="C667" s="21" t="s">
        <v>81</v>
      </c>
      <c r="D667" s="21" t="s">
        <v>172</v>
      </c>
      <c r="E667" s="23">
        <v>18</v>
      </c>
    </row>
    <row r="668" spans="1:5" x14ac:dyDescent="0.3">
      <c r="A668" s="21" t="s">
        <v>36</v>
      </c>
      <c r="B668" s="22" t="s">
        <v>196</v>
      </c>
      <c r="C668" s="21" t="s">
        <v>88</v>
      </c>
      <c r="D668" s="21" t="s">
        <v>173</v>
      </c>
      <c r="E668" s="23">
        <v>13</v>
      </c>
    </row>
    <row r="669" spans="1:5" x14ac:dyDescent="0.3">
      <c r="A669" s="21" t="s">
        <v>36</v>
      </c>
      <c r="B669" s="22" t="s">
        <v>196</v>
      </c>
      <c r="C669" s="21" t="s">
        <v>88</v>
      </c>
      <c r="D669" s="21" t="s">
        <v>174</v>
      </c>
      <c r="E669" s="23">
        <v>43</v>
      </c>
    </row>
    <row r="670" spans="1:5" x14ac:dyDescent="0.3">
      <c r="A670" s="21" t="s">
        <v>36</v>
      </c>
      <c r="B670" s="22" t="s">
        <v>196</v>
      </c>
      <c r="C670" s="21" t="s">
        <v>88</v>
      </c>
      <c r="D670" s="21" t="s">
        <v>175</v>
      </c>
      <c r="E670" s="23">
        <v>60</v>
      </c>
    </row>
    <row r="671" spans="1:5" x14ac:dyDescent="0.3">
      <c r="A671" s="21" t="s">
        <v>36</v>
      </c>
      <c r="B671" s="22" t="s">
        <v>196</v>
      </c>
      <c r="C671" s="21" t="s">
        <v>88</v>
      </c>
      <c r="D671" s="21" t="s">
        <v>176</v>
      </c>
      <c r="E671" s="23">
        <v>51</v>
      </c>
    </row>
    <row r="672" spans="1:5" x14ac:dyDescent="0.3">
      <c r="A672" s="21" t="s">
        <v>36</v>
      </c>
      <c r="B672" s="22" t="s">
        <v>196</v>
      </c>
      <c r="C672" s="21" t="s">
        <v>88</v>
      </c>
      <c r="D672" s="21" t="s">
        <v>177</v>
      </c>
      <c r="E672" s="23">
        <v>39</v>
      </c>
    </row>
    <row r="673" spans="1:5" x14ac:dyDescent="0.3">
      <c r="A673" s="21" t="s">
        <v>36</v>
      </c>
      <c r="B673" s="22" t="s">
        <v>196</v>
      </c>
      <c r="C673" s="21" t="s">
        <v>95</v>
      </c>
      <c r="D673" s="21" t="s">
        <v>178</v>
      </c>
      <c r="E673" s="24">
        <v>31</v>
      </c>
    </row>
    <row r="674" spans="1:5" x14ac:dyDescent="0.3">
      <c r="A674" s="21" t="s">
        <v>36</v>
      </c>
      <c r="B674" s="22" t="s">
        <v>196</v>
      </c>
      <c r="C674" s="21" t="s">
        <v>95</v>
      </c>
      <c r="D674" s="21" t="s">
        <v>179</v>
      </c>
      <c r="E674" s="24">
        <v>27</v>
      </c>
    </row>
    <row r="675" spans="1:5" x14ac:dyDescent="0.3">
      <c r="A675" s="21" t="s">
        <v>36</v>
      </c>
      <c r="B675" s="22" t="s">
        <v>196</v>
      </c>
      <c r="C675" s="21" t="s">
        <v>95</v>
      </c>
      <c r="D675" s="21" t="s">
        <v>180</v>
      </c>
      <c r="E675" s="24">
        <v>27</v>
      </c>
    </row>
    <row r="676" spans="1:5" x14ac:dyDescent="0.3">
      <c r="A676" s="21" t="s">
        <v>36</v>
      </c>
      <c r="B676" s="22" t="s">
        <v>196</v>
      </c>
      <c r="C676" s="21" t="s">
        <v>95</v>
      </c>
      <c r="D676" s="21" t="s">
        <v>181</v>
      </c>
      <c r="E676" s="24">
        <v>27</v>
      </c>
    </row>
    <row r="677" spans="1:5" x14ac:dyDescent="0.3">
      <c r="A677" s="21" t="s">
        <v>36</v>
      </c>
      <c r="B677" s="22" t="s">
        <v>196</v>
      </c>
      <c r="C677" s="21" t="s">
        <v>95</v>
      </c>
      <c r="D677" s="21" t="s">
        <v>182</v>
      </c>
      <c r="E677" s="24">
        <v>27</v>
      </c>
    </row>
    <row r="678" spans="1:5" x14ac:dyDescent="0.3">
      <c r="A678" s="21" t="s">
        <v>36</v>
      </c>
      <c r="B678" s="22" t="s">
        <v>196</v>
      </c>
      <c r="C678" s="21" t="s">
        <v>95</v>
      </c>
      <c r="D678" s="21" t="s">
        <v>183</v>
      </c>
      <c r="E678" s="24">
        <v>12</v>
      </c>
    </row>
    <row r="679" spans="1:5" x14ac:dyDescent="0.3">
      <c r="A679" s="21" t="s">
        <v>36</v>
      </c>
      <c r="B679" s="22" t="s">
        <v>197</v>
      </c>
      <c r="C679" s="21" t="s">
        <v>74</v>
      </c>
      <c r="D679" s="21" t="s">
        <v>161</v>
      </c>
      <c r="E679" s="23">
        <v>13</v>
      </c>
    </row>
    <row r="680" spans="1:5" x14ac:dyDescent="0.3">
      <c r="A680" s="21" t="s">
        <v>36</v>
      </c>
      <c r="B680" s="22" t="s">
        <v>197</v>
      </c>
      <c r="C680" s="21" t="s">
        <v>74</v>
      </c>
      <c r="D680" s="21" t="s">
        <v>162</v>
      </c>
      <c r="E680" s="23">
        <v>16</v>
      </c>
    </row>
    <row r="681" spans="1:5" x14ac:dyDescent="0.3">
      <c r="A681" s="21" t="s">
        <v>36</v>
      </c>
      <c r="B681" s="22" t="s">
        <v>197</v>
      </c>
      <c r="C681" s="21" t="s">
        <v>74</v>
      </c>
      <c r="D681" s="21" t="s">
        <v>163</v>
      </c>
      <c r="E681" s="23">
        <v>16</v>
      </c>
    </row>
    <row r="682" spans="1:5" x14ac:dyDescent="0.3">
      <c r="A682" s="21" t="s">
        <v>36</v>
      </c>
      <c r="B682" s="22" t="s">
        <v>197</v>
      </c>
      <c r="C682" s="21" t="s">
        <v>74</v>
      </c>
      <c r="D682" s="21" t="s">
        <v>164</v>
      </c>
      <c r="E682" s="23">
        <v>8</v>
      </c>
    </row>
    <row r="683" spans="1:5" x14ac:dyDescent="0.3">
      <c r="A683" s="21" t="s">
        <v>36</v>
      </c>
      <c r="B683" s="22" t="s">
        <v>197</v>
      </c>
      <c r="C683" s="21" t="s">
        <v>74</v>
      </c>
      <c r="D683" s="21" t="s">
        <v>165</v>
      </c>
      <c r="E683" s="23">
        <v>11</v>
      </c>
    </row>
    <row r="684" spans="1:5" x14ac:dyDescent="0.3">
      <c r="A684" s="21" t="s">
        <v>36</v>
      </c>
      <c r="B684" s="22" t="s">
        <v>197</v>
      </c>
      <c r="C684" s="21" t="s">
        <v>81</v>
      </c>
      <c r="D684" s="21" t="s">
        <v>166</v>
      </c>
      <c r="E684" s="23">
        <v>32</v>
      </c>
    </row>
    <row r="685" spans="1:5" x14ac:dyDescent="0.3">
      <c r="A685" s="21" t="s">
        <v>36</v>
      </c>
      <c r="B685" s="22" t="s">
        <v>197</v>
      </c>
      <c r="C685" s="21" t="s">
        <v>81</v>
      </c>
      <c r="D685" s="21" t="s">
        <v>167</v>
      </c>
      <c r="E685" s="23">
        <v>34</v>
      </c>
    </row>
    <row r="686" spans="1:5" x14ac:dyDescent="0.3">
      <c r="A686" s="21" t="s">
        <v>36</v>
      </c>
      <c r="B686" s="22" t="s">
        <v>197</v>
      </c>
      <c r="C686" s="21" t="s">
        <v>81</v>
      </c>
      <c r="D686" s="21" t="s">
        <v>168</v>
      </c>
      <c r="E686" s="23">
        <v>32</v>
      </c>
    </row>
    <row r="687" spans="1:5" x14ac:dyDescent="0.3">
      <c r="A687" s="21" t="s">
        <v>36</v>
      </c>
      <c r="B687" s="22" t="s">
        <v>197</v>
      </c>
      <c r="C687" s="21" t="s">
        <v>81</v>
      </c>
      <c r="D687" s="21" t="s">
        <v>169</v>
      </c>
      <c r="E687" s="23">
        <v>37</v>
      </c>
    </row>
    <row r="688" spans="1:5" x14ac:dyDescent="0.3">
      <c r="A688" s="21" t="s">
        <v>36</v>
      </c>
      <c r="B688" s="22" t="s">
        <v>197</v>
      </c>
      <c r="C688" s="21" t="s">
        <v>81</v>
      </c>
      <c r="D688" s="21" t="s">
        <v>170</v>
      </c>
      <c r="E688" s="23">
        <v>31</v>
      </c>
    </row>
    <row r="689" spans="1:5" x14ac:dyDescent="0.3">
      <c r="A689" s="21" t="s">
        <v>36</v>
      </c>
      <c r="B689" s="22" t="s">
        <v>197</v>
      </c>
      <c r="C689" s="21" t="s">
        <v>81</v>
      </c>
      <c r="D689" s="21" t="s">
        <v>171</v>
      </c>
      <c r="E689" s="23">
        <v>25</v>
      </c>
    </row>
    <row r="690" spans="1:5" x14ac:dyDescent="0.3">
      <c r="A690" s="21" t="s">
        <v>36</v>
      </c>
      <c r="B690" s="22" t="s">
        <v>197</v>
      </c>
      <c r="C690" s="21" t="s">
        <v>81</v>
      </c>
      <c r="D690" s="21" t="s">
        <v>172</v>
      </c>
      <c r="E690" s="23">
        <v>14</v>
      </c>
    </row>
    <row r="691" spans="1:5" x14ac:dyDescent="0.3">
      <c r="A691" s="21" t="s">
        <v>36</v>
      </c>
      <c r="B691" s="22" t="s">
        <v>197</v>
      </c>
      <c r="C691" s="21" t="s">
        <v>88</v>
      </c>
      <c r="D691" s="21" t="s">
        <v>173</v>
      </c>
      <c r="E691" s="23">
        <v>40</v>
      </c>
    </row>
    <row r="692" spans="1:5" x14ac:dyDescent="0.3">
      <c r="A692" s="21" t="s">
        <v>36</v>
      </c>
      <c r="B692" s="22" t="s">
        <v>197</v>
      </c>
      <c r="C692" s="21" t="s">
        <v>88</v>
      </c>
      <c r="D692" s="21" t="s">
        <v>174</v>
      </c>
      <c r="E692" s="23">
        <v>50</v>
      </c>
    </row>
    <row r="693" spans="1:5" x14ac:dyDescent="0.3">
      <c r="A693" s="21" t="s">
        <v>36</v>
      </c>
      <c r="B693" s="22" t="s">
        <v>197</v>
      </c>
      <c r="C693" s="21" t="s">
        <v>88</v>
      </c>
      <c r="D693" s="21" t="s">
        <v>175</v>
      </c>
      <c r="E693" s="23">
        <v>46</v>
      </c>
    </row>
    <row r="694" spans="1:5" x14ac:dyDescent="0.3">
      <c r="A694" s="21" t="s">
        <v>36</v>
      </c>
      <c r="B694" s="22" t="s">
        <v>197</v>
      </c>
      <c r="C694" s="21" t="s">
        <v>88</v>
      </c>
      <c r="D694" s="21" t="s">
        <v>176</v>
      </c>
      <c r="E694" s="23">
        <v>39</v>
      </c>
    </row>
    <row r="695" spans="1:5" x14ac:dyDescent="0.3">
      <c r="A695" s="21" t="s">
        <v>36</v>
      </c>
      <c r="B695" s="22" t="s">
        <v>197</v>
      </c>
      <c r="C695" s="21" t="s">
        <v>88</v>
      </c>
      <c r="D695" s="21" t="s">
        <v>177</v>
      </c>
      <c r="E695" s="23">
        <v>34</v>
      </c>
    </row>
    <row r="696" spans="1:5" x14ac:dyDescent="0.3">
      <c r="A696" s="21" t="s">
        <v>36</v>
      </c>
      <c r="B696" s="22" t="s">
        <v>197</v>
      </c>
      <c r="C696" s="21" t="s">
        <v>95</v>
      </c>
      <c r="D696" s="21" t="s">
        <v>178</v>
      </c>
      <c r="E696" s="24">
        <v>38</v>
      </c>
    </row>
    <row r="697" spans="1:5" x14ac:dyDescent="0.3">
      <c r="A697" s="21" t="s">
        <v>36</v>
      </c>
      <c r="B697" s="22" t="s">
        <v>197</v>
      </c>
      <c r="C697" s="21" t="s">
        <v>95</v>
      </c>
      <c r="D697" s="21" t="s">
        <v>179</v>
      </c>
      <c r="E697" s="24">
        <v>33</v>
      </c>
    </row>
    <row r="698" spans="1:5" x14ac:dyDescent="0.3">
      <c r="A698" s="21" t="s">
        <v>36</v>
      </c>
      <c r="B698" s="22" t="s">
        <v>197</v>
      </c>
      <c r="C698" s="21" t="s">
        <v>95</v>
      </c>
      <c r="D698" s="21" t="s">
        <v>180</v>
      </c>
      <c r="E698" s="24">
        <v>33</v>
      </c>
    </row>
    <row r="699" spans="1:5" x14ac:dyDescent="0.3">
      <c r="A699" s="21" t="s">
        <v>36</v>
      </c>
      <c r="B699" s="22" t="s">
        <v>197</v>
      </c>
      <c r="C699" s="21" t="s">
        <v>95</v>
      </c>
      <c r="D699" s="21" t="s">
        <v>181</v>
      </c>
      <c r="E699" s="24">
        <v>33</v>
      </c>
    </row>
    <row r="700" spans="1:5" x14ac:dyDescent="0.3">
      <c r="A700" s="21" t="s">
        <v>36</v>
      </c>
      <c r="B700" s="22" t="s">
        <v>197</v>
      </c>
      <c r="C700" s="21" t="s">
        <v>95</v>
      </c>
      <c r="D700" s="21" t="s">
        <v>182</v>
      </c>
      <c r="E700" s="24">
        <v>33</v>
      </c>
    </row>
    <row r="701" spans="1:5" x14ac:dyDescent="0.3">
      <c r="A701" s="21" t="s">
        <v>36</v>
      </c>
      <c r="B701" s="22" t="s">
        <v>197</v>
      </c>
      <c r="C701" s="21" t="s">
        <v>95</v>
      </c>
      <c r="D701" s="21" t="s">
        <v>183</v>
      </c>
      <c r="E701" s="24">
        <v>14</v>
      </c>
    </row>
    <row r="702" spans="1:5" x14ac:dyDescent="0.3">
      <c r="A702" s="21" t="s">
        <v>36</v>
      </c>
      <c r="B702" s="22" t="s">
        <v>198</v>
      </c>
      <c r="C702" s="21" t="s">
        <v>74</v>
      </c>
      <c r="D702" s="21" t="s">
        <v>161</v>
      </c>
      <c r="E702" s="23">
        <v>42</v>
      </c>
    </row>
    <row r="703" spans="1:5" x14ac:dyDescent="0.3">
      <c r="A703" s="21" t="s">
        <v>36</v>
      </c>
      <c r="B703" s="22" t="s">
        <v>198</v>
      </c>
      <c r="C703" s="21" t="s">
        <v>74</v>
      </c>
      <c r="D703" s="21" t="s">
        <v>162</v>
      </c>
      <c r="E703" s="23">
        <v>28</v>
      </c>
    </row>
    <row r="704" spans="1:5" x14ac:dyDescent="0.3">
      <c r="A704" s="21" t="s">
        <v>36</v>
      </c>
      <c r="B704" s="22" t="s">
        <v>198</v>
      </c>
      <c r="C704" s="21" t="s">
        <v>74</v>
      </c>
      <c r="D704" s="21" t="s">
        <v>163</v>
      </c>
      <c r="E704" s="23">
        <v>27</v>
      </c>
    </row>
    <row r="705" spans="1:5" x14ac:dyDescent="0.3">
      <c r="A705" s="21" t="s">
        <v>36</v>
      </c>
      <c r="B705" s="22" t="s">
        <v>198</v>
      </c>
      <c r="C705" s="21" t="s">
        <v>74</v>
      </c>
      <c r="D705" s="21" t="s">
        <v>164</v>
      </c>
      <c r="E705" s="23">
        <v>33</v>
      </c>
    </row>
    <row r="706" spans="1:5" x14ac:dyDescent="0.3">
      <c r="A706" s="21" t="s">
        <v>36</v>
      </c>
      <c r="B706" s="22" t="s">
        <v>198</v>
      </c>
      <c r="C706" s="21" t="s">
        <v>74</v>
      </c>
      <c r="D706" s="21" t="s">
        <v>165</v>
      </c>
      <c r="E706" s="23">
        <v>41</v>
      </c>
    </row>
    <row r="707" spans="1:5" x14ac:dyDescent="0.3">
      <c r="A707" s="21" t="s">
        <v>36</v>
      </c>
      <c r="B707" s="22" t="s">
        <v>198</v>
      </c>
      <c r="C707" s="21" t="s">
        <v>81</v>
      </c>
      <c r="D707" s="21" t="s">
        <v>166</v>
      </c>
      <c r="E707" s="23">
        <v>26</v>
      </c>
    </row>
    <row r="708" spans="1:5" x14ac:dyDescent="0.3">
      <c r="A708" s="21" t="s">
        <v>36</v>
      </c>
      <c r="B708" s="22" t="s">
        <v>198</v>
      </c>
      <c r="C708" s="21" t="s">
        <v>81</v>
      </c>
      <c r="D708" s="21" t="s">
        <v>167</v>
      </c>
      <c r="E708" s="23">
        <v>26</v>
      </c>
    </row>
    <row r="709" spans="1:5" x14ac:dyDescent="0.3">
      <c r="A709" s="21" t="s">
        <v>36</v>
      </c>
      <c r="B709" s="22" t="s">
        <v>198</v>
      </c>
      <c r="C709" s="21" t="s">
        <v>81</v>
      </c>
      <c r="D709" s="21" t="s">
        <v>168</v>
      </c>
      <c r="E709" s="23">
        <v>26</v>
      </c>
    </row>
    <row r="710" spans="1:5" x14ac:dyDescent="0.3">
      <c r="A710" s="21" t="s">
        <v>36</v>
      </c>
      <c r="B710" s="22" t="s">
        <v>198</v>
      </c>
      <c r="C710" s="21" t="s">
        <v>81</v>
      </c>
      <c r="D710" s="21" t="s">
        <v>169</v>
      </c>
      <c r="E710" s="23">
        <v>26</v>
      </c>
    </row>
    <row r="711" spans="1:5" x14ac:dyDescent="0.3">
      <c r="A711" s="21" t="s">
        <v>36</v>
      </c>
      <c r="B711" s="22" t="s">
        <v>198</v>
      </c>
      <c r="C711" s="21" t="s">
        <v>81</v>
      </c>
      <c r="D711" s="21" t="s">
        <v>170</v>
      </c>
      <c r="E711" s="23">
        <v>25</v>
      </c>
    </row>
    <row r="712" spans="1:5" x14ac:dyDescent="0.3">
      <c r="A712" s="21" t="s">
        <v>36</v>
      </c>
      <c r="B712" s="22" t="s">
        <v>198</v>
      </c>
      <c r="C712" s="21" t="s">
        <v>81</v>
      </c>
      <c r="D712" s="21" t="s">
        <v>171</v>
      </c>
      <c r="E712" s="23">
        <v>33</v>
      </c>
    </row>
    <row r="713" spans="1:5" x14ac:dyDescent="0.3">
      <c r="A713" s="21" t="s">
        <v>36</v>
      </c>
      <c r="B713" s="22" t="s">
        <v>198</v>
      </c>
      <c r="C713" s="21" t="s">
        <v>81</v>
      </c>
      <c r="D713" s="21" t="s">
        <v>172</v>
      </c>
      <c r="E713" s="23">
        <v>27</v>
      </c>
    </row>
    <row r="714" spans="1:5" x14ac:dyDescent="0.3">
      <c r="A714" s="21" t="s">
        <v>36</v>
      </c>
      <c r="B714" s="22" t="s">
        <v>198</v>
      </c>
      <c r="C714" s="21" t="s">
        <v>88</v>
      </c>
      <c r="D714" s="21" t="s">
        <v>173</v>
      </c>
      <c r="E714" s="23">
        <v>36</v>
      </c>
    </row>
    <row r="715" spans="1:5" x14ac:dyDescent="0.3">
      <c r="A715" s="21" t="s">
        <v>36</v>
      </c>
      <c r="B715" s="22" t="s">
        <v>198</v>
      </c>
      <c r="C715" s="21" t="s">
        <v>88</v>
      </c>
      <c r="D715" s="21" t="s">
        <v>174</v>
      </c>
      <c r="E715" s="23">
        <v>42</v>
      </c>
    </row>
    <row r="716" spans="1:5" x14ac:dyDescent="0.3">
      <c r="A716" s="21" t="s">
        <v>36</v>
      </c>
      <c r="B716" s="22" t="s">
        <v>198</v>
      </c>
      <c r="C716" s="21" t="s">
        <v>88</v>
      </c>
      <c r="D716" s="21" t="s">
        <v>175</v>
      </c>
      <c r="E716" s="23">
        <v>40</v>
      </c>
    </row>
    <row r="717" spans="1:5" x14ac:dyDescent="0.3">
      <c r="A717" s="21" t="s">
        <v>36</v>
      </c>
      <c r="B717" s="22" t="s">
        <v>198</v>
      </c>
      <c r="C717" s="21" t="s">
        <v>88</v>
      </c>
      <c r="D717" s="21" t="s">
        <v>176</v>
      </c>
      <c r="E717" s="23">
        <v>40</v>
      </c>
    </row>
    <row r="718" spans="1:5" x14ac:dyDescent="0.3">
      <c r="A718" s="21" t="s">
        <v>36</v>
      </c>
      <c r="B718" s="22" t="s">
        <v>198</v>
      </c>
      <c r="C718" s="21" t="s">
        <v>88</v>
      </c>
      <c r="D718" s="21" t="s">
        <v>177</v>
      </c>
      <c r="E718" s="23">
        <v>36</v>
      </c>
    </row>
    <row r="719" spans="1:5" x14ac:dyDescent="0.3">
      <c r="A719" s="21" t="s">
        <v>36</v>
      </c>
      <c r="B719" s="22" t="s">
        <v>198</v>
      </c>
      <c r="C719" s="21" t="s">
        <v>95</v>
      </c>
      <c r="D719" s="21" t="s">
        <v>178</v>
      </c>
      <c r="E719" s="24">
        <v>33</v>
      </c>
    </row>
    <row r="720" spans="1:5" x14ac:dyDescent="0.3">
      <c r="A720" s="21" t="s">
        <v>36</v>
      </c>
      <c r="B720" s="22" t="s">
        <v>198</v>
      </c>
      <c r="C720" s="21" t="s">
        <v>95</v>
      </c>
      <c r="D720" s="21" t="s">
        <v>179</v>
      </c>
      <c r="E720" s="24">
        <v>29</v>
      </c>
    </row>
    <row r="721" spans="1:5" x14ac:dyDescent="0.3">
      <c r="A721" s="21" t="s">
        <v>36</v>
      </c>
      <c r="B721" s="22" t="s">
        <v>198</v>
      </c>
      <c r="C721" s="21" t="s">
        <v>95</v>
      </c>
      <c r="D721" s="21" t="s">
        <v>180</v>
      </c>
      <c r="E721" s="24">
        <v>29</v>
      </c>
    </row>
    <row r="722" spans="1:5" x14ac:dyDescent="0.3">
      <c r="A722" s="21" t="s">
        <v>36</v>
      </c>
      <c r="B722" s="22" t="s">
        <v>198</v>
      </c>
      <c r="C722" s="21" t="s">
        <v>95</v>
      </c>
      <c r="D722" s="21" t="s">
        <v>181</v>
      </c>
      <c r="E722" s="24">
        <v>29</v>
      </c>
    </row>
    <row r="723" spans="1:5" x14ac:dyDescent="0.3">
      <c r="A723" s="21" t="s">
        <v>36</v>
      </c>
      <c r="B723" s="22" t="s">
        <v>198</v>
      </c>
      <c r="C723" s="21" t="s">
        <v>95</v>
      </c>
      <c r="D723" s="21" t="s">
        <v>182</v>
      </c>
      <c r="E723" s="24">
        <v>29</v>
      </c>
    </row>
    <row r="724" spans="1:5" x14ac:dyDescent="0.3">
      <c r="A724" s="21" t="s">
        <v>36</v>
      </c>
      <c r="B724" s="22" t="s">
        <v>198</v>
      </c>
      <c r="C724" s="21" t="s">
        <v>95</v>
      </c>
      <c r="D724" s="21" t="s">
        <v>183</v>
      </c>
      <c r="E724" s="24">
        <v>12</v>
      </c>
    </row>
    <row r="725" spans="1:5" x14ac:dyDescent="0.3">
      <c r="A725" s="21" t="s">
        <v>36</v>
      </c>
      <c r="B725" s="22" t="s">
        <v>199</v>
      </c>
      <c r="C725" s="21" t="s">
        <v>74</v>
      </c>
      <c r="D725" s="21" t="s">
        <v>161</v>
      </c>
      <c r="E725" s="23">
        <v>61</v>
      </c>
    </row>
    <row r="726" spans="1:5" x14ac:dyDescent="0.3">
      <c r="A726" s="21" t="s">
        <v>36</v>
      </c>
      <c r="B726" s="22" t="s">
        <v>199</v>
      </c>
      <c r="C726" s="21" t="s">
        <v>74</v>
      </c>
      <c r="D726" s="21" t="s">
        <v>162</v>
      </c>
      <c r="E726" s="23">
        <v>66</v>
      </c>
    </row>
    <row r="727" spans="1:5" x14ac:dyDescent="0.3">
      <c r="A727" s="21" t="s">
        <v>36</v>
      </c>
      <c r="B727" s="22" t="s">
        <v>199</v>
      </c>
      <c r="C727" s="21" t="s">
        <v>74</v>
      </c>
      <c r="D727" s="21" t="s">
        <v>163</v>
      </c>
      <c r="E727" s="23">
        <v>62</v>
      </c>
    </row>
    <row r="728" spans="1:5" x14ac:dyDescent="0.3">
      <c r="A728" s="21" t="s">
        <v>36</v>
      </c>
      <c r="B728" s="22" t="s">
        <v>199</v>
      </c>
      <c r="C728" s="21" t="s">
        <v>74</v>
      </c>
      <c r="D728" s="21" t="s">
        <v>164</v>
      </c>
      <c r="E728" s="23">
        <v>49</v>
      </c>
    </row>
    <row r="729" spans="1:5" x14ac:dyDescent="0.3">
      <c r="A729" s="21" t="s">
        <v>36</v>
      </c>
      <c r="B729" s="22" t="s">
        <v>199</v>
      </c>
      <c r="C729" s="21" t="s">
        <v>74</v>
      </c>
      <c r="D729" s="21" t="s">
        <v>165</v>
      </c>
      <c r="E729" s="23">
        <v>59</v>
      </c>
    </row>
    <row r="730" spans="1:5" x14ac:dyDescent="0.3">
      <c r="A730" s="21" t="s">
        <v>36</v>
      </c>
      <c r="B730" s="22" t="s">
        <v>199</v>
      </c>
      <c r="C730" s="21" t="s">
        <v>81</v>
      </c>
      <c r="D730" s="21" t="s">
        <v>166</v>
      </c>
      <c r="E730" s="23">
        <v>40</v>
      </c>
    </row>
    <row r="731" spans="1:5" x14ac:dyDescent="0.3">
      <c r="A731" s="21" t="s">
        <v>36</v>
      </c>
      <c r="B731" s="22" t="s">
        <v>199</v>
      </c>
      <c r="C731" s="21" t="s">
        <v>81</v>
      </c>
      <c r="D731" s="21" t="s">
        <v>167</v>
      </c>
      <c r="E731" s="23">
        <v>46</v>
      </c>
    </row>
    <row r="732" spans="1:5" x14ac:dyDescent="0.3">
      <c r="A732" s="21" t="s">
        <v>36</v>
      </c>
      <c r="B732" s="22" t="s">
        <v>199</v>
      </c>
      <c r="C732" s="21" t="s">
        <v>81</v>
      </c>
      <c r="D732" s="21" t="s">
        <v>168</v>
      </c>
      <c r="E732" s="23">
        <v>42</v>
      </c>
    </row>
    <row r="733" spans="1:5" x14ac:dyDescent="0.3">
      <c r="A733" s="21" t="s">
        <v>36</v>
      </c>
      <c r="B733" s="22" t="s">
        <v>199</v>
      </c>
      <c r="C733" s="21" t="s">
        <v>81</v>
      </c>
      <c r="D733" s="21" t="s">
        <v>169</v>
      </c>
      <c r="E733" s="23">
        <v>59</v>
      </c>
    </row>
    <row r="734" spans="1:5" x14ac:dyDescent="0.3">
      <c r="A734" s="21" t="s">
        <v>36</v>
      </c>
      <c r="B734" s="22" t="s">
        <v>199</v>
      </c>
      <c r="C734" s="21" t="s">
        <v>81</v>
      </c>
      <c r="D734" s="21" t="s">
        <v>170</v>
      </c>
      <c r="E734" s="23">
        <v>55</v>
      </c>
    </row>
    <row r="735" spans="1:5" x14ac:dyDescent="0.3">
      <c r="A735" s="21" t="s">
        <v>36</v>
      </c>
      <c r="B735" s="22" t="s">
        <v>199</v>
      </c>
      <c r="C735" s="21" t="s">
        <v>81</v>
      </c>
      <c r="D735" s="21" t="s">
        <v>171</v>
      </c>
      <c r="E735" s="23">
        <v>60</v>
      </c>
    </row>
    <row r="736" spans="1:5" x14ac:dyDescent="0.3">
      <c r="A736" s="21" t="s">
        <v>36</v>
      </c>
      <c r="B736" s="22" t="s">
        <v>199</v>
      </c>
      <c r="C736" s="21" t="s">
        <v>81</v>
      </c>
      <c r="D736" s="21" t="s">
        <v>172</v>
      </c>
      <c r="E736" s="23">
        <v>34</v>
      </c>
    </row>
    <row r="737" spans="1:5" x14ac:dyDescent="0.3">
      <c r="A737" s="21" t="s">
        <v>36</v>
      </c>
      <c r="B737" s="22" t="s">
        <v>199</v>
      </c>
      <c r="C737" s="21" t="s">
        <v>88</v>
      </c>
      <c r="D737" s="21" t="s">
        <v>173</v>
      </c>
      <c r="E737" s="23">
        <v>60</v>
      </c>
    </row>
    <row r="738" spans="1:5" x14ac:dyDescent="0.3">
      <c r="A738" s="21" t="s">
        <v>36</v>
      </c>
      <c r="B738" s="22" t="s">
        <v>199</v>
      </c>
      <c r="C738" s="21" t="s">
        <v>88</v>
      </c>
      <c r="D738" s="21" t="s">
        <v>174</v>
      </c>
      <c r="E738" s="23">
        <v>55</v>
      </c>
    </row>
    <row r="739" spans="1:5" x14ac:dyDescent="0.3">
      <c r="A739" s="21" t="s">
        <v>36</v>
      </c>
      <c r="B739" s="22" t="s">
        <v>199</v>
      </c>
      <c r="C739" s="21" t="s">
        <v>88</v>
      </c>
      <c r="D739" s="21" t="s">
        <v>175</v>
      </c>
      <c r="E739" s="23">
        <v>52</v>
      </c>
    </row>
    <row r="740" spans="1:5" x14ac:dyDescent="0.3">
      <c r="A740" s="21" t="s">
        <v>36</v>
      </c>
      <c r="B740" s="22" t="s">
        <v>199</v>
      </c>
      <c r="C740" s="21" t="s">
        <v>88</v>
      </c>
      <c r="D740" s="21" t="s">
        <v>176</v>
      </c>
      <c r="E740" s="23">
        <v>40</v>
      </c>
    </row>
    <row r="741" spans="1:5" x14ac:dyDescent="0.3">
      <c r="A741" s="21" t="s">
        <v>36</v>
      </c>
      <c r="B741" s="22" t="s">
        <v>199</v>
      </c>
      <c r="C741" s="21" t="s">
        <v>88</v>
      </c>
      <c r="D741" s="21" t="s">
        <v>177</v>
      </c>
      <c r="E741" s="23">
        <v>40</v>
      </c>
    </row>
    <row r="742" spans="1:5" x14ac:dyDescent="0.3">
      <c r="A742" s="21" t="s">
        <v>36</v>
      </c>
      <c r="B742" s="22" t="s">
        <v>199</v>
      </c>
      <c r="C742" s="21" t="s">
        <v>95</v>
      </c>
      <c r="D742" s="21" t="s">
        <v>178</v>
      </c>
      <c r="E742" s="24">
        <v>45</v>
      </c>
    </row>
    <row r="743" spans="1:5" x14ac:dyDescent="0.3">
      <c r="A743" s="21" t="s">
        <v>36</v>
      </c>
      <c r="B743" s="22" t="s">
        <v>199</v>
      </c>
      <c r="C743" s="21" t="s">
        <v>95</v>
      </c>
      <c r="D743" s="21" t="s">
        <v>179</v>
      </c>
      <c r="E743" s="24">
        <v>39</v>
      </c>
    </row>
    <row r="744" spans="1:5" x14ac:dyDescent="0.3">
      <c r="A744" s="21" t="s">
        <v>36</v>
      </c>
      <c r="B744" s="22" t="s">
        <v>199</v>
      </c>
      <c r="C744" s="21" t="s">
        <v>95</v>
      </c>
      <c r="D744" s="21" t="s">
        <v>180</v>
      </c>
      <c r="E744" s="24">
        <v>39</v>
      </c>
    </row>
    <row r="745" spans="1:5" x14ac:dyDescent="0.3">
      <c r="A745" s="21" t="s">
        <v>36</v>
      </c>
      <c r="B745" s="22" t="s">
        <v>199</v>
      </c>
      <c r="C745" s="21" t="s">
        <v>95</v>
      </c>
      <c r="D745" s="21" t="s">
        <v>181</v>
      </c>
      <c r="E745" s="24">
        <v>39</v>
      </c>
    </row>
    <row r="746" spans="1:5" x14ac:dyDescent="0.3">
      <c r="A746" s="21" t="s">
        <v>36</v>
      </c>
      <c r="B746" s="22" t="s">
        <v>199</v>
      </c>
      <c r="C746" s="21" t="s">
        <v>95</v>
      </c>
      <c r="D746" s="21" t="s">
        <v>182</v>
      </c>
      <c r="E746" s="24">
        <v>39</v>
      </c>
    </row>
    <row r="747" spans="1:5" x14ac:dyDescent="0.3">
      <c r="A747" s="21" t="s">
        <v>36</v>
      </c>
      <c r="B747" s="22" t="s">
        <v>199</v>
      </c>
      <c r="C747" s="21" t="s">
        <v>95</v>
      </c>
      <c r="D747" s="21" t="s">
        <v>183</v>
      </c>
      <c r="E747" s="24">
        <v>17</v>
      </c>
    </row>
    <row r="748" spans="1:5" x14ac:dyDescent="0.3">
      <c r="A748" s="21" t="s">
        <v>36</v>
      </c>
      <c r="B748" s="22" t="s">
        <v>200</v>
      </c>
      <c r="C748" s="21" t="s">
        <v>74</v>
      </c>
      <c r="D748" s="21" t="s">
        <v>161</v>
      </c>
      <c r="E748" s="23">
        <v>0</v>
      </c>
    </row>
    <row r="749" spans="1:5" x14ac:dyDescent="0.3">
      <c r="A749" s="21" t="s">
        <v>36</v>
      </c>
      <c r="B749" s="22" t="s">
        <v>200</v>
      </c>
      <c r="C749" s="21" t="s">
        <v>74</v>
      </c>
      <c r="D749" s="21" t="s">
        <v>162</v>
      </c>
      <c r="E749" s="23">
        <v>0</v>
      </c>
    </row>
    <row r="750" spans="1:5" x14ac:dyDescent="0.3">
      <c r="A750" s="21" t="s">
        <v>36</v>
      </c>
      <c r="B750" s="22" t="s">
        <v>200</v>
      </c>
      <c r="C750" s="21" t="s">
        <v>74</v>
      </c>
      <c r="D750" s="21" t="s">
        <v>163</v>
      </c>
      <c r="E750" s="23">
        <v>37</v>
      </c>
    </row>
    <row r="751" spans="1:5" x14ac:dyDescent="0.3">
      <c r="A751" s="21" t="s">
        <v>36</v>
      </c>
      <c r="B751" s="22" t="s">
        <v>200</v>
      </c>
      <c r="C751" s="21" t="s">
        <v>74</v>
      </c>
      <c r="D751" s="21" t="s">
        <v>164</v>
      </c>
      <c r="E751" s="23">
        <v>31</v>
      </c>
    </row>
    <row r="752" spans="1:5" x14ac:dyDescent="0.3">
      <c r="A752" s="21" t="s">
        <v>36</v>
      </c>
      <c r="B752" s="22" t="s">
        <v>200</v>
      </c>
      <c r="C752" s="21" t="s">
        <v>74</v>
      </c>
      <c r="D752" s="21" t="s">
        <v>165</v>
      </c>
      <c r="E752" s="23">
        <v>42</v>
      </c>
    </row>
    <row r="753" spans="1:5" x14ac:dyDescent="0.3">
      <c r="A753" s="21" t="s">
        <v>36</v>
      </c>
      <c r="B753" s="22" t="s">
        <v>200</v>
      </c>
      <c r="C753" s="21" t="s">
        <v>81</v>
      </c>
      <c r="D753" s="21" t="s">
        <v>166</v>
      </c>
      <c r="E753" s="23">
        <v>16</v>
      </c>
    </row>
    <row r="754" spans="1:5" x14ac:dyDescent="0.3">
      <c r="A754" s="21" t="s">
        <v>36</v>
      </c>
      <c r="B754" s="22" t="s">
        <v>200</v>
      </c>
      <c r="C754" s="21" t="s">
        <v>81</v>
      </c>
      <c r="D754" s="21" t="s">
        <v>167</v>
      </c>
      <c r="E754" s="23">
        <v>24</v>
      </c>
    </row>
    <row r="755" spans="1:5" x14ac:dyDescent="0.3">
      <c r="A755" s="21" t="s">
        <v>36</v>
      </c>
      <c r="B755" s="22" t="s">
        <v>200</v>
      </c>
      <c r="C755" s="21" t="s">
        <v>81</v>
      </c>
      <c r="D755" s="21" t="s">
        <v>168</v>
      </c>
      <c r="E755" s="23">
        <v>27</v>
      </c>
    </row>
    <row r="756" spans="1:5" x14ac:dyDescent="0.3">
      <c r="A756" s="21" t="s">
        <v>36</v>
      </c>
      <c r="B756" s="22" t="s">
        <v>200</v>
      </c>
      <c r="C756" s="21" t="s">
        <v>81</v>
      </c>
      <c r="D756" s="21" t="s">
        <v>169</v>
      </c>
      <c r="E756" s="23">
        <v>34</v>
      </c>
    </row>
    <row r="757" spans="1:5" x14ac:dyDescent="0.3">
      <c r="A757" s="21" t="s">
        <v>36</v>
      </c>
      <c r="B757" s="22" t="s">
        <v>200</v>
      </c>
      <c r="C757" s="21" t="s">
        <v>81</v>
      </c>
      <c r="D757" s="21" t="s">
        <v>170</v>
      </c>
      <c r="E757" s="23">
        <v>34</v>
      </c>
    </row>
    <row r="758" spans="1:5" x14ac:dyDescent="0.3">
      <c r="A758" s="21" t="s">
        <v>36</v>
      </c>
      <c r="B758" s="22" t="s">
        <v>200</v>
      </c>
      <c r="C758" s="21" t="s">
        <v>81</v>
      </c>
      <c r="D758" s="21" t="s">
        <v>171</v>
      </c>
      <c r="E758" s="23">
        <v>24</v>
      </c>
    </row>
    <row r="759" spans="1:5" x14ac:dyDescent="0.3">
      <c r="A759" s="21" t="s">
        <v>36</v>
      </c>
      <c r="B759" s="22" t="s">
        <v>200</v>
      </c>
      <c r="C759" s="21" t="s">
        <v>81</v>
      </c>
      <c r="D759" s="21" t="s">
        <v>172</v>
      </c>
      <c r="E759" s="23">
        <v>13</v>
      </c>
    </row>
    <row r="760" spans="1:5" x14ac:dyDescent="0.3">
      <c r="A760" s="21" t="s">
        <v>36</v>
      </c>
      <c r="B760" s="22" t="s">
        <v>200</v>
      </c>
      <c r="C760" s="21" t="s">
        <v>88</v>
      </c>
      <c r="D760" s="21" t="s">
        <v>173</v>
      </c>
      <c r="E760" s="23">
        <v>29</v>
      </c>
    </row>
    <row r="761" spans="1:5" x14ac:dyDescent="0.3">
      <c r="A761" s="21" t="s">
        <v>36</v>
      </c>
      <c r="B761" s="22" t="s">
        <v>200</v>
      </c>
      <c r="C761" s="21" t="s">
        <v>88</v>
      </c>
      <c r="D761" s="21" t="s">
        <v>174</v>
      </c>
      <c r="E761" s="23">
        <v>40</v>
      </c>
    </row>
    <row r="762" spans="1:5" x14ac:dyDescent="0.3">
      <c r="A762" s="21" t="s">
        <v>36</v>
      </c>
      <c r="B762" s="22" t="s">
        <v>200</v>
      </c>
      <c r="C762" s="21" t="s">
        <v>88</v>
      </c>
      <c r="D762" s="21" t="s">
        <v>175</v>
      </c>
      <c r="E762" s="23">
        <v>27</v>
      </c>
    </row>
    <row r="763" spans="1:5" x14ac:dyDescent="0.3">
      <c r="A763" s="21" t="s">
        <v>36</v>
      </c>
      <c r="B763" s="22" t="s">
        <v>200</v>
      </c>
      <c r="C763" s="21" t="s">
        <v>88</v>
      </c>
      <c r="D763" s="21" t="s">
        <v>176</v>
      </c>
      <c r="E763" s="23">
        <v>37</v>
      </c>
    </row>
    <row r="764" spans="1:5" x14ac:dyDescent="0.3">
      <c r="A764" s="21" t="s">
        <v>36</v>
      </c>
      <c r="B764" s="22" t="s">
        <v>200</v>
      </c>
      <c r="C764" s="21" t="s">
        <v>88</v>
      </c>
      <c r="D764" s="21" t="s">
        <v>177</v>
      </c>
      <c r="E764" s="23">
        <v>29</v>
      </c>
    </row>
    <row r="765" spans="1:5" x14ac:dyDescent="0.3">
      <c r="A765" s="21" t="s">
        <v>36</v>
      </c>
      <c r="B765" s="22" t="s">
        <v>200</v>
      </c>
      <c r="C765" s="21" t="s">
        <v>95</v>
      </c>
      <c r="D765" s="21" t="s">
        <v>178</v>
      </c>
      <c r="E765" s="24">
        <v>16</v>
      </c>
    </row>
    <row r="766" spans="1:5" x14ac:dyDescent="0.3">
      <c r="A766" s="21" t="s">
        <v>36</v>
      </c>
      <c r="B766" s="22" t="s">
        <v>200</v>
      </c>
      <c r="C766" s="21" t="s">
        <v>95</v>
      </c>
      <c r="D766" s="21" t="s">
        <v>179</v>
      </c>
      <c r="E766" s="24">
        <v>14</v>
      </c>
    </row>
    <row r="767" spans="1:5" x14ac:dyDescent="0.3">
      <c r="A767" s="21" t="s">
        <v>36</v>
      </c>
      <c r="B767" s="22" t="s">
        <v>200</v>
      </c>
      <c r="C767" s="21" t="s">
        <v>95</v>
      </c>
      <c r="D767" s="21" t="s">
        <v>180</v>
      </c>
      <c r="E767" s="24">
        <v>14</v>
      </c>
    </row>
    <row r="768" spans="1:5" x14ac:dyDescent="0.3">
      <c r="A768" s="21" t="s">
        <v>36</v>
      </c>
      <c r="B768" s="22" t="s">
        <v>200</v>
      </c>
      <c r="C768" s="21" t="s">
        <v>95</v>
      </c>
      <c r="D768" s="21" t="s">
        <v>181</v>
      </c>
      <c r="E768" s="24">
        <v>14</v>
      </c>
    </row>
    <row r="769" spans="1:5" x14ac:dyDescent="0.3">
      <c r="A769" s="21" t="s">
        <v>36</v>
      </c>
      <c r="B769" s="22" t="s">
        <v>200</v>
      </c>
      <c r="C769" s="21" t="s">
        <v>95</v>
      </c>
      <c r="D769" s="21" t="s">
        <v>182</v>
      </c>
      <c r="E769" s="24">
        <v>14</v>
      </c>
    </row>
    <row r="770" spans="1:5" x14ac:dyDescent="0.3">
      <c r="A770" s="21" t="s">
        <v>36</v>
      </c>
      <c r="B770" s="22" t="s">
        <v>200</v>
      </c>
      <c r="C770" s="21" t="s">
        <v>95</v>
      </c>
      <c r="D770" s="21" t="s">
        <v>183</v>
      </c>
      <c r="E770" s="24">
        <v>6</v>
      </c>
    </row>
    <row r="771" spans="1:5" x14ac:dyDescent="0.3">
      <c r="A771" s="21" t="s">
        <v>36</v>
      </c>
      <c r="B771" s="22" t="s">
        <v>201</v>
      </c>
      <c r="C771" s="21" t="s">
        <v>74</v>
      </c>
      <c r="D771" s="21" t="s">
        <v>161</v>
      </c>
      <c r="E771" s="23">
        <v>82</v>
      </c>
    </row>
    <row r="772" spans="1:5" x14ac:dyDescent="0.3">
      <c r="A772" s="21" t="s">
        <v>36</v>
      </c>
      <c r="B772" s="22" t="s">
        <v>201</v>
      </c>
      <c r="C772" s="21" t="s">
        <v>74</v>
      </c>
      <c r="D772" s="21" t="s">
        <v>162</v>
      </c>
      <c r="E772" s="23">
        <v>100</v>
      </c>
    </row>
    <row r="773" spans="1:5" x14ac:dyDescent="0.3">
      <c r="A773" s="21" t="s">
        <v>36</v>
      </c>
      <c r="B773" s="22" t="s">
        <v>201</v>
      </c>
      <c r="C773" s="21" t="s">
        <v>74</v>
      </c>
      <c r="D773" s="21" t="s">
        <v>163</v>
      </c>
      <c r="E773" s="23">
        <v>63</v>
      </c>
    </row>
    <row r="774" spans="1:5" x14ac:dyDescent="0.3">
      <c r="A774" s="21" t="s">
        <v>36</v>
      </c>
      <c r="B774" s="22" t="s">
        <v>201</v>
      </c>
      <c r="C774" s="21" t="s">
        <v>74</v>
      </c>
      <c r="D774" s="21" t="s">
        <v>164</v>
      </c>
      <c r="E774" s="23">
        <v>83</v>
      </c>
    </row>
    <row r="775" spans="1:5" x14ac:dyDescent="0.3">
      <c r="A775" s="21" t="s">
        <v>36</v>
      </c>
      <c r="B775" s="22" t="s">
        <v>201</v>
      </c>
      <c r="C775" s="21" t="s">
        <v>74</v>
      </c>
      <c r="D775" s="21" t="s">
        <v>165</v>
      </c>
      <c r="E775" s="23">
        <v>71</v>
      </c>
    </row>
    <row r="776" spans="1:5" x14ac:dyDescent="0.3">
      <c r="A776" s="21" t="s">
        <v>36</v>
      </c>
      <c r="B776" s="22" t="s">
        <v>201</v>
      </c>
      <c r="C776" s="21" t="s">
        <v>81</v>
      </c>
      <c r="D776" s="21" t="s">
        <v>166</v>
      </c>
      <c r="E776" s="23">
        <v>74</v>
      </c>
    </row>
    <row r="777" spans="1:5" x14ac:dyDescent="0.3">
      <c r="A777" s="21" t="s">
        <v>36</v>
      </c>
      <c r="B777" s="22" t="s">
        <v>201</v>
      </c>
      <c r="C777" s="21" t="s">
        <v>81</v>
      </c>
      <c r="D777" s="21" t="s">
        <v>167</v>
      </c>
      <c r="E777" s="23">
        <v>61</v>
      </c>
    </row>
    <row r="778" spans="1:5" x14ac:dyDescent="0.3">
      <c r="A778" s="21" t="s">
        <v>36</v>
      </c>
      <c r="B778" s="22" t="s">
        <v>201</v>
      </c>
      <c r="C778" s="21" t="s">
        <v>81</v>
      </c>
      <c r="D778" s="21" t="s">
        <v>168</v>
      </c>
      <c r="E778" s="23">
        <v>63</v>
      </c>
    </row>
    <row r="779" spans="1:5" x14ac:dyDescent="0.3">
      <c r="A779" s="21" t="s">
        <v>36</v>
      </c>
      <c r="B779" s="22" t="s">
        <v>201</v>
      </c>
      <c r="C779" s="21" t="s">
        <v>81</v>
      </c>
      <c r="D779" s="21" t="s">
        <v>169</v>
      </c>
      <c r="E779" s="23">
        <v>60</v>
      </c>
    </row>
    <row r="780" spans="1:5" x14ac:dyDescent="0.3">
      <c r="A780" s="21" t="s">
        <v>36</v>
      </c>
      <c r="B780" s="22" t="s">
        <v>201</v>
      </c>
      <c r="C780" s="21" t="s">
        <v>81</v>
      </c>
      <c r="D780" s="21" t="s">
        <v>170</v>
      </c>
      <c r="E780" s="23">
        <v>65</v>
      </c>
    </row>
    <row r="781" spans="1:5" x14ac:dyDescent="0.3">
      <c r="A781" s="21" t="s">
        <v>36</v>
      </c>
      <c r="B781" s="22" t="s">
        <v>201</v>
      </c>
      <c r="C781" s="21" t="s">
        <v>81</v>
      </c>
      <c r="D781" s="21" t="s">
        <v>171</v>
      </c>
      <c r="E781" s="23">
        <v>47</v>
      </c>
    </row>
    <row r="782" spans="1:5" x14ac:dyDescent="0.3">
      <c r="A782" s="21" t="s">
        <v>36</v>
      </c>
      <c r="B782" s="22" t="s">
        <v>201</v>
      </c>
      <c r="C782" s="21" t="s">
        <v>81</v>
      </c>
      <c r="D782" s="21" t="s">
        <v>172</v>
      </c>
      <c r="E782" s="23">
        <v>31</v>
      </c>
    </row>
    <row r="783" spans="1:5" x14ac:dyDescent="0.3">
      <c r="A783" s="21" t="s">
        <v>36</v>
      </c>
      <c r="B783" s="22" t="s">
        <v>201</v>
      </c>
      <c r="C783" s="21" t="s">
        <v>88</v>
      </c>
      <c r="D783" s="21" t="s">
        <v>173</v>
      </c>
      <c r="E783" s="23">
        <v>82</v>
      </c>
    </row>
    <row r="784" spans="1:5" x14ac:dyDescent="0.3">
      <c r="A784" s="21" t="s">
        <v>36</v>
      </c>
      <c r="B784" s="22" t="s">
        <v>201</v>
      </c>
      <c r="C784" s="21" t="s">
        <v>88</v>
      </c>
      <c r="D784" s="21" t="s">
        <v>174</v>
      </c>
      <c r="E784" s="23">
        <v>71</v>
      </c>
    </row>
    <row r="785" spans="1:5" x14ac:dyDescent="0.3">
      <c r="A785" s="21" t="s">
        <v>36</v>
      </c>
      <c r="B785" s="22" t="s">
        <v>201</v>
      </c>
      <c r="C785" s="21" t="s">
        <v>88</v>
      </c>
      <c r="D785" s="21" t="s">
        <v>175</v>
      </c>
      <c r="E785" s="23">
        <v>89</v>
      </c>
    </row>
    <row r="786" spans="1:5" x14ac:dyDescent="0.3">
      <c r="A786" s="21" t="s">
        <v>36</v>
      </c>
      <c r="B786" s="22" t="s">
        <v>201</v>
      </c>
      <c r="C786" s="21" t="s">
        <v>88</v>
      </c>
      <c r="D786" s="21" t="s">
        <v>176</v>
      </c>
      <c r="E786" s="23">
        <v>98</v>
      </c>
    </row>
    <row r="787" spans="1:5" x14ac:dyDescent="0.3">
      <c r="A787" s="21" t="s">
        <v>36</v>
      </c>
      <c r="B787" s="22" t="s">
        <v>201</v>
      </c>
      <c r="C787" s="21" t="s">
        <v>88</v>
      </c>
      <c r="D787" s="21" t="s">
        <v>177</v>
      </c>
      <c r="E787" s="23">
        <v>82</v>
      </c>
    </row>
    <row r="788" spans="1:5" x14ac:dyDescent="0.3">
      <c r="A788" s="21" t="s">
        <v>36</v>
      </c>
      <c r="B788" s="22" t="s">
        <v>201</v>
      </c>
      <c r="C788" s="21" t="s">
        <v>95</v>
      </c>
      <c r="D788" s="21" t="s">
        <v>178</v>
      </c>
      <c r="E788" s="24">
        <v>71</v>
      </c>
    </row>
    <row r="789" spans="1:5" x14ac:dyDescent="0.3">
      <c r="A789" s="21" t="s">
        <v>36</v>
      </c>
      <c r="B789" s="22" t="s">
        <v>201</v>
      </c>
      <c r="C789" s="21" t="s">
        <v>95</v>
      </c>
      <c r="D789" s="21" t="s">
        <v>179</v>
      </c>
      <c r="E789" s="24">
        <v>62</v>
      </c>
    </row>
    <row r="790" spans="1:5" x14ac:dyDescent="0.3">
      <c r="A790" s="21" t="s">
        <v>36</v>
      </c>
      <c r="B790" s="22" t="s">
        <v>201</v>
      </c>
      <c r="C790" s="21" t="s">
        <v>95</v>
      </c>
      <c r="D790" s="21" t="s">
        <v>180</v>
      </c>
      <c r="E790" s="24">
        <v>62</v>
      </c>
    </row>
    <row r="791" spans="1:5" x14ac:dyDescent="0.3">
      <c r="A791" s="21" t="s">
        <v>36</v>
      </c>
      <c r="B791" s="22" t="s">
        <v>201</v>
      </c>
      <c r="C791" s="21" t="s">
        <v>95</v>
      </c>
      <c r="D791" s="21" t="s">
        <v>181</v>
      </c>
      <c r="E791" s="24">
        <v>62</v>
      </c>
    </row>
    <row r="792" spans="1:5" x14ac:dyDescent="0.3">
      <c r="A792" s="21" t="s">
        <v>36</v>
      </c>
      <c r="B792" s="22" t="s">
        <v>201</v>
      </c>
      <c r="C792" s="21" t="s">
        <v>95</v>
      </c>
      <c r="D792" s="21" t="s">
        <v>182</v>
      </c>
      <c r="E792" s="24">
        <v>62</v>
      </c>
    </row>
    <row r="793" spans="1:5" x14ac:dyDescent="0.3">
      <c r="A793" s="21" t="s">
        <v>36</v>
      </c>
      <c r="B793" s="22" t="s">
        <v>201</v>
      </c>
      <c r="C793" s="21" t="s">
        <v>95</v>
      </c>
      <c r="D793" s="21" t="s">
        <v>183</v>
      </c>
      <c r="E793" s="24">
        <v>27</v>
      </c>
    </row>
    <row r="794" spans="1:5" x14ac:dyDescent="0.3">
      <c r="A794" s="21" t="s">
        <v>36</v>
      </c>
      <c r="B794" s="22" t="s">
        <v>202</v>
      </c>
      <c r="C794" s="21" t="s">
        <v>74</v>
      </c>
      <c r="D794" s="21" t="s">
        <v>161</v>
      </c>
      <c r="E794" s="23">
        <v>0</v>
      </c>
    </row>
    <row r="795" spans="1:5" x14ac:dyDescent="0.3">
      <c r="A795" s="21" t="s">
        <v>36</v>
      </c>
      <c r="B795" s="22" t="s">
        <v>202</v>
      </c>
      <c r="C795" s="21" t="s">
        <v>74</v>
      </c>
      <c r="D795" s="21" t="s">
        <v>162</v>
      </c>
      <c r="E795" s="23">
        <v>51</v>
      </c>
    </row>
    <row r="796" spans="1:5" x14ac:dyDescent="0.3">
      <c r="A796" s="21" t="s">
        <v>36</v>
      </c>
      <c r="B796" s="22" t="s">
        <v>202</v>
      </c>
      <c r="C796" s="21" t="s">
        <v>74</v>
      </c>
      <c r="D796" s="21" t="s">
        <v>163</v>
      </c>
      <c r="E796" s="23">
        <v>35</v>
      </c>
    </row>
    <row r="797" spans="1:5" x14ac:dyDescent="0.3">
      <c r="A797" s="21" t="s">
        <v>36</v>
      </c>
      <c r="B797" s="22" t="s">
        <v>202</v>
      </c>
      <c r="C797" s="21" t="s">
        <v>74</v>
      </c>
      <c r="D797" s="21" t="s">
        <v>164</v>
      </c>
      <c r="E797" s="23">
        <v>57</v>
      </c>
    </row>
    <row r="798" spans="1:5" x14ac:dyDescent="0.3">
      <c r="A798" s="21" t="s">
        <v>36</v>
      </c>
      <c r="B798" s="22" t="s">
        <v>202</v>
      </c>
      <c r="C798" s="21" t="s">
        <v>74</v>
      </c>
      <c r="D798" s="21" t="s">
        <v>165</v>
      </c>
      <c r="E798" s="23">
        <v>58</v>
      </c>
    </row>
    <row r="799" spans="1:5" x14ac:dyDescent="0.3">
      <c r="A799" s="21" t="s">
        <v>36</v>
      </c>
      <c r="B799" s="22" t="s">
        <v>202</v>
      </c>
      <c r="C799" s="21" t="s">
        <v>81</v>
      </c>
      <c r="D799" s="21" t="s">
        <v>166</v>
      </c>
      <c r="E799" s="23">
        <v>72</v>
      </c>
    </row>
    <row r="800" spans="1:5" x14ac:dyDescent="0.3">
      <c r="A800" s="21" t="s">
        <v>36</v>
      </c>
      <c r="B800" s="22" t="s">
        <v>202</v>
      </c>
      <c r="C800" s="21" t="s">
        <v>81</v>
      </c>
      <c r="D800" s="21" t="s">
        <v>167</v>
      </c>
      <c r="E800" s="23">
        <v>72</v>
      </c>
    </row>
    <row r="801" spans="1:5" x14ac:dyDescent="0.3">
      <c r="A801" s="21" t="s">
        <v>36</v>
      </c>
      <c r="B801" s="22" t="s">
        <v>202</v>
      </c>
      <c r="C801" s="21" t="s">
        <v>81</v>
      </c>
      <c r="D801" s="21" t="s">
        <v>168</v>
      </c>
      <c r="E801" s="23">
        <v>86</v>
      </c>
    </row>
    <row r="802" spans="1:5" x14ac:dyDescent="0.3">
      <c r="A802" s="21" t="s">
        <v>36</v>
      </c>
      <c r="B802" s="22" t="s">
        <v>202</v>
      </c>
      <c r="C802" s="21" t="s">
        <v>81</v>
      </c>
      <c r="D802" s="21" t="s">
        <v>169</v>
      </c>
      <c r="E802" s="23">
        <v>107</v>
      </c>
    </row>
    <row r="803" spans="1:5" x14ac:dyDescent="0.3">
      <c r="A803" s="21" t="s">
        <v>36</v>
      </c>
      <c r="B803" s="22" t="s">
        <v>202</v>
      </c>
      <c r="C803" s="21" t="s">
        <v>81</v>
      </c>
      <c r="D803" s="21" t="s">
        <v>170</v>
      </c>
      <c r="E803" s="23">
        <v>81</v>
      </c>
    </row>
    <row r="804" spans="1:5" x14ac:dyDescent="0.3">
      <c r="A804" s="21" t="s">
        <v>36</v>
      </c>
      <c r="B804" s="22" t="s">
        <v>202</v>
      </c>
      <c r="C804" s="21" t="s">
        <v>81</v>
      </c>
      <c r="D804" s="21" t="s">
        <v>171</v>
      </c>
      <c r="E804" s="23">
        <v>86</v>
      </c>
    </row>
    <row r="805" spans="1:5" x14ac:dyDescent="0.3">
      <c r="A805" s="21" t="s">
        <v>36</v>
      </c>
      <c r="B805" s="22" t="s">
        <v>202</v>
      </c>
      <c r="C805" s="21" t="s">
        <v>81</v>
      </c>
      <c r="D805" s="21" t="s">
        <v>172</v>
      </c>
      <c r="E805" s="23">
        <v>68</v>
      </c>
    </row>
    <row r="806" spans="1:5" x14ac:dyDescent="0.3">
      <c r="A806" s="21" t="s">
        <v>36</v>
      </c>
      <c r="B806" s="22" t="s">
        <v>202</v>
      </c>
      <c r="C806" s="21" t="s">
        <v>88</v>
      </c>
      <c r="D806" s="21" t="s">
        <v>173</v>
      </c>
      <c r="E806" s="23">
        <v>76</v>
      </c>
    </row>
    <row r="807" spans="1:5" x14ac:dyDescent="0.3">
      <c r="A807" s="21" t="s">
        <v>36</v>
      </c>
      <c r="B807" s="22" t="s">
        <v>202</v>
      </c>
      <c r="C807" s="21" t="s">
        <v>88</v>
      </c>
      <c r="D807" s="21" t="s">
        <v>174</v>
      </c>
      <c r="E807" s="23">
        <v>54</v>
      </c>
    </row>
    <row r="808" spans="1:5" x14ac:dyDescent="0.3">
      <c r="A808" s="21" t="s">
        <v>36</v>
      </c>
      <c r="B808" s="22" t="s">
        <v>202</v>
      </c>
      <c r="C808" s="21" t="s">
        <v>88</v>
      </c>
      <c r="D808" s="21" t="s">
        <v>175</v>
      </c>
      <c r="E808" s="23">
        <v>55</v>
      </c>
    </row>
    <row r="809" spans="1:5" x14ac:dyDescent="0.3">
      <c r="A809" s="21" t="s">
        <v>36</v>
      </c>
      <c r="B809" s="22" t="s">
        <v>202</v>
      </c>
      <c r="C809" s="21" t="s">
        <v>88</v>
      </c>
      <c r="D809" s="21" t="s">
        <v>176</v>
      </c>
      <c r="E809" s="23">
        <v>76</v>
      </c>
    </row>
    <row r="810" spans="1:5" x14ac:dyDescent="0.3">
      <c r="A810" s="21" t="s">
        <v>36</v>
      </c>
      <c r="B810" s="22" t="s">
        <v>202</v>
      </c>
      <c r="C810" s="21" t="s">
        <v>88</v>
      </c>
      <c r="D810" s="21" t="s">
        <v>177</v>
      </c>
      <c r="E810" s="23">
        <v>52</v>
      </c>
    </row>
    <row r="811" spans="1:5" x14ac:dyDescent="0.3">
      <c r="A811" s="21" t="s">
        <v>36</v>
      </c>
      <c r="B811" s="22" t="s">
        <v>203</v>
      </c>
      <c r="C811" s="21" t="s">
        <v>95</v>
      </c>
      <c r="D811" s="21" t="s">
        <v>178</v>
      </c>
      <c r="E811" s="24">
        <v>16</v>
      </c>
    </row>
    <row r="812" spans="1:5" x14ac:dyDescent="0.3">
      <c r="A812" s="21" t="s">
        <v>36</v>
      </c>
      <c r="B812" s="22" t="s">
        <v>203</v>
      </c>
      <c r="C812" s="21" t="s">
        <v>95</v>
      </c>
      <c r="D812" s="21" t="s">
        <v>179</v>
      </c>
      <c r="E812" s="24">
        <v>14</v>
      </c>
    </row>
    <row r="813" spans="1:5" x14ac:dyDescent="0.3">
      <c r="A813" s="21" t="s">
        <v>36</v>
      </c>
      <c r="B813" s="22" t="s">
        <v>203</v>
      </c>
      <c r="C813" s="21" t="s">
        <v>95</v>
      </c>
      <c r="D813" s="21" t="s">
        <v>180</v>
      </c>
      <c r="E813" s="24">
        <v>14</v>
      </c>
    </row>
    <row r="814" spans="1:5" x14ac:dyDescent="0.3">
      <c r="A814" s="21" t="s">
        <v>36</v>
      </c>
      <c r="B814" s="22" t="s">
        <v>203</v>
      </c>
      <c r="C814" s="21" t="s">
        <v>95</v>
      </c>
      <c r="D814" s="21" t="s">
        <v>181</v>
      </c>
      <c r="E814" s="24">
        <v>14</v>
      </c>
    </row>
    <row r="815" spans="1:5" x14ac:dyDescent="0.3">
      <c r="A815" s="21" t="s">
        <v>36</v>
      </c>
      <c r="B815" s="22" t="s">
        <v>203</v>
      </c>
      <c r="C815" s="21" t="s">
        <v>95</v>
      </c>
      <c r="D815" s="21" t="s">
        <v>182</v>
      </c>
      <c r="E815" s="24">
        <v>14</v>
      </c>
    </row>
    <row r="816" spans="1:5" x14ac:dyDescent="0.3">
      <c r="A816" s="21" t="s">
        <v>36</v>
      </c>
      <c r="B816" s="22" t="s">
        <v>203</v>
      </c>
      <c r="C816" s="21" t="s">
        <v>95</v>
      </c>
      <c r="D816" s="21" t="s">
        <v>183</v>
      </c>
      <c r="E816" s="24">
        <v>6</v>
      </c>
    </row>
    <row r="817" spans="1:6" x14ac:dyDescent="0.3">
      <c r="A817" s="21" t="s">
        <v>36</v>
      </c>
      <c r="B817" s="22" t="s">
        <v>202</v>
      </c>
      <c r="C817" s="21" t="s">
        <v>95</v>
      </c>
      <c r="D817" s="21" t="s">
        <v>178</v>
      </c>
      <c r="E817" s="24">
        <v>57</v>
      </c>
    </row>
    <row r="818" spans="1:6" x14ac:dyDescent="0.3">
      <c r="A818" s="21" t="s">
        <v>36</v>
      </c>
      <c r="B818" s="22" t="s">
        <v>202</v>
      </c>
      <c r="C818" s="21" t="s">
        <v>95</v>
      </c>
      <c r="D818" s="21" t="s">
        <v>179</v>
      </c>
      <c r="E818" s="24">
        <v>49</v>
      </c>
    </row>
    <row r="819" spans="1:6" x14ac:dyDescent="0.3">
      <c r="A819" s="21" t="s">
        <v>36</v>
      </c>
      <c r="B819" s="22" t="s">
        <v>202</v>
      </c>
      <c r="C819" s="21" t="s">
        <v>95</v>
      </c>
      <c r="D819" s="21" t="s">
        <v>180</v>
      </c>
      <c r="E819" s="24">
        <v>49</v>
      </c>
    </row>
    <row r="820" spans="1:6" x14ac:dyDescent="0.3">
      <c r="A820" s="21" t="s">
        <v>36</v>
      </c>
      <c r="B820" s="22" t="s">
        <v>202</v>
      </c>
      <c r="C820" s="21" t="s">
        <v>95</v>
      </c>
      <c r="D820" s="21" t="s">
        <v>181</v>
      </c>
      <c r="E820" s="24">
        <v>49</v>
      </c>
    </row>
    <row r="821" spans="1:6" x14ac:dyDescent="0.3">
      <c r="A821" s="21" t="s">
        <v>36</v>
      </c>
      <c r="B821" s="22" t="s">
        <v>202</v>
      </c>
      <c r="C821" s="21" t="s">
        <v>95</v>
      </c>
      <c r="D821" s="21" t="s">
        <v>182</v>
      </c>
      <c r="E821" s="24">
        <v>49</v>
      </c>
    </row>
    <row r="822" spans="1:6" x14ac:dyDescent="0.3">
      <c r="A822" s="21" t="s">
        <v>36</v>
      </c>
      <c r="B822" s="22" t="s">
        <v>202</v>
      </c>
      <c r="C822" s="21" t="s">
        <v>95</v>
      </c>
      <c r="D822" s="21" t="s">
        <v>183</v>
      </c>
      <c r="E822" s="24">
        <v>21</v>
      </c>
    </row>
    <row r="823" spans="1:6" x14ac:dyDescent="0.3">
      <c r="A823" s="21" t="s">
        <v>39</v>
      </c>
      <c r="B823" s="22" t="s">
        <v>41</v>
      </c>
      <c r="C823" s="21" t="s">
        <v>74</v>
      </c>
      <c r="D823" s="21" t="s">
        <v>161</v>
      </c>
      <c r="E823" s="24">
        <v>32</v>
      </c>
    </row>
    <row r="824" spans="1:6" x14ac:dyDescent="0.3">
      <c r="A824" s="21" t="s">
        <v>39</v>
      </c>
      <c r="B824" s="22" t="s">
        <v>41</v>
      </c>
      <c r="C824" s="21" t="s">
        <v>74</v>
      </c>
      <c r="D824" s="21" t="s">
        <v>162</v>
      </c>
      <c r="E824" s="24">
        <v>39</v>
      </c>
    </row>
    <row r="825" spans="1:6" x14ac:dyDescent="0.3">
      <c r="A825" s="21" t="s">
        <v>39</v>
      </c>
      <c r="B825" s="22" t="s">
        <v>41</v>
      </c>
      <c r="C825" s="21" t="s">
        <v>74</v>
      </c>
      <c r="D825" s="21" t="s">
        <v>163</v>
      </c>
      <c r="E825" s="24">
        <v>25</v>
      </c>
      <c r="F825" s="25"/>
    </row>
    <row r="826" spans="1:6" x14ac:dyDescent="0.3">
      <c r="A826" s="21" t="s">
        <v>39</v>
      </c>
      <c r="B826" s="22" t="s">
        <v>41</v>
      </c>
      <c r="C826" s="21" t="s">
        <v>74</v>
      </c>
      <c r="D826" s="21" t="s">
        <v>164</v>
      </c>
      <c r="E826" s="24">
        <v>22</v>
      </c>
    </row>
    <row r="827" spans="1:6" x14ac:dyDescent="0.3">
      <c r="A827" s="21" t="s">
        <v>39</v>
      </c>
      <c r="B827" s="22" t="s">
        <v>41</v>
      </c>
      <c r="C827" s="21" t="s">
        <v>74</v>
      </c>
      <c r="D827" s="21" t="s">
        <v>165</v>
      </c>
      <c r="E827" s="24">
        <v>27</v>
      </c>
    </row>
    <row r="828" spans="1:6" x14ac:dyDescent="0.3">
      <c r="A828" s="21" t="s">
        <v>39</v>
      </c>
      <c r="B828" s="22" t="s">
        <v>41</v>
      </c>
      <c r="C828" s="21" t="s">
        <v>81</v>
      </c>
      <c r="D828" s="21" t="s">
        <v>166</v>
      </c>
      <c r="E828" s="24">
        <v>37</v>
      </c>
    </row>
    <row r="829" spans="1:6" x14ac:dyDescent="0.3">
      <c r="A829" s="21" t="s">
        <v>39</v>
      </c>
      <c r="B829" s="22" t="s">
        <v>41</v>
      </c>
      <c r="C829" s="21" t="s">
        <v>81</v>
      </c>
      <c r="D829" s="21" t="s">
        <v>167</v>
      </c>
      <c r="E829" s="24">
        <v>34</v>
      </c>
    </row>
    <row r="830" spans="1:6" x14ac:dyDescent="0.3">
      <c r="A830" s="21" t="s">
        <v>39</v>
      </c>
      <c r="B830" s="22" t="s">
        <v>41</v>
      </c>
      <c r="C830" s="21" t="s">
        <v>81</v>
      </c>
      <c r="D830" s="21" t="s">
        <v>168</v>
      </c>
      <c r="E830" s="24">
        <v>43</v>
      </c>
    </row>
    <row r="831" spans="1:6" x14ac:dyDescent="0.3">
      <c r="A831" s="21" t="s">
        <v>39</v>
      </c>
      <c r="B831" s="22" t="s">
        <v>41</v>
      </c>
      <c r="C831" s="21" t="s">
        <v>81</v>
      </c>
      <c r="D831" s="21" t="s">
        <v>169</v>
      </c>
      <c r="E831" s="24">
        <v>62</v>
      </c>
    </row>
    <row r="832" spans="1:6" x14ac:dyDescent="0.3">
      <c r="A832" s="21" t="s">
        <v>39</v>
      </c>
      <c r="B832" s="22" t="s">
        <v>41</v>
      </c>
      <c r="C832" s="21" t="s">
        <v>81</v>
      </c>
      <c r="D832" s="21" t="s">
        <v>170</v>
      </c>
      <c r="E832" s="24">
        <v>44</v>
      </c>
    </row>
    <row r="833" spans="1:5" x14ac:dyDescent="0.3">
      <c r="A833" s="21" t="s">
        <v>39</v>
      </c>
      <c r="B833" s="22" t="s">
        <v>41</v>
      </c>
      <c r="C833" s="21" t="s">
        <v>81</v>
      </c>
      <c r="D833" s="21" t="s">
        <v>171</v>
      </c>
      <c r="E833" s="24">
        <v>14</v>
      </c>
    </row>
    <row r="834" spans="1:5" x14ac:dyDescent="0.3">
      <c r="A834" s="21" t="s">
        <v>39</v>
      </c>
      <c r="B834" s="22" t="s">
        <v>41</v>
      </c>
      <c r="C834" s="21" t="s">
        <v>81</v>
      </c>
      <c r="D834" s="21" t="s">
        <v>172</v>
      </c>
      <c r="E834" s="24">
        <v>0</v>
      </c>
    </row>
    <row r="835" spans="1:5" x14ac:dyDescent="0.3">
      <c r="A835" s="21" t="s">
        <v>39</v>
      </c>
      <c r="B835" s="22" t="s">
        <v>41</v>
      </c>
      <c r="C835" s="21" t="s">
        <v>88</v>
      </c>
      <c r="D835" s="21" t="s">
        <v>173</v>
      </c>
      <c r="E835" s="24">
        <v>56</v>
      </c>
    </row>
    <row r="836" spans="1:5" x14ac:dyDescent="0.3">
      <c r="A836" s="21" t="s">
        <v>39</v>
      </c>
      <c r="B836" s="22" t="s">
        <v>41</v>
      </c>
      <c r="C836" s="21" t="s">
        <v>88</v>
      </c>
      <c r="D836" s="21" t="s">
        <v>174</v>
      </c>
      <c r="E836" s="24">
        <v>61</v>
      </c>
    </row>
    <row r="837" spans="1:5" x14ac:dyDescent="0.3">
      <c r="A837" s="21" t="s">
        <v>39</v>
      </c>
      <c r="B837" s="22" t="s">
        <v>41</v>
      </c>
      <c r="C837" s="21" t="s">
        <v>88</v>
      </c>
      <c r="D837" s="21" t="s">
        <v>175</v>
      </c>
      <c r="E837" s="24">
        <v>50</v>
      </c>
    </row>
    <row r="838" spans="1:5" x14ac:dyDescent="0.3">
      <c r="A838" s="21" t="s">
        <v>39</v>
      </c>
      <c r="B838" s="22" t="s">
        <v>41</v>
      </c>
      <c r="C838" s="21" t="s">
        <v>88</v>
      </c>
      <c r="D838" s="21" t="s">
        <v>176</v>
      </c>
      <c r="E838" s="24">
        <v>64</v>
      </c>
    </row>
    <row r="839" spans="1:5" x14ac:dyDescent="0.3">
      <c r="A839" s="21" t="s">
        <v>39</v>
      </c>
      <c r="B839" s="22" t="s">
        <v>41</v>
      </c>
      <c r="C839" s="21" t="s">
        <v>88</v>
      </c>
      <c r="D839" s="21" t="s">
        <v>177</v>
      </c>
      <c r="E839" s="24">
        <v>19</v>
      </c>
    </row>
    <row r="840" spans="1:5" x14ac:dyDescent="0.3">
      <c r="A840" s="21" t="s">
        <v>39</v>
      </c>
      <c r="B840" s="22" t="s">
        <v>41</v>
      </c>
      <c r="C840" s="21" t="s">
        <v>95</v>
      </c>
      <c r="D840" s="21" t="s">
        <v>178</v>
      </c>
      <c r="E840" s="24">
        <v>50</v>
      </c>
    </row>
    <row r="841" spans="1:5" x14ac:dyDescent="0.3">
      <c r="A841" s="21" t="s">
        <v>39</v>
      </c>
      <c r="B841" s="22" t="s">
        <v>41</v>
      </c>
      <c r="C841" s="21" t="s">
        <v>95</v>
      </c>
      <c r="D841" s="21" t="s">
        <v>179</v>
      </c>
      <c r="E841" s="24">
        <v>50</v>
      </c>
    </row>
    <row r="842" spans="1:5" x14ac:dyDescent="0.3">
      <c r="A842" s="21" t="s">
        <v>39</v>
      </c>
      <c r="B842" s="22" t="s">
        <v>41</v>
      </c>
      <c r="C842" s="21" t="s">
        <v>95</v>
      </c>
      <c r="D842" s="21" t="s">
        <v>180</v>
      </c>
      <c r="E842" s="24">
        <v>44</v>
      </c>
    </row>
    <row r="843" spans="1:5" x14ac:dyDescent="0.3">
      <c r="A843" s="21" t="s">
        <v>39</v>
      </c>
      <c r="B843" s="22" t="s">
        <v>41</v>
      </c>
      <c r="C843" s="21" t="s">
        <v>95</v>
      </c>
      <c r="D843" s="21" t="s">
        <v>181</v>
      </c>
      <c r="E843" s="24">
        <v>44</v>
      </c>
    </row>
    <row r="844" spans="1:5" x14ac:dyDescent="0.3">
      <c r="A844" s="21" t="s">
        <v>39</v>
      </c>
      <c r="B844" s="22" t="s">
        <v>41</v>
      </c>
      <c r="C844" s="21" t="s">
        <v>95</v>
      </c>
      <c r="D844" s="21" t="s">
        <v>182</v>
      </c>
      <c r="E844" s="24">
        <v>44</v>
      </c>
    </row>
    <row r="845" spans="1:5" x14ac:dyDescent="0.3">
      <c r="A845" s="21" t="s">
        <v>39</v>
      </c>
      <c r="B845" s="22" t="s">
        <v>41</v>
      </c>
      <c r="C845" s="21" t="s">
        <v>95</v>
      </c>
      <c r="D845" s="21" t="s">
        <v>183</v>
      </c>
      <c r="E845" s="24">
        <v>0</v>
      </c>
    </row>
    <row r="846" spans="1:5" x14ac:dyDescent="0.3">
      <c r="A846" s="21" t="s">
        <v>39</v>
      </c>
      <c r="B846" s="22" t="s">
        <v>204</v>
      </c>
      <c r="C846" s="21" t="s">
        <v>74</v>
      </c>
      <c r="D846" s="21" t="s">
        <v>161</v>
      </c>
      <c r="E846" s="24">
        <v>67</v>
      </c>
    </row>
    <row r="847" spans="1:5" x14ac:dyDescent="0.3">
      <c r="A847" s="21" t="s">
        <v>39</v>
      </c>
      <c r="B847" s="22" t="s">
        <v>204</v>
      </c>
      <c r="C847" s="21" t="s">
        <v>74</v>
      </c>
      <c r="D847" s="21" t="s">
        <v>162</v>
      </c>
      <c r="E847" s="24">
        <v>82</v>
      </c>
    </row>
    <row r="848" spans="1:5" x14ac:dyDescent="0.3">
      <c r="A848" s="21" t="s">
        <v>39</v>
      </c>
      <c r="B848" s="22" t="s">
        <v>204</v>
      </c>
      <c r="C848" s="21" t="s">
        <v>74</v>
      </c>
      <c r="D848" s="21" t="s">
        <v>163</v>
      </c>
      <c r="E848" s="24">
        <v>60</v>
      </c>
    </row>
    <row r="849" spans="1:5" x14ac:dyDescent="0.3">
      <c r="A849" s="21" t="s">
        <v>39</v>
      </c>
      <c r="B849" s="22" t="s">
        <v>204</v>
      </c>
      <c r="C849" s="21" t="s">
        <v>74</v>
      </c>
      <c r="D849" s="21" t="s">
        <v>164</v>
      </c>
      <c r="E849" s="24">
        <v>45</v>
      </c>
    </row>
    <row r="850" spans="1:5" x14ac:dyDescent="0.3">
      <c r="A850" s="21" t="s">
        <v>39</v>
      </c>
      <c r="B850" s="22" t="s">
        <v>204</v>
      </c>
      <c r="C850" s="21" t="s">
        <v>74</v>
      </c>
      <c r="D850" s="21" t="s">
        <v>165</v>
      </c>
      <c r="E850" s="24">
        <v>77</v>
      </c>
    </row>
    <row r="851" spans="1:5" x14ac:dyDescent="0.3">
      <c r="A851" s="21" t="s">
        <v>39</v>
      </c>
      <c r="B851" s="22" t="s">
        <v>204</v>
      </c>
      <c r="C851" s="21" t="s">
        <v>81</v>
      </c>
      <c r="D851" s="21" t="s">
        <v>166</v>
      </c>
      <c r="E851" s="24">
        <v>44</v>
      </c>
    </row>
    <row r="852" spans="1:5" x14ac:dyDescent="0.3">
      <c r="A852" s="21" t="s">
        <v>39</v>
      </c>
      <c r="B852" s="22" t="s">
        <v>204</v>
      </c>
      <c r="C852" s="21" t="s">
        <v>81</v>
      </c>
      <c r="D852" s="21" t="s">
        <v>167</v>
      </c>
      <c r="E852" s="24">
        <v>48</v>
      </c>
    </row>
    <row r="853" spans="1:5" x14ac:dyDescent="0.3">
      <c r="A853" s="21" t="s">
        <v>39</v>
      </c>
      <c r="B853" s="22" t="s">
        <v>204</v>
      </c>
      <c r="C853" s="21" t="s">
        <v>81</v>
      </c>
      <c r="D853" s="21" t="s">
        <v>168</v>
      </c>
      <c r="E853" s="24">
        <v>56</v>
      </c>
    </row>
    <row r="854" spans="1:5" x14ac:dyDescent="0.3">
      <c r="A854" s="21" t="s">
        <v>39</v>
      </c>
      <c r="B854" s="22" t="s">
        <v>204</v>
      </c>
      <c r="C854" s="21" t="s">
        <v>81</v>
      </c>
      <c r="D854" s="21" t="s">
        <v>169</v>
      </c>
      <c r="E854" s="24">
        <v>58</v>
      </c>
    </row>
    <row r="855" spans="1:5" x14ac:dyDescent="0.3">
      <c r="A855" s="21" t="s">
        <v>39</v>
      </c>
      <c r="B855" s="22" t="s">
        <v>204</v>
      </c>
      <c r="C855" s="21" t="s">
        <v>81</v>
      </c>
      <c r="D855" s="21" t="s">
        <v>170</v>
      </c>
      <c r="E855" s="24">
        <v>72</v>
      </c>
    </row>
    <row r="856" spans="1:5" x14ac:dyDescent="0.3">
      <c r="A856" s="21" t="s">
        <v>39</v>
      </c>
      <c r="B856" s="22" t="s">
        <v>204</v>
      </c>
      <c r="C856" s="21" t="s">
        <v>81</v>
      </c>
      <c r="D856" s="21" t="s">
        <v>171</v>
      </c>
      <c r="E856" s="24">
        <v>30</v>
      </c>
    </row>
    <row r="857" spans="1:5" x14ac:dyDescent="0.3">
      <c r="A857" s="21" t="s">
        <v>39</v>
      </c>
      <c r="B857" s="22" t="s">
        <v>204</v>
      </c>
      <c r="C857" s="21" t="s">
        <v>81</v>
      </c>
      <c r="D857" s="21" t="s">
        <v>172</v>
      </c>
      <c r="E857" s="24">
        <v>0</v>
      </c>
    </row>
    <row r="858" spans="1:5" x14ac:dyDescent="0.3">
      <c r="A858" s="21" t="s">
        <v>39</v>
      </c>
      <c r="B858" s="22" t="s">
        <v>205</v>
      </c>
      <c r="C858" s="21" t="s">
        <v>88</v>
      </c>
      <c r="D858" s="21" t="s">
        <v>173</v>
      </c>
      <c r="E858" s="24">
        <v>56</v>
      </c>
    </row>
    <row r="859" spans="1:5" x14ac:dyDescent="0.3">
      <c r="A859" s="21" t="s">
        <v>39</v>
      </c>
      <c r="B859" s="22" t="s">
        <v>205</v>
      </c>
      <c r="C859" s="21" t="s">
        <v>88</v>
      </c>
      <c r="D859" s="21" t="s">
        <v>174</v>
      </c>
      <c r="E859" s="24">
        <v>59</v>
      </c>
    </row>
    <row r="860" spans="1:5" x14ac:dyDescent="0.3">
      <c r="A860" s="21" t="s">
        <v>39</v>
      </c>
      <c r="B860" s="22" t="s">
        <v>205</v>
      </c>
      <c r="C860" s="21" t="s">
        <v>88</v>
      </c>
      <c r="D860" s="21" t="s">
        <v>175</v>
      </c>
      <c r="E860" s="24">
        <v>50</v>
      </c>
    </row>
    <row r="861" spans="1:5" x14ac:dyDescent="0.3">
      <c r="A861" s="21" t="s">
        <v>39</v>
      </c>
      <c r="B861" s="22" t="s">
        <v>205</v>
      </c>
      <c r="C861" s="21" t="s">
        <v>88</v>
      </c>
      <c r="D861" s="21" t="s">
        <v>176</v>
      </c>
      <c r="E861" s="24">
        <v>41</v>
      </c>
    </row>
    <row r="862" spans="1:5" x14ac:dyDescent="0.3">
      <c r="A862" s="21" t="s">
        <v>39</v>
      </c>
      <c r="B862" s="22" t="s">
        <v>205</v>
      </c>
      <c r="C862" s="21" t="s">
        <v>88</v>
      </c>
      <c r="D862" s="21" t="s">
        <v>177</v>
      </c>
      <c r="E862" s="24">
        <v>17</v>
      </c>
    </row>
    <row r="863" spans="1:5" x14ac:dyDescent="0.3">
      <c r="A863" s="21" t="s">
        <v>39</v>
      </c>
      <c r="B863" s="22" t="s">
        <v>205</v>
      </c>
      <c r="C863" s="21" t="s">
        <v>95</v>
      </c>
      <c r="D863" s="21" t="s">
        <v>178</v>
      </c>
      <c r="E863" s="24">
        <v>54</v>
      </c>
    </row>
    <row r="864" spans="1:5" x14ac:dyDescent="0.3">
      <c r="A864" s="21" t="s">
        <v>39</v>
      </c>
      <c r="B864" s="22" t="s">
        <v>205</v>
      </c>
      <c r="C864" s="21" t="s">
        <v>95</v>
      </c>
      <c r="D864" s="21" t="s">
        <v>179</v>
      </c>
      <c r="E864" s="24">
        <v>48</v>
      </c>
    </row>
    <row r="865" spans="1:5" x14ac:dyDescent="0.3">
      <c r="A865" s="21" t="s">
        <v>39</v>
      </c>
      <c r="B865" s="22" t="s">
        <v>205</v>
      </c>
      <c r="C865" s="21" t="s">
        <v>95</v>
      </c>
      <c r="D865" s="21" t="s">
        <v>180</v>
      </c>
      <c r="E865" s="24">
        <v>41</v>
      </c>
    </row>
    <row r="866" spans="1:5" x14ac:dyDescent="0.3">
      <c r="A866" s="21" t="s">
        <v>39</v>
      </c>
      <c r="B866" s="22" t="s">
        <v>205</v>
      </c>
      <c r="C866" s="21" t="s">
        <v>95</v>
      </c>
      <c r="D866" s="21" t="s">
        <v>181</v>
      </c>
      <c r="E866" s="24">
        <v>38</v>
      </c>
    </row>
    <row r="867" spans="1:5" x14ac:dyDescent="0.3">
      <c r="A867" s="21" t="s">
        <v>39</v>
      </c>
      <c r="B867" s="22" t="s">
        <v>205</v>
      </c>
      <c r="C867" s="21" t="s">
        <v>95</v>
      </c>
      <c r="D867" s="21" t="s">
        <v>182</v>
      </c>
      <c r="E867" s="24">
        <v>44</v>
      </c>
    </row>
    <row r="868" spans="1:5" x14ac:dyDescent="0.3">
      <c r="A868" s="21" t="s">
        <v>39</v>
      </c>
      <c r="B868" s="22" t="s">
        <v>205</v>
      </c>
      <c r="C868" s="21" t="s">
        <v>95</v>
      </c>
      <c r="D868" s="21" t="s">
        <v>183</v>
      </c>
      <c r="E868" s="24">
        <v>0</v>
      </c>
    </row>
    <row r="869" spans="1:5" x14ac:dyDescent="0.3">
      <c r="A869" s="21" t="s">
        <v>39</v>
      </c>
      <c r="B869" s="22" t="s">
        <v>42</v>
      </c>
      <c r="C869" s="21" t="s">
        <v>74</v>
      </c>
      <c r="D869" s="21" t="s">
        <v>161</v>
      </c>
      <c r="E869" s="24">
        <v>44</v>
      </c>
    </row>
    <row r="870" spans="1:5" x14ac:dyDescent="0.3">
      <c r="A870" s="21" t="s">
        <v>39</v>
      </c>
      <c r="B870" s="22" t="s">
        <v>42</v>
      </c>
      <c r="C870" s="21" t="s">
        <v>74</v>
      </c>
      <c r="D870" s="21" t="s">
        <v>162</v>
      </c>
      <c r="E870" s="24">
        <v>61</v>
      </c>
    </row>
    <row r="871" spans="1:5" x14ac:dyDescent="0.3">
      <c r="A871" s="21" t="s">
        <v>39</v>
      </c>
      <c r="B871" s="22" t="s">
        <v>42</v>
      </c>
      <c r="C871" s="21" t="s">
        <v>74</v>
      </c>
      <c r="D871" s="21" t="s">
        <v>163</v>
      </c>
      <c r="E871" s="24">
        <v>60</v>
      </c>
    </row>
    <row r="872" spans="1:5" x14ac:dyDescent="0.3">
      <c r="A872" s="21" t="s">
        <v>39</v>
      </c>
      <c r="B872" s="22" t="s">
        <v>42</v>
      </c>
      <c r="C872" s="21" t="s">
        <v>74</v>
      </c>
      <c r="D872" s="21" t="s">
        <v>164</v>
      </c>
      <c r="E872" s="24">
        <v>43</v>
      </c>
    </row>
    <row r="873" spans="1:5" x14ac:dyDescent="0.3">
      <c r="A873" s="21" t="s">
        <v>39</v>
      </c>
      <c r="B873" s="22" t="s">
        <v>42</v>
      </c>
      <c r="C873" s="21" t="s">
        <v>74</v>
      </c>
      <c r="D873" s="21" t="s">
        <v>165</v>
      </c>
      <c r="E873" s="24">
        <v>48</v>
      </c>
    </row>
    <row r="874" spans="1:5" x14ac:dyDescent="0.3">
      <c r="A874" s="21" t="s">
        <v>39</v>
      </c>
      <c r="B874" s="22" t="s">
        <v>42</v>
      </c>
      <c r="C874" s="21" t="s">
        <v>81</v>
      </c>
      <c r="D874" s="21" t="s">
        <v>166</v>
      </c>
      <c r="E874" s="24">
        <v>52</v>
      </c>
    </row>
    <row r="875" spans="1:5" x14ac:dyDescent="0.3">
      <c r="A875" s="21" t="s">
        <v>39</v>
      </c>
      <c r="B875" s="22" t="s">
        <v>42</v>
      </c>
      <c r="C875" s="21" t="s">
        <v>81</v>
      </c>
      <c r="D875" s="21" t="s">
        <v>167</v>
      </c>
      <c r="E875" s="24">
        <v>39</v>
      </c>
    </row>
    <row r="876" spans="1:5" x14ac:dyDescent="0.3">
      <c r="A876" s="21" t="s">
        <v>39</v>
      </c>
      <c r="B876" s="22" t="s">
        <v>42</v>
      </c>
      <c r="C876" s="21" t="s">
        <v>81</v>
      </c>
      <c r="D876" s="21" t="s">
        <v>168</v>
      </c>
      <c r="E876" s="24">
        <v>47</v>
      </c>
    </row>
    <row r="877" spans="1:5" x14ac:dyDescent="0.3">
      <c r="A877" s="21" t="s">
        <v>39</v>
      </c>
      <c r="B877" s="22" t="s">
        <v>42</v>
      </c>
      <c r="C877" s="21" t="s">
        <v>81</v>
      </c>
      <c r="D877" s="21" t="s">
        <v>169</v>
      </c>
      <c r="E877" s="24">
        <v>57</v>
      </c>
    </row>
    <row r="878" spans="1:5" x14ac:dyDescent="0.3">
      <c r="A878" s="21" t="s">
        <v>39</v>
      </c>
      <c r="B878" s="22" t="s">
        <v>42</v>
      </c>
      <c r="C878" s="21" t="s">
        <v>81</v>
      </c>
      <c r="D878" s="21" t="s">
        <v>170</v>
      </c>
      <c r="E878" s="24">
        <v>45</v>
      </c>
    </row>
    <row r="879" spans="1:5" x14ac:dyDescent="0.3">
      <c r="A879" s="21" t="s">
        <v>39</v>
      </c>
      <c r="B879" s="22" t="s">
        <v>42</v>
      </c>
      <c r="C879" s="21" t="s">
        <v>81</v>
      </c>
      <c r="D879" s="21" t="s">
        <v>171</v>
      </c>
      <c r="E879" s="24">
        <v>21</v>
      </c>
    </row>
    <row r="880" spans="1:5" x14ac:dyDescent="0.3">
      <c r="A880" s="21" t="s">
        <v>39</v>
      </c>
      <c r="B880" s="22" t="s">
        <v>42</v>
      </c>
      <c r="C880" s="21" t="s">
        <v>81</v>
      </c>
      <c r="D880" s="21" t="s">
        <v>172</v>
      </c>
      <c r="E880" s="24">
        <v>0</v>
      </c>
    </row>
    <row r="881" spans="1:5" x14ac:dyDescent="0.3">
      <c r="A881" s="21" t="s">
        <v>39</v>
      </c>
      <c r="B881" s="22" t="s">
        <v>42</v>
      </c>
      <c r="C881" s="21" t="s">
        <v>88</v>
      </c>
      <c r="D881" s="21" t="s">
        <v>173</v>
      </c>
      <c r="E881" s="24">
        <v>45</v>
      </c>
    </row>
    <row r="882" spans="1:5" x14ac:dyDescent="0.3">
      <c r="A882" s="21" t="s">
        <v>39</v>
      </c>
      <c r="B882" s="22" t="s">
        <v>42</v>
      </c>
      <c r="C882" s="21" t="s">
        <v>88</v>
      </c>
      <c r="D882" s="21" t="s">
        <v>174</v>
      </c>
      <c r="E882" s="24">
        <v>38</v>
      </c>
    </row>
    <row r="883" spans="1:5" x14ac:dyDescent="0.3">
      <c r="A883" s="21" t="s">
        <v>39</v>
      </c>
      <c r="B883" s="22" t="s">
        <v>42</v>
      </c>
      <c r="C883" s="21" t="s">
        <v>88</v>
      </c>
      <c r="D883" s="21" t="s">
        <v>175</v>
      </c>
      <c r="E883" s="24">
        <v>39</v>
      </c>
    </row>
    <row r="884" spans="1:5" x14ac:dyDescent="0.3">
      <c r="A884" s="21" t="s">
        <v>39</v>
      </c>
      <c r="B884" s="22" t="s">
        <v>42</v>
      </c>
      <c r="C884" s="21" t="s">
        <v>88</v>
      </c>
      <c r="D884" s="21" t="s">
        <v>176</v>
      </c>
      <c r="E884" s="24">
        <v>45</v>
      </c>
    </row>
    <row r="885" spans="1:5" x14ac:dyDescent="0.3">
      <c r="A885" s="21" t="s">
        <v>39</v>
      </c>
      <c r="B885" s="22" t="s">
        <v>42</v>
      </c>
      <c r="C885" s="21" t="s">
        <v>88</v>
      </c>
      <c r="D885" s="21" t="s">
        <v>177</v>
      </c>
      <c r="E885" s="24">
        <v>13</v>
      </c>
    </row>
    <row r="886" spans="1:5" x14ac:dyDescent="0.3">
      <c r="A886" s="21" t="s">
        <v>39</v>
      </c>
      <c r="B886" s="22" t="s">
        <v>42</v>
      </c>
      <c r="C886" s="21" t="s">
        <v>95</v>
      </c>
      <c r="D886" s="21" t="s">
        <v>178</v>
      </c>
      <c r="E886" s="24">
        <v>43</v>
      </c>
    </row>
    <row r="887" spans="1:5" x14ac:dyDescent="0.3">
      <c r="A887" s="21" t="s">
        <v>39</v>
      </c>
      <c r="B887" s="22" t="s">
        <v>42</v>
      </c>
      <c r="C887" s="21" t="s">
        <v>95</v>
      </c>
      <c r="D887" s="21" t="s">
        <v>179</v>
      </c>
      <c r="E887" s="24">
        <v>43</v>
      </c>
    </row>
    <row r="888" spans="1:5" x14ac:dyDescent="0.3">
      <c r="A888" s="21" t="s">
        <v>39</v>
      </c>
      <c r="B888" s="22" t="s">
        <v>42</v>
      </c>
      <c r="C888" s="21" t="s">
        <v>95</v>
      </c>
      <c r="D888" s="21" t="s">
        <v>180</v>
      </c>
      <c r="E888" s="24">
        <v>37</v>
      </c>
    </row>
    <row r="889" spans="1:5" x14ac:dyDescent="0.3">
      <c r="A889" s="21" t="s">
        <v>39</v>
      </c>
      <c r="B889" s="22" t="s">
        <v>42</v>
      </c>
      <c r="C889" s="21" t="s">
        <v>95</v>
      </c>
      <c r="D889" s="21" t="s">
        <v>181</v>
      </c>
      <c r="E889" s="24">
        <v>37</v>
      </c>
    </row>
    <row r="890" spans="1:5" x14ac:dyDescent="0.3">
      <c r="A890" s="21" t="s">
        <v>39</v>
      </c>
      <c r="B890" s="22" t="s">
        <v>42</v>
      </c>
      <c r="C890" s="21" t="s">
        <v>95</v>
      </c>
      <c r="D890" s="21" t="s">
        <v>182</v>
      </c>
      <c r="E890" s="24">
        <v>37</v>
      </c>
    </row>
    <row r="891" spans="1:5" x14ac:dyDescent="0.3">
      <c r="A891" s="21" t="s">
        <v>39</v>
      </c>
      <c r="B891" s="22" t="s">
        <v>42</v>
      </c>
      <c r="C891" s="21" t="s">
        <v>95</v>
      </c>
      <c r="D891" s="21" t="s">
        <v>183</v>
      </c>
      <c r="E891" s="24">
        <v>0</v>
      </c>
    </row>
    <row r="892" spans="1:5" x14ac:dyDescent="0.3">
      <c r="A892" s="21" t="s">
        <v>39</v>
      </c>
      <c r="B892" s="22" t="s">
        <v>40</v>
      </c>
      <c r="C892" s="21" t="s">
        <v>74</v>
      </c>
      <c r="D892" s="21" t="s">
        <v>161</v>
      </c>
      <c r="E892" s="24">
        <v>27</v>
      </c>
    </row>
    <row r="893" spans="1:5" x14ac:dyDescent="0.3">
      <c r="A893" s="21" t="s">
        <v>39</v>
      </c>
      <c r="B893" s="22" t="s">
        <v>40</v>
      </c>
      <c r="C893" s="21" t="s">
        <v>74</v>
      </c>
      <c r="D893" s="21" t="s">
        <v>162</v>
      </c>
      <c r="E893" s="24">
        <v>21</v>
      </c>
    </row>
    <row r="894" spans="1:5" x14ac:dyDescent="0.3">
      <c r="A894" s="21" t="s">
        <v>39</v>
      </c>
      <c r="B894" s="22" t="s">
        <v>40</v>
      </c>
      <c r="C894" s="21" t="s">
        <v>74</v>
      </c>
      <c r="D894" s="21" t="s">
        <v>163</v>
      </c>
      <c r="E894" s="24">
        <v>27</v>
      </c>
    </row>
    <row r="895" spans="1:5" x14ac:dyDescent="0.3">
      <c r="A895" s="21" t="s">
        <v>39</v>
      </c>
      <c r="B895" s="22" t="s">
        <v>40</v>
      </c>
      <c r="C895" s="21" t="s">
        <v>74</v>
      </c>
      <c r="D895" s="21" t="s">
        <v>164</v>
      </c>
      <c r="E895" s="24">
        <v>20</v>
      </c>
    </row>
    <row r="896" spans="1:5" x14ac:dyDescent="0.3">
      <c r="A896" s="21" t="s">
        <v>39</v>
      </c>
      <c r="B896" s="22" t="s">
        <v>40</v>
      </c>
      <c r="C896" s="21" t="s">
        <v>74</v>
      </c>
      <c r="D896" s="21" t="s">
        <v>165</v>
      </c>
      <c r="E896" s="24">
        <v>27</v>
      </c>
    </row>
    <row r="897" spans="1:5" x14ac:dyDescent="0.3">
      <c r="A897" s="21" t="s">
        <v>39</v>
      </c>
      <c r="B897" s="22" t="s">
        <v>40</v>
      </c>
      <c r="C897" s="21" t="s">
        <v>81</v>
      </c>
      <c r="D897" s="21" t="s">
        <v>166</v>
      </c>
      <c r="E897" s="24">
        <v>50</v>
      </c>
    </row>
    <row r="898" spans="1:5" x14ac:dyDescent="0.3">
      <c r="A898" s="21" t="s">
        <v>39</v>
      </c>
      <c r="B898" s="22" t="s">
        <v>40</v>
      </c>
      <c r="C898" s="21" t="s">
        <v>81</v>
      </c>
      <c r="D898" s="21" t="s">
        <v>167</v>
      </c>
      <c r="E898" s="24">
        <v>46</v>
      </c>
    </row>
    <row r="899" spans="1:5" x14ac:dyDescent="0.3">
      <c r="A899" s="21" t="s">
        <v>39</v>
      </c>
      <c r="B899" s="22" t="s">
        <v>40</v>
      </c>
      <c r="C899" s="21" t="s">
        <v>81</v>
      </c>
      <c r="D899" s="21" t="s">
        <v>168</v>
      </c>
      <c r="E899" s="24">
        <v>51</v>
      </c>
    </row>
    <row r="900" spans="1:5" x14ac:dyDescent="0.3">
      <c r="A900" s="21" t="s">
        <v>39</v>
      </c>
      <c r="B900" s="22" t="s">
        <v>40</v>
      </c>
      <c r="C900" s="21" t="s">
        <v>81</v>
      </c>
      <c r="D900" s="21" t="s">
        <v>169</v>
      </c>
      <c r="E900" s="24">
        <v>74</v>
      </c>
    </row>
    <row r="901" spans="1:5" x14ac:dyDescent="0.3">
      <c r="A901" s="21" t="s">
        <v>39</v>
      </c>
      <c r="B901" s="22" t="s">
        <v>40</v>
      </c>
      <c r="C901" s="21" t="s">
        <v>81</v>
      </c>
      <c r="D901" s="21" t="s">
        <v>170</v>
      </c>
      <c r="E901" s="24">
        <v>59</v>
      </c>
    </row>
    <row r="902" spans="1:5" x14ac:dyDescent="0.3">
      <c r="A902" s="21" t="s">
        <v>39</v>
      </c>
      <c r="B902" s="22" t="s">
        <v>40</v>
      </c>
      <c r="C902" s="21" t="s">
        <v>81</v>
      </c>
      <c r="D902" s="21" t="s">
        <v>171</v>
      </c>
      <c r="E902" s="24">
        <v>41</v>
      </c>
    </row>
    <row r="903" spans="1:5" x14ac:dyDescent="0.3">
      <c r="A903" s="21" t="s">
        <v>39</v>
      </c>
      <c r="B903" s="22" t="s">
        <v>40</v>
      </c>
      <c r="C903" s="21" t="s">
        <v>81</v>
      </c>
      <c r="D903" s="21" t="s">
        <v>172</v>
      </c>
      <c r="E903" s="24">
        <v>0</v>
      </c>
    </row>
    <row r="904" spans="1:5" x14ac:dyDescent="0.3">
      <c r="A904" s="21" t="s">
        <v>39</v>
      </c>
      <c r="B904" s="22" t="s">
        <v>40</v>
      </c>
      <c r="C904" s="21" t="s">
        <v>88</v>
      </c>
      <c r="D904" s="21" t="s">
        <v>173</v>
      </c>
      <c r="E904" s="24">
        <v>53</v>
      </c>
    </row>
    <row r="905" spans="1:5" x14ac:dyDescent="0.3">
      <c r="A905" s="21" t="s">
        <v>39</v>
      </c>
      <c r="B905" s="22" t="s">
        <v>40</v>
      </c>
      <c r="C905" s="21" t="s">
        <v>88</v>
      </c>
      <c r="D905" s="21" t="s">
        <v>174</v>
      </c>
      <c r="E905" s="24">
        <v>55</v>
      </c>
    </row>
    <row r="906" spans="1:5" x14ac:dyDescent="0.3">
      <c r="A906" s="21" t="s">
        <v>39</v>
      </c>
      <c r="B906" s="22" t="s">
        <v>40</v>
      </c>
      <c r="C906" s="21" t="s">
        <v>88</v>
      </c>
      <c r="D906" s="21" t="s">
        <v>175</v>
      </c>
      <c r="E906" s="24">
        <v>44</v>
      </c>
    </row>
    <row r="907" spans="1:5" x14ac:dyDescent="0.3">
      <c r="A907" s="21" t="s">
        <v>39</v>
      </c>
      <c r="B907" s="22" t="s">
        <v>40</v>
      </c>
      <c r="C907" s="21" t="s">
        <v>88</v>
      </c>
      <c r="D907" s="21" t="s">
        <v>176</v>
      </c>
      <c r="E907" s="24">
        <v>54</v>
      </c>
    </row>
    <row r="908" spans="1:5" x14ac:dyDescent="0.3">
      <c r="A908" s="21" t="s">
        <v>39</v>
      </c>
      <c r="B908" s="22" t="s">
        <v>40</v>
      </c>
      <c r="C908" s="21" t="s">
        <v>88</v>
      </c>
      <c r="D908" s="21" t="s">
        <v>177</v>
      </c>
      <c r="E908" s="24">
        <v>6</v>
      </c>
    </row>
    <row r="909" spans="1:5" x14ac:dyDescent="0.3">
      <c r="A909" s="21" t="s">
        <v>39</v>
      </c>
      <c r="B909" s="22" t="s">
        <v>40</v>
      </c>
      <c r="C909" s="21" t="s">
        <v>95</v>
      </c>
      <c r="D909" s="21" t="s">
        <v>178</v>
      </c>
      <c r="E909" s="24">
        <v>42</v>
      </c>
    </row>
    <row r="910" spans="1:5" x14ac:dyDescent="0.3">
      <c r="A910" s="21" t="s">
        <v>39</v>
      </c>
      <c r="B910" s="22" t="s">
        <v>40</v>
      </c>
      <c r="C910" s="21" t="s">
        <v>95</v>
      </c>
      <c r="D910" s="21" t="s">
        <v>179</v>
      </c>
      <c r="E910" s="24">
        <v>37</v>
      </c>
    </row>
    <row r="911" spans="1:5" x14ac:dyDescent="0.3">
      <c r="A911" s="21" t="s">
        <v>39</v>
      </c>
      <c r="B911" s="22" t="s">
        <v>40</v>
      </c>
      <c r="C911" s="21" t="s">
        <v>95</v>
      </c>
      <c r="D911" s="21" t="s">
        <v>180</v>
      </c>
      <c r="E911" s="24">
        <v>37</v>
      </c>
    </row>
    <row r="912" spans="1:5" x14ac:dyDescent="0.3">
      <c r="A912" s="21" t="s">
        <v>39</v>
      </c>
      <c r="B912" s="22" t="s">
        <v>40</v>
      </c>
      <c r="C912" s="21" t="s">
        <v>95</v>
      </c>
      <c r="D912" s="21" t="s">
        <v>181</v>
      </c>
      <c r="E912" s="24">
        <v>37</v>
      </c>
    </row>
    <row r="913" spans="1:5" x14ac:dyDescent="0.3">
      <c r="A913" s="21" t="s">
        <v>39</v>
      </c>
      <c r="B913" s="22" t="s">
        <v>40</v>
      </c>
      <c r="C913" s="21" t="s">
        <v>95</v>
      </c>
      <c r="D913" s="21" t="s">
        <v>182</v>
      </c>
      <c r="E913" s="24">
        <v>42</v>
      </c>
    </row>
    <row r="914" spans="1:5" x14ac:dyDescent="0.3">
      <c r="A914" s="21" t="s">
        <v>39</v>
      </c>
      <c r="B914" s="22" t="s">
        <v>40</v>
      </c>
      <c r="C914" s="21" t="s">
        <v>95</v>
      </c>
      <c r="D914" s="21" t="s">
        <v>183</v>
      </c>
      <c r="E914" s="24">
        <v>0</v>
      </c>
    </row>
  </sheetData>
  <autoFilter ref="A1:E914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Apoio!$V$2:$V$5</xm:f>
          </x14:formula1>
          <xm:sqref>C2:C399 C426:C583 C587:C606 C610:C629 C403:C422</xm:sqref>
        </x14:dataValidation>
        <x14:dataValidation type="list" allowBlank="1" showInputMessage="1" showErrorMessage="1" xr:uid="{00000000-0002-0000-0000-000001000000}">
          <x14:formula1>
            <xm:f>Apoio!#REF!</xm:f>
          </x14:formula1>
          <xm:sqref>D2:D632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AB93-489F-4E24-A538-1F967C80D544}">
  <sheetPr filterMode="1"/>
  <dimension ref="A1:M948"/>
  <sheetViews>
    <sheetView showGridLines="0" zoomScaleNormal="100" workbookViewId="0">
      <pane ySplit="1" topLeftCell="A866" activePane="bottomLeft" state="frozen"/>
      <selection pane="bottomLeft" activeCell="G917" sqref="G917"/>
    </sheetView>
  </sheetViews>
  <sheetFormatPr defaultColWidth="8.44140625" defaultRowHeight="14.4" x14ac:dyDescent="0.3"/>
  <cols>
    <col min="1" max="1" width="19" style="10" customWidth="1"/>
    <col min="2" max="2" width="20.5546875" style="10" customWidth="1"/>
    <col min="3" max="3" width="14.44140625" style="43" customWidth="1"/>
    <col min="4" max="4" width="16.44140625" style="30" customWidth="1"/>
    <col min="5" max="5" width="20.44140625" style="30" customWidth="1"/>
    <col min="6" max="9" width="14.44140625" style="10" customWidth="1"/>
    <col min="10" max="10" width="29.44140625" style="1" customWidth="1"/>
    <col min="11" max="13" width="11.44140625" style="10" customWidth="1"/>
    <col min="14" max="16384" width="8.44140625" style="10"/>
  </cols>
  <sheetData>
    <row r="1" spans="1:12" s="1" customFormat="1" ht="57" customHeight="1" x14ac:dyDescent="0.3">
      <c r="A1" s="3" t="s">
        <v>155</v>
      </c>
      <c r="B1" s="3" t="s">
        <v>156</v>
      </c>
      <c r="C1" s="29" t="s">
        <v>206</v>
      </c>
      <c r="D1" s="29" t="s">
        <v>207</v>
      </c>
      <c r="E1" s="29" t="s">
        <v>208</v>
      </c>
      <c r="F1" s="3" t="s">
        <v>157</v>
      </c>
      <c r="G1" s="3" t="s">
        <v>158</v>
      </c>
      <c r="H1" s="3" t="s">
        <v>209</v>
      </c>
      <c r="I1" s="37" t="s">
        <v>159</v>
      </c>
    </row>
    <row r="2" spans="1:12" hidden="1" x14ac:dyDescent="0.3">
      <c r="A2" s="4" t="s">
        <v>189</v>
      </c>
      <c r="B2" s="4" t="s">
        <v>11</v>
      </c>
      <c r="C2" s="58">
        <v>5</v>
      </c>
      <c r="D2" s="51">
        <v>7.5</v>
      </c>
      <c r="E2" s="51">
        <v>7.5</v>
      </c>
      <c r="F2" s="4" t="s">
        <v>73</v>
      </c>
      <c r="G2" s="4" t="s">
        <v>72</v>
      </c>
      <c r="H2" s="48">
        <f>IF(G2&gt;0,VLOOKUP(G2,Apoio!$O$2:$P$24,2,0),"")</f>
        <v>8</v>
      </c>
      <c r="I2" s="44">
        <f t="shared" ref="I2:I65" si="0">IF(D2&gt;0,(((H2*E2)*C2)/D2),"")</f>
        <v>40</v>
      </c>
      <c r="J2" s="18"/>
      <c r="L2" s="42"/>
    </row>
    <row r="3" spans="1:12" hidden="1" x14ac:dyDescent="0.3">
      <c r="A3" s="4" t="s">
        <v>189</v>
      </c>
      <c r="B3" s="4" t="s">
        <v>11</v>
      </c>
      <c r="C3" s="58">
        <v>5</v>
      </c>
      <c r="D3" s="51">
        <v>7.5</v>
      </c>
      <c r="E3" s="51">
        <v>7.5</v>
      </c>
      <c r="F3" s="4" t="s">
        <v>73</v>
      </c>
      <c r="G3" s="4" t="s">
        <v>79</v>
      </c>
      <c r="H3" s="48">
        <f>IF(G3&gt;0,VLOOKUP(G3,Apoio!$O$2:$P$24,2,0),"")</f>
        <v>6</v>
      </c>
      <c r="I3" s="44">
        <f t="shared" si="0"/>
        <v>30</v>
      </c>
      <c r="J3" s="18"/>
    </row>
    <row r="4" spans="1:12" hidden="1" x14ac:dyDescent="0.3">
      <c r="A4" s="4" t="s">
        <v>189</v>
      </c>
      <c r="B4" s="4" t="s">
        <v>11</v>
      </c>
      <c r="C4" s="58">
        <v>5</v>
      </c>
      <c r="D4" s="51">
        <v>7.5</v>
      </c>
      <c r="E4" s="51">
        <v>7.5</v>
      </c>
      <c r="F4" s="4" t="s">
        <v>73</v>
      </c>
      <c r="G4" s="4" t="s">
        <v>86</v>
      </c>
      <c r="H4" s="48">
        <f>IF(G4&gt;0,VLOOKUP(G4,Apoio!$O$2:$P$24,2,0),"")</f>
        <v>8</v>
      </c>
      <c r="I4" s="44">
        <f t="shared" si="0"/>
        <v>40</v>
      </c>
      <c r="J4" s="18"/>
    </row>
    <row r="5" spans="1:12" hidden="1" x14ac:dyDescent="0.3">
      <c r="A5" s="4" t="s">
        <v>189</v>
      </c>
      <c r="B5" s="4" t="s">
        <v>11</v>
      </c>
      <c r="C5" s="58">
        <v>5</v>
      </c>
      <c r="D5" s="51">
        <v>7.5</v>
      </c>
      <c r="E5" s="51">
        <v>7.5</v>
      </c>
      <c r="F5" s="4" t="s">
        <v>73</v>
      </c>
      <c r="G5" s="4" t="s">
        <v>93</v>
      </c>
      <c r="H5" s="48">
        <f>IF(G5&gt;0,VLOOKUP(G5,Apoio!$O$2:$P$24,2,0),"")</f>
        <v>8</v>
      </c>
      <c r="I5" s="44">
        <f t="shared" si="0"/>
        <v>40</v>
      </c>
      <c r="J5" s="18"/>
    </row>
    <row r="6" spans="1:12" hidden="1" x14ac:dyDescent="0.3">
      <c r="A6" s="4" t="s">
        <v>189</v>
      </c>
      <c r="B6" s="4" t="s">
        <v>11</v>
      </c>
      <c r="C6" s="58">
        <v>5</v>
      </c>
      <c r="D6" s="51">
        <v>7.5</v>
      </c>
      <c r="E6" s="51">
        <v>7.5</v>
      </c>
      <c r="F6" s="4" t="s">
        <v>73</v>
      </c>
      <c r="G6" s="4" t="s">
        <v>98</v>
      </c>
      <c r="H6" s="48">
        <f>IF(G6&gt;0,VLOOKUP(G6,Apoio!$O$2:$P$24,2,0),"")</f>
        <v>7</v>
      </c>
      <c r="I6" s="44">
        <f t="shared" si="0"/>
        <v>35</v>
      </c>
      <c r="J6" s="18"/>
    </row>
    <row r="7" spans="1:12" hidden="1" x14ac:dyDescent="0.3">
      <c r="A7" s="4" t="s">
        <v>189</v>
      </c>
      <c r="B7" s="4" t="s">
        <v>11</v>
      </c>
      <c r="C7" s="58">
        <v>5</v>
      </c>
      <c r="D7" s="51">
        <v>7.5</v>
      </c>
      <c r="E7" s="51">
        <v>7.5</v>
      </c>
      <c r="F7" s="4" t="s">
        <v>73</v>
      </c>
      <c r="G7" s="4" t="s">
        <v>101</v>
      </c>
      <c r="H7" s="48">
        <f>IF(G7&gt;0,VLOOKUP(G7,Apoio!$O$2:$P$24,2,0),"")</f>
        <v>3</v>
      </c>
      <c r="I7" s="44">
        <f t="shared" si="0"/>
        <v>15</v>
      </c>
      <c r="J7" s="18"/>
    </row>
    <row r="8" spans="1:12" hidden="1" x14ac:dyDescent="0.3">
      <c r="A8" s="4" t="s">
        <v>189</v>
      </c>
      <c r="B8" s="4" t="s">
        <v>11</v>
      </c>
      <c r="C8" s="58">
        <v>4</v>
      </c>
      <c r="D8" s="51">
        <v>6.4</v>
      </c>
      <c r="E8" s="51">
        <v>7.5</v>
      </c>
      <c r="F8" s="4" t="s">
        <v>80</v>
      </c>
      <c r="G8" s="4" t="s">
        <v>104</v>
      </c>
      <c r="H8" s="48">
        <f>IF(G8&gt;0,VLOOKUP(G8,Apoio!$O$2:$P$24,2,0),"")</f>
        <v>8</v>
      </c>
      <c r="I8" s="45">
        <f t="shared" si="0"/>
        <v>37.5</v>
      </c>
      <c r="J8" s="18"/>
    </row>
    <row r="9" spans="1:12" hidden="1" x14ac:dyDescent="0.3">
      <c r="A9" s="4" t="s">
        <v>189</v>
      </c>
      <c r="B9" s="4" t="s">
        <v>11</v>
      </c>
      <c r="C9" s="58">
        <v>4</v>
      </c>
      <c r="D9" s="51">
        <v>6.4</v>
      </c>
      <c r="E9" s="51">
        <v>7.5</v>
      </c>
      <c r="F9" s="4" t="s">
        <v>80</v>
      </c>
      <c r="G9" s="4" t="s">
        <v>107</v>
      </c>
      <c r="H9" s="49">
        <f>IF(G9&gt;0,VLOOKUP(G9,Apoio!$O$2:$P$24,2,0),"")</f>
        <v>7</v>
      </c>
      <c r="I9" s="46">
        <f t="shared" si="0"/>
        <v>32.8125</v>
      </c>
      <c r="J9" s="18"/>
    </row>
    <row r="10" spans="1:12" hidden="1" x14ac:dyDescent="0.3">
      <c r="A10" s="4" t="s">
        <v>189</v>
      </c>
      <c r="B10" s="4" t="s">
        <v>11</v>
      </c>
      <c r="C10" s="58">
        <v>4</v>
      </c>
      <c r="D10" s="51">
        <v>6.4</v>
      </c>
      <c r="E10" s="51">
        <v>7.5</v>
      </c>
      <c r="F10" s="4" t="s">
        <v>80</v>
      </c>
      <c r="G10" s="4" t="s">
        <v>110</v>
      </c>
      <c r="H10" s="49">
        <f>IF(G10&gt;0,VLOOKUP(G10,Apoio!$O$2:$P$24,2,0),"")</f>
        <v>8</v>
      </c>
      <c r="I10" s="46">
        <f t="shared" si="0"/>
        <v>37.5</v>
      </c>
      <c r="J10" s="18"/>
    </row>
    <row r="11" spans="1:12" hidden="1" x14ac:dyDescent="0.3">
      <c r="A11" s="4" t="s">
        <v>189</v>
      </c>
      <c r="B11" s="4" t="s">
        <v>11</v>
      </c>
      <c r="C11" s="58">
        <v>4</v>
      </c>
      <c r="D11" s="51">
        <v>6.4</v>
      </c>
      <c r="E11" s="51">
        <v>7.5</v>
      </c>
      <c r="F11" s="4" t="s">
        <v>80</v>
      </c>
      <c r="G11" s="4" t="s">
        <v>113</v>
      </c>
      <c r="H11" s="48">
        <f>IF(G11&gt;0,VLOOKUP(G11,Apoio!$O$2:$P$24,2,0),"")</f>
        <v>7</v>
      </c>
      <c r="I11" s="47">
        <f t="shared" si="0"/>
        <v>32.8125</v>
      </c>
      <c r="J11" s="18"/>
    </row>
    <row r="12" spans="1:12" hidden="1" x14ac:dyDescent="0.3">
      <c r="A12" s="4" t="s">
        <v>189</v>
      </c>
      <c r="B12" s="4" t="s">
        <v>11</v>
      </c>
      <c r="C12" s="58">
        <v>4</v>
      </c>
      <c r="D12" s="51">
        <v>6.4</v>
      </c>
      <c r="E12" s="51">
        <v>7.5</v>
      </c>
      <c r="F12" s="4" t="s">
        <v>80</v>
      </c>
      <c r="G12" s="4" t="s">
        <v>116</v>
      </c>
      <c r="H12" s="48">
        <f>IF(G12&gt;0,VLOOKUP(G12,Apoio!$O$2:$P$24,2,0),"")</f>
        <v>4</v>
      </c>
      <c r="I12" s="44">
        <f t="shared" si="0"/>
        <v>18.75</v>
      </c>
      <c r="J12" s="18"/>
    </row>
    <row r="13" spans="1:12" hidden="1" x14ac:dyDescent="0.3">
      <c r="A13" s="4" t="s">
        <v>189</v>
      </c>
      <c r="B13" s="4" t="s">
        <v>11</v>
      </c>
      <c r="C13" s="58">
        <v>3</v>
      </c>
      <c r="D13" s="51">
        <v>5.8</v>
      </c>
      <c r="E13" s="51">
        <v>7.5</v>
      </c>
      <c r="F13" s="4" t="s">
        <v>87</v>
      </c>
      <c r="G13" s="4" t="s">
        <v>119</v>
      </c>
      <c r="H13" s="48">
        <f>IF(G13&gt;0,VLOOKUP(G13,Apoio!$O$2:$P$24,2,0),"")</f>
        <v>12</v>
      </c>
      <c r="I13" s="44">
        <f t="shared" si="0"/>
        <v>46.551724137931039</v>
      </c>
      <c r="J13" s="18"/>
    </row>
    <row r="14" spans="1:12" hidden="1" x14ac:dyDescent="0.3">
      <c r="A14" s="4" t="s">
        <v>189</v>
      </c>
      <c r="B14" s="4" t="s">
        <v>11</v>
      </c>
      <c r="C14" s="58">
        <v>3</v>
      </c>
      <c r="D14" s="51">
        <v>5.8</v>
      </c>
      <c r="E14" s="51">
        <v>7.5</v>
      </c>
      <c r="F14" s="4" t="s">
        <v>87</v>
      </c>
      <c r="G14" s="4" t="s">
        <v>122</v>
      </c>
      <c r="H14" s="48">
        <f>IF(G14&gt;0,VLOOKUP(G14,Apoio!$O$2:$P$24,2,0),"")</f>
        <v>8</v>
      </c>
      <c r="I14" s="44">
        <f t="shared" si="0"/>
        <v>31.03448275862069</v>
      </c>
      <c r="J14" s="18"/>
    </row>
    <row r="15" spans="1:12" hidden="1" x14ac:dyDescent="0.3">
      <c r="A15" s="4" t="s">
        <v>189</v>
      </c>
      <c r="B15" s="4" t="s">
        <v>11</v>
      </c>
      <c r="C15" s="58">
        <v>3.5</v>
      </c>
      <c r="D15" s="51">
        <v>5.8</v>
      </c>
      <c r="E15" s="51">
        <v>7.5</v>
      </c>
      <c r="F15" s="4" t="s">
        <v>87</v>
      </c>
      <c r="G15" s="4" t="s">
        <v>125</v>
      </c>
      <c r="H15" s="48">
        <f>IF(G15&gt;0,VLOOKUP(G15,Apoio!$O$2:$P$24,2,0),"")</f>
        <v>8</v>
      </c>
      <c r="I15" s="44">
        <f t="shared" si="0"/>
        <v>36.206896551724142</v>
      </c>
      <c r="J15" s="18"/>
    </row>
    <row r="16" spans="1:12" hidden="1" x14ac:dyDescent="0.3">
      <c r="A16" s="4" t="s">
        <v>189</v>
      </c>
      <c r="B16" s="4" t="s">
        <v>11</v>
      </c>
      <c r="C16" s="58">
        <v>3</v>
      </c>
      <c r="D16" s="51">
        <v>5.8</v>
      </c>
      <c r="E16" s="51">
        <v>7.5</v>
      </c>
      <c r="F16" s="4" t="s">
        <v>87</v>
      </c>
      <c r="G16" s="4" t="s">
        <v>128</v>
      </c>
      <c r="H16" s="48">
        <f>IF(G16&gt;0,VLOOKUP(G16,Apoio!$O$2:$P$24,2,0),"")</f>
        <v>8</v>
      </c>
      <c r="I16" s="44">
        <f t="shared" si="0"/>
        <v>31.03448275862069</v>
      </c>
      <c r="J16" s="18"/>
    </row>
    <row r="17" spans="1:10" hidden="1" x14ac:dyDescent="0.3">
      <c r="A17" s="4" t="s">
        <v>189</v>
      </c>
      <c r="B17" s="4" t="s">
        <v>11</v>
      </c>
      <c r="C17" s="58">
        <v>3.5</v>
      </c>
      <c r="D17" s="51">
        <v>5.8</v>
      </c>
      <c r="E17" s="51">
        <v>7.5</v>
      </c>
      <c r="F17" s="4" t="s">
        <v>87</v>
      </c>
      <c r="G17" s="4" t="s">
        <v>131</v>
      </c>
      <c r="H17" s="48">
        <f>IF(G17&gt;0,VLOOKUP(G17,Apoio!$O$2:$P$24,2,0),"")</f>
        <v>8</v>
      </c>
      <c r="I17" s="44">
        <f t="shared" si="0"/>
        <v>36.206896551724142</v>
      </c>
      <c r="J17" s="18"/>
    </row>
    <row r="18" spans="1:10" hidden="1" x14ac:dyDescent="0.3">
      <c r="A18" s="4" t="s">
        <v>189</v>
      </c>
      <c r="B18" s="4" t="s">
        <v>11</v>
      </c>
      <c r="C18" s="58">
        <v>4</v>
      </c>
      <c r="D18" s="51">
        <v>5.8</v>
      </c>
      <c r="E18" s="51">
        <v>7.5</v>
      </c>
      <c r="F18" s="4" t="s">
        <v>87</v>
      </c>
      <c r="G18" s="4" t="s">
        <v>134</v>
      </c>
      <c r="H18" s="48">
        <f>IF(G18&gt;0,VLOOKUP(G18,Apoio!$O$2:$P$24,2,0),"")</f>
        <v>3</v>
      </c>
      <c r="I18" s="44">
        <f t="shared" si="0"/>
        <v>15.517241379310345</v>
      </c>
      <c r="J18" s="18"/>
    </row>
    <row r="19" spans="1:10" hidden="1" x14ac:dyDescent="0.3">
      <c r="A19" s="4" t="s">
        <v>189</v>
      </c>
      <c r="B19" s="4" t="s">
        <v>11</v>
      </c>
      <c r="C19" s="58">
        <v>3.5</v>
      </c>
      <c r="D19" s="51">
        <v>5.3</v>
      </c>
      <c r="E19" s="51">
        <v>7.5</v>
      </c>
      <c r="F19" s="4" t="s">
        <v>94</v>
      </c>
      <c r="G19" s="4" t="s">
        <v>137</v>
      </c>
      <c r="H19" s="48">
        <f>IF(G19&gt;0,VLOOKUP(G19,Apoio!$O$2:$P$24,2,0),"")</f>
        <v>13</v>
      </c>
      <c r="I19" s="44">
        <f t="shared" si="0"/>
        <v>64.386792452830193</v>
      </c>
      <c r="J19" s="18"/>
    </row>
    <row r="20" spans="1:10" hidden="1" x14ac:dyDescent="0.3">
      <c r="A20" s="4" t="s">
        <v>189</v>
      </c>
      <c r="B20" s="4" t="s">
        <v>11</v>
      </c>
      <c r="C20" s="58">
        <v>3.5</v>
      </c>
      <c r="D20" s="51">
        <v>5.3</v>
      </c>
      <c r="E20" s="51">
        <v>7.5</v>
      </c>
      <c r="F20" s="4" t="s">
        <v>94</v>
      </c>
      <c r="G20" s="4" t="s">
        <v>140</v>
      </c>
      <c r="H20" s="48">
        <f>IF(G20&gt;0,VLOOKUP(G20,Apoio!$O$2:$P$24,2,0),"")</f>
        <v>8</v>
      </c>
      <c r="I20" s="44">
        <f t="shared" si="0"/>
        <v>39.622641509433961</v>
      </c>
      <c r="J20" s="18"/>
    </row>
    <row r="21" spans="1:10" hidden="1" x14ac:dyDescent="0.3">
      <c r="A21" s="4" t="s">
        <v>189</v>
      </c>
      <c r="B21" s="4" t="s">
        <v>11</v>
      </c>
      <c r="C21" s="58">
        <v>4</v>
      </c>
      <c r="D21" s="51">
        <v>5.3</v>
      </c>
      <c r="E21" s="51">
        <v>7.5</v>
      </c>
      <c r="F21" s="4" t="s">
        <v>94</v>
      </c>
      <c r="G21" s="4" t="s">
        <v>143</v>
      </c>
      <c r="H21" s="48">
        <f>IF(G21&gt;0,VLOOKUP(G21,Apoio!$O$2:$P$24,2,0),"")</f>
        <v>8</v>
      </c>
      <c r="I21" s="44">
        <f t="shared" si="0"/>
        <v>45.283018867924532</v>
      </c>
      <c r="J21" s="18"/>
    </row>
    <row r="22" spans="1:10" hidden="1" x14ac:dyDescent="0.3">
      <c r="A22" s="4" t="s">
        <v>189</v>
      </c>
      <c r="B22" s="4" t="s">
        <v>11</v>
      </c>
      <c r="C22" s="58">
        <v>4</v>
      </c>
      <c r="D22" s="51">
        <v>5.3</v>
      </c>
      <c r="E22" s="51">
        <v>7.5</v>
      </c>
      <c r="F22" s="4" t="s">
        <v>94</v>
      </c>
      <c r="G22" s="4" t="s">
        <v>146</v>
      </c>
      <c r="H22" s="48">
        <f>IF(G22&gt;0,VLOOKUP(G22,Apoio!$O$2:$P$24,2,0),"")</f>
        <v>6</v>
      </c>
      <c r="I22" s="44">
        <f t="shared" si="0"/>
        <v>33.962264150943398</v>
      </c>
      <c r="J22" s="18"/>
    </row>
    <row r="23" spans="1:10" hidden="1" x14ac:dyDescent="0.3">
      <c r="A23" s="4" t="s">
        <v>189</v>
      </c>
      <c r="B23" s="4" t="s">
        <v>11</v>
      </c>
      <c r="C23" s="58">
        <v>4</v>
      </c>
      <c r="D23" s="51">
        <v>5.3</v>
      </c>
      <c r="E23" s="51">
        <v>7.5</v>
      </c>
      <c r="F23" s="4" t="s">
        <v>94</v>
      </c>
      <c r="G23" s="4" t="s">
        <v>149</v>
      </c>
      <c r="H23" s="48">
        <f>IF(G23&gt;0,VLOOKUP(G23,Apoio!$O$2:$P$24,2,0),"")</f>
        <v>8</v>
      </c>
      <c r="I23" s="44">
        <f t="shared" si="0"/>
        <v>45.283018867924532</v>
      </c>
      <c r="J23" s="18"/>
    </row>
    <row r="24" spans="1:10" hidden="1" x14ac:dyDescent="0.3">
      <c r="A24" s="4" t="s">
        <v>189</v>
      </c>
      <c r="B24" s="4" t="s">
        <v>11</v>
      </c>
      <c r="C24" s="58">
        <v>4</v>
      </c>
      <c r="D24" s="51">
        <v>5.3</v>
      </c>
      <c r="E24" s="51">
        <v>7.5</v>
      </c>
      <c r="F24" s="4" t="s">
        <v>94</v>
      </c>
      <c r="G24" s="4" t="s">
        <v>152</v>
      </c>
      <c r="H24" s="48">
        <f>IF(G24&gt;0,VLOOKUP(G24,Apoio!$O$2:$P$24,2,0),"")</f>
        <v>8</v>
      </c>
      <c r="I24" s="44">
        <f t="shared" si="0"/>
        <v>45.283018867924532</v>
      </c>
      <c r="J24" s="18"/>
    </row>
    <row r="25" spans="1:10" hidden="1" x14ac:dyDescent="0.3">
      <c r="A25" s="4" t="s">
        <v>189</v>
      </c>
      <c r="B25" s="4" t="s">
        <v>190</v>
      </c>
      <c r="C25" s="58">
        <v>4</v>
      </c>
      <c r="D25" s="51">
        <v>7.5</v>
      </c>
      <c r="E25" s="51">
        <v>7.5</v>
      </c>
      <c r="F25" s="4" t="s">
        <v>73</v>
      </c>
      <c r="G25" s="4" t="s">
        <v>72</v>
      </c>
      <c r="H25" s="48">
        <f>IF(G25&gt;0,VLOOKUP(G25,Apoio!$O$2:$P$24,2,0),"")</f>
        <v>8</v>
      </c>
      <c r="I25" s="44">
        <f t="shared" si="0"/>
        <v>32</v>
      </c>
      <c r="J25" s="18"/>
    </row>
    <row r="26" spans="1:10" hidden="1" x14ac:dyDescent="0.3">
      <c r="A26" s="4" t="s">
        <v>189</v>
      </c>
      <c r="B26" s="4" t="s">
        <v>190</v>
      </c>
      <c r="C26" s="58">
        <v>4</v>
      </c>
      <c r="D26" s="51">
        <v>7.5</v>
      </c>
      <c r="E26" s="51">
        <v>7.5</v>
      </c>
      <c r="F26" s="4" t="s">
        <v>73</v>
      </c>
      <c r="G26" s="4" t="s">
        <v>79</v>
      </c>
      <c r="H26" s="48">
        <f>IF(G26&gt;0,VLOOKUP(G26,Apoio!$O$2:$P$24,2,0),"")</f>
        <v>6</v>
      </c>
      <c r="I26" s="44">
        <f t="shared" si="0"/>
        <v>24</v>
      </c>
      <c r="J26" s="18"/>
    </row>
    <row r="27" spans="1:10" hidden="1" x14ac:dyDescent="0.3">
      <c r="A27" s="4" t="s">
        <v>189</v>
      </c>
      <c r="B27" s="4" t="s">
        <v>190</v>
      </c>
      <c r="C27" s="58">
        <v>4</v>
      </c>
      <c r="D27" s="51">
        <v>7.5</v>
      </c>
      <c r="E27" s="51">
        <v>7.5</v>
      </c>
      <c r="F27" s="4" t="s">
        <v>73</v>
      </c>
      <c r="G27" s="4" t="s">
        <v>86</v>
      </c>
      <c r="H27" s="48">
        <f>IF(G27&gt;0,VLOOKUP(G27,Apoio!$O$2:$P$24,2,0),"")</f>
        <v>8</v>
      </c>
      <c r="I27" s="44">
        <f t="shared" si="0"/>
        <v>32</v>
      </c>
      <c r="J27" s="18"/>
    </row>
    <row r="28" spans="1:10" hidden="1" x14ac:dyDescent="0.3">
      <c r="A28" s="4" t="s">
        <v>189</v>
      </c>
      <c r="B28" s="4" t="s">
        <v>190</v>
      </c>
      <c r="C28" s="58">
        <v>3</v>
      </c>
      <c r="D28" s="51">
        <v>7.5</v>
      </c>
      <c r="E28" s="51">
        <v>7.5</v>
      </c>
      <c r="F28" s="4" t="s">
        <v>73</v>
      </c>
      <c r="G28" s="4" t="s">
        <v>93</v>
      </c>
      <c r="H28" s="48">
        <f>IF(G28&gt;0,VLOOKUP(G28,Apoio!$O$2:$P$24,2,0),"")</f>
        <v>8</v>
      </c>
      <c r="I28" s="44">
        <f t="shared" si="0"/>
        <v>24</v>
      </c>
      <c r="J28" s="18"/>
    </row>
    <row r="29" spans="1:10" hidden="1" x14ac:dyDescent="0.3">
      <c r="A29" s="4" t="s">
        <v>189</v>
      </c>
      <c r="B29" s="4" t="s">
        <v>190</v>
      </c>
      <c r="C29" s="58">
        <v>3</v>
      </c>
      <c r="D29" s="51">
        <v>7.5</v>
      </c>
      <c r="E29" s="51">
        <v>7.5</v>
      </c>
      <c r="F29" s="4" t="s">
        <v>73</v>
      </c>
      <c r="G29" s="4" t="s">
        <v>98</v>
      </c>
      <c r="H29" s="48">
        <f>IF(G29&gt;0,VLOOKUP(G29,Apoio!$O$2:$P$24,2,0),"")</f>
        <v>7</v>
      </c>
      <c r="I29" s="44">
        <f t="shared" si="0"/>
        <v>21</v>
      </c>
      <c r="J29" s="18"/>
    </row>
    <row r="30" spans="1:10" hidden="1" x14ac:dyDescent="0.3">
      <c r="A30" s="4" t="s">
        <v>189</v>
      </c>
      <c r="B30" s="4" t="s">
        <v>190</v>
      </c>
      <c r="C30" s="58">
        <v>3</v>
      </c>
      <c r="D30" s="51">
        <v>7.5</v>
      </c>
      <c r="E30" s="51">
        <v>7.5</v>
      </c>
      <c r="F30" s="4" t="s">
        <v>73</v>
      </c>
      <c r="G30" s="4" t="s">
        <v>101</v>
      </c>
      <c r="H30" s="48">
        <f>IF(G30&gt;0,VLOOKUP(G30,Apoio!$O$2:$P$24,2,0),"")</f>
        <v>3</v>
      </c>
      <c r="I30" s="44">
        <f t="shared" si="0"/>
        <v>9</v>
      </c>
      <c r="J30" s="18"/>
    </row>
    <row r="31" spans="1:10" hidden="1" x14ac:dyDescent="0.3">
      <c r="A31" s="4" t="s">
        <v>189</v>
      </c>
      <c r="B31" s="4" t="s">
        <v>190</v>
      </c>
      <c r="C31" s="58">
        <v>2</v>
      </c>
      <c r="D31" s="51">
        <v>7.8</v>
      </c>
      <c r="E31" s="51">
        <v>7.5</v>
      </c>
      <c r="F31" s="4" t="s">
        <v>80</v>
      </c>
      <c r="G31" s="4" t="s">
        <v>104</v>
      </c>
      <c r="H31" s="48">
        <f>IF(G31&gt;0,VLOOKUP(G31,Apoio!$O$2:$P$24,2,0),"")</f>
        <v>8</v>
      </c>
      <c r="I31" s="44">
        <f t="shared" si="0"/>
        <v>15.384615384615385</v>
      </c>
      <c r="J31" s="18"/>
    </row>
    <row r="32" spans="1:10" hidden="1" x14ac:dyDescent="0.3">
      <c r="A32" s="4" t="s">
        <v>189</v>
      </c>
      <c r="B32" s="4" t="s">
        <v>190</v>
      </c>
      <c r="C32" s="58">
        <v>3</v>
      </c>
      <c r="D32" s="51">
        <v>7.8</v>
      </c>
      <c r="E32" s="51">
        <v>7.5</v>
      </c>
      <c r="F32" s="4" t="s">
        <v>80</v>
      </c>
      <c r="G32" s="4" t="s">
        <v>107</v>
      </c>
      <c r="H32" s="48">
        <f>IF(G32&gt;0,VLOOKUP(G32,Apoio!$O$2:$P$24,2,0),"")</f>
        <v>7</v>
      </c>
      <c r="I32" s="44">
        <f t="shared" si="0"/>
        <v>20.192307692307693</v>
      </c>
      <c r="J32" s="18"/>
    </row>
    <row r="33" spans="1:10" hidden="1" x14ac:dyDescent="0.3">
      <c r="A33" s="4" t="s">
        <v>189</v>
      </c>
      <c r="B33" s="4" t="s">
        <v>190</v>
      </c>
      <c r="C33" s="58">
        <v>4</v>
      </c>
      <c r="D33" s="51">
        <v>7.8</v>
      </c>
      <c r="E33" s="51">
        <v>7.5</v>
      </c>
      <c r="F33" s="4" t="s">
        <v>80</v>
      </c>
      <c r="G33" s="4" t="s">
        <v>110</v>
      </c>
      <c r="H33" s="48">
        <f>IF(G33&gt;0,VLOOKUP(G33,Apoio!$O$2:$P$24,2,0),"")</f>
        <v>8</v>
      </c>
      <c r="I33" s="44">
        <f t="shared" si="0"/>
        <v>30.76923076923077</v>
      </c>
      <c r="J33" s="18"/>
    </row>
    <row r="34" spans="1:10" hidden="1" x14ac:dyDescent="0.3">
      <c r="A34" s="4" t="s">
        <v>189</v>
      </c>
      <c r="B34" s="4" t="s">
        <v>190</v>
      </c>
      <c r="C34" s="58">
        <v>4</v>
      </c>
      <c r="D34" s="51">
        <v>7.8</v>
      </c>
      <c r="E34" s="51">
        <v>7.5</v>
      </c>
      <c r="F34" s="4" t="s">
        <v>80</v>
      </c>
      <c r="G34" s="4" t="s">
        <v>113</v>
      </c>
      <c r="H34" s="48">
        <f>IF(G34&gt;0,VLOOKUP(G34,Apoio!$O$2:$P$24,2,0),"")</f>
        <v>7</v>
      </c>
      <c r="I34" s="44">
        <f t="shared" si="0"/>
        <v>26.923076923076923</v>
      </c>
      <c r="J34" s="18"/>
    </row>
    <row r="35" spans="1:10" hidden="1" x14ac:dyDescent="0.3">
      <c r="A35" s="4" t="s">
        <v>189</v>
      </c>
      <c r="B35" s="4" t="s">
        <v>190</v>
      </c>
      <c r="C35" s="58">
        <v>4</v>
      </c>
      <c r="D35" s="51">
        <v>7.8</v>
      </c>
      <c r="E35" s="51">
        <v>7.5</v>
      </c>
      <c r="F35" s="4" t="s">
        <v>80</v>
      </c>
      <c r="G35" s="4" t="s">
        <v>116</v>
      </c>
      <c r="H35" s="48">
        <f>IF(G35&gt;0,VLOOKUP(G35,Apoio!$O$2:$P$24,2,0),"")</f>
        <v>4</v>
      </c>
      <c r="I35" s="44">
        <f t="shared" si="0"/>
        <v>15.384615384615385</v>
      </c>
      <c r="J35" s="18"/>
    </row>
    <row r="36" spans="1:10" hidden="1" x14ac:dyDescent="0.3">
      <c r="A36" s="4" t="s">
        <v>189</v>
      </c>
      <c r="B36" s="4" t="s">
        <v>190</v>
      </c>
      <c r="C36" s="58">
        <v>4</v>
      </c>
      <c r="D36" s="51">
        <v>7.3</v>
      </c>
      <c r="E36" s="51">
        <v>7.5</v>
      </c>
      <c r="F36" s="4" t="s">
        <v>87</v>
      </c>
      <c r="G36" s="4" t="s">
        <v>119</v>
      </c>
      <c r="H36" s="48">
        <f>IF(G36&gt;0,VLOOKUP(G36,Apoio!$O$2:$P$24,2,0),"")</f>
        <v>12</v>
      </c>
      <c r="I36" s="44">
        <f t="shared" si="0"/>
        <v>49.315068493150683</v>
      </c>
      <c r="J36" s="18"/>
    </row>
    <row r="37" spans="1:10" hidden="1" x14ac:dyDescent="0.3">
      <c r="A37" s="4" t="s">
        <v>189</v>
      </c>
      <c r="B37" s="4" t="s">
        <v>190</v>
      </c>
      <c r="C37" s="58">
        <v>4</v>
      </c>
      <c r="D37" s="51">
        <v>7.3</v>
      </c>
      <c r="E37" s="51">
        <v>7.5</v>
      </c>
      <c r="F37" s="4" t="s">
        <v>87</v>
      </c>
      <c r="G37" s="4" t="s">
        <v>122</v>
      </c>
      <c r="H37" s="48">
        <f>IF(G37&gt;0,VLOOKUP(G37,Apoio!$O$2:$P$24,2,0),"")</f>
        <v>8</v>
      </c>
      <c r="I37" s="44">
        <f t="shared" si="0"/>
        <v>32.876712328767127</v>
      </c>
      <c r="J37" s="18"/>
    </row>
    <row r="38" spans="1:10" hidden="1" x14ac:dyDescent="0.3">
      <c r="A38" s="4" t="s">
        <v>189</v>
      </c>
      <c r="B38" s="4" t="s">
        <v>190</v>
      </c>
      <c r="C38" s="58">
        <v>4</v>
      </c>
      <c r="D38" s="51">
        <v>7.3</v>
      </c>
      <c r="E38" s="51">
        <v>7.5</v>
      </c>
      <c r="F38" s="4" t="s">
        <v>87</v>
      </c>
      <c r="G38" s="4" t="s">
        <v>125</v>
      </c>
      <c r="H38" s="48">
        <f>IF(G38&gt;0,VLOOKUP(G38,Apoio!$O$2:$P$24,2,0),"")</f>
        <v>8</v>
      </c>
      <c r="I38" s="44">
        <f t="shared" si="0"/>
        <v>32.876712328767127</v>
      </c>
      <c r="J38" s="18"/>
    </row>
    <row r="39" spans="1:10" hidden="1" x14ac:dyDescent="0.3">
      <c r="A39" s="4" t="s">
        <v>189</v>
      </c>
      <c r="B39" s="4" t="s">
        <v>190</v>
      </c>
      <c r="C39" s="58">
        <v>3</v>
      </c>
      <c r="D39" s="51">
        <v>7.3</v>
      </c>
      <c r="E39" s="51">
        <v>7.5</v>
      </c>
      <c r="F39" s="4" t="s">
        <v>87</v>
      </c>
      <c r="G39" s="4" t="s">
        <v>128</v>
      </c>
      <c r="H39" s="48">
        <f>IF(G39&gt;0,VLOOKUP(G39,Apoio!$O$2:$P$24,2,0),"")</f>
        <v>8</v>
      </c>
      <c r="I39" s="44">
        <f t="shared" si="0"/>
        <v>24.657534246575342</v>
      </c>
      <c r="J39" s="18"/>
    </row>
    <row r="40" spans="1:10" hidden="1" x14ac:dyDescent="0.3">
      <c r="A40" s="4" t="s">
        <v>189</v>
      </c>
      <c r="B40" s="4" t="s">
        <v>190</v>
      </c>
      <c r="C40" s="58">
        <v>3.5</v>
      </c>
      <c r="D40" s="51">
        <v>7.3</v>
      </c>
      <c r="E40" s="51">
        <v>7.5</v>
      </c>
      <c r="F40" s="4" t="s">
        <v>87</v>
      </c>
      <c r="G40" s="4" t="s">
        <v>131</v>
      </c>
      <c r="H40" s="48">
        <f>IF(G40&gt;0,VLOOKUP(G40,Apoio!$O$2:$P$24,2,0),"")</f>
        <v>8</v>
      </c>
      <c r="I40" s="44">
        <f t="shared" si="0"/>
        <v>28.767123287671232</v>
      </c>
      <c r="J40" s="18"/>
    </row>
    <row r="41" spans="1:10" hidden="1" x14ac:dyDescent="0.3">
      <c r="A41" s="4" t="s">
        <v>189</v>
      </c>
      <c r="B41" s="4" t="s">
        <v>190</v>
      </c>
      <c r="C41" s="58">
        <v>3</v>
      </c>
      <c r="D41" s="51">
        <v>7.3</v>
      </c>
      <c r="E41" s="51">
        <v>7.5</v>
      </c>
      <c r="F41" s="4" t="s">
        <v>87</v>
      </c>
      <c r="G41" s="4" t="s">
        <v>134</v>
      </c>
      <c r="H41" s="48">
        <f>IF(G41&gt;0,VLOOKUP(G41,Apoio!$O$2:$P$24,2,0),"")</f>
        <v>3</v>
      </c>
      <c r="I41" s="44">
        <f t="shared" si="0"/>
        <v>9.2465753424657535</v>
      </c>
      <c r="J41" s="18"/>
    </row>
    <row r="42" spans="1:10" hidden="1" x14ac:dyDescent="0.3">
      <c r="A42" s="4" t="s">
        <v>189</v>
      </c>
      <c r="B42" s="4" t="s">
        <v>190</v>
      </c>
      <c r="C42" s="58">
        <v>3</v>
      </c>
      <c r="D42" s="51">
        <v>6</v>
      </c>
      <c r="E42" s="51">
        <v>7.5</v>
      </c>
      <c r="F42" s="4" t="s">
        <v>94</v>
      </c>
      <c r="G42" s="4" t="s">
        <v>137</v>
      </c>
      <c r="H42" s="48">
        <f>IF(G42&gt;0,VLOOKUP(G42,Apoio!$O$2:$P$24,2,0),"")</f>
        <v>13</v>
      </c>
      <c r="I42" s="44">
        <f t="shared" si="0"/>
        <v>48.75</v>
      </c>
      <c r="J42" s="18"/>
    </row>
    <row r="43" spans="1:10" hidden="1" x14ac:dyDescent="0.3">
      <c r="A43" s="4" t="s">
        <v>189</v>
      </c>
      <c r="B43" s="4" t="s">
        <v>190</v>
      </c>
      <c r="C43" s="58">
        <v>3</v>
      </c>
      <c r="D43" s="51">
        <v>6</v>
      </c>
      <c r="E43" s="51">
        <v>7.5</v>
      </c>
      <c r="F43" s="4" t="s">
        <v>94</v>
      </c>
      <c r="G43" s="4" t="s">
        <v>140</v>
      </c>
      <c r="H43" s="48">
        <f>IF(G43&gt;0,VLOOKUP(G43,Apoio!$O$2:$P$24,2,0),"")</f>
        <v>8</v>
      </c>
      <c r="I43" s="44">
        <f t="shared" si="0"/>
        <v>30</v>
      </c>
      <c r="J43" s="18"/>
    </row>
    <row r="44" spans="1:10" hidden="1" x14ac:dyDescent="0.3">
      <c r="A44" s="4" t="s">
        <v>189</v>
      </c>
      <c r="B44" s="4" t="s">
        <v>190</v>
      </c>
      <c r="C44" s="58">
        <v>4</v>
      </c>
      <c r="D44" s="51">
        <v>6</v>
      </c>
      <c r="E44" s="51">
        <v>7.5</v>
      </c>
      <c r="F44" s="4" t="s">
        <v>94</v>
      </c>
      <c r="G44" s="4" t="s">
        <v>143</v>
      </c>
      <c r="H44" s="48">
        <f>IF(G44&gt;0,VLOOKUP(G44,Apoio!$O$2:$P$24,2,0),"")</f>
        <v>8</v>
      </c>
      <c r="I44" s="44">
        <f t="shared" si="0"/>
        <v>40</v>
      </c>
      <c r="J44" s="18"/>
    </row>
    <row r="45" spans="1:10" hidden="1" x14ac:dyDescent="0.3">
      <c r="A45" s="4" t="s">
        <v>189</v>
      </c>
      <c r="B45" s="4" t="s">
        <v>190</v>
      </c>
      <c r="C45" s="58">
        <v>4</v>
      </c>
      <c r="D45" s="51">
        <v>6</v>
      </c>
      <c r="E45" s="51">
        <v>7.5</v>
      </c>
      <c r="F45" s="4" t="s">
        <v>94</v>
      </c>
      <c r="G45" s="4" t="s">
        <v>146</v>
      </c>
      <c r="H45" s="48">
        <f>IF(G45&gt;0,VLOOKUP(G45,Apoio!$O$2:$P$24,2,0),"")</f>
        <v>6</v>
      </c>
      <c r="I45" s="44">
        <f t="shared" si="0"/>
        <v>30</v>
      </c>
      <c r="J45" s="18"/>
    </row>
    <row r="46" spans="1:10" hidden="1" x14ac:dyDescent="0.3">
      <c r="A46" s="4" t="s">
        <v>189</v>
      </c>
      <c r="B46" s="4" t="s">
        <v>190</v>
      </c>
      <c r="C46" s="58">
        <v>4</v>
      </c>
      <c r="D46" s="51">
        <v>6</v>
      </c>
      <c r="E46" s="51">
        <v>7.5</v>
      </c>
      <c r="F46" s="4" t="s">
        <v>94</v>
      </c>
      <c r="G46" s="4" t="s">
        <v>149</v>
      </c>
      <c r="H46" s="48">
        <f>IF(G46&gt;0,VLOOKUP(G46,Apoio!$O$2:$P$24,2,0),"")</f>
        <v>8</v>
      </c>
      <c r="I46" s="44">
        <f t="shared" si="0"/>
        <v>40</v>
      </c>
      <c r="J46" s="18"/>
    </row>
    <row r="47" spans="1:10" hidden="1" x14ac:dyDescent="0.3">
      <c r="A47" s="4" t="s">
        <v>189</v>
      </c>
      <c r="B47" s="4" t="s">
        <v>190</v>
      </c>
      <c r="C47" s="58">
        <v>4</v>
      </c>
      <c r="D47" s="51">
        <v>6</v>
      </c>
      <c r="E47" s="51">
        <v>7.5</v>
      </c>
      <c r="F47" s="4" t="s">
        <v>94</v>
      </c>
      <c r="G47" s="4" t="s">
        <v>152</v>
      </c>
      <c r="H47" s="48">
        <f>IF(G47&gt;0,VLOOKUP(G47,Apoio!$O$2:$P$24,2,0),"")</f>
        <v>8</v>
      </c>
      <c r="I47" s="44">
        <f t="shared" si="0"/>
        <v>40</v>
      </c>
      <c r="J47" s="18"/>
    </row>
    <row r="48" spans="1:10" hidden="1" x14ac:dyDescent="0.3">
      <c r="A48" s="4" t="s">
        <v>189</v>
      </c>
      <c r="B48" s="4" t="s">
        <v>12</v>
      </c>
      <c r="C48" s="58">
        <v>5</v>
      </c>
      <c r="D48" s="51">
        <v>7.5</v>
      </c>
      <c r="E48" s="51">
        <v>7.5</v>
      </c>
      <c r="F48" s="4" t="s">
        <v>73</v>
      </c>
      <c r="G48" s="4" t="s">
        <v>72</v>
      </c>
      <c r="H48" s="48">
        <f>IF(G48&gt;0,VLOOKUP(G48,Apoio!$O$2:$P$24,2,0),"")</f>
        <v>8</v>
      </c>
      <c r="I48" s="44">
        <f t="shared" si="0"/>
        <v>40</v>
      </c>
      <c r="J48" s="18"/>
    </row>
    <row r="49" spans="1:10" hidden="1" x14ac:dyDescent="0.3">
      <c r="A49" s="4" t="s">
        <v>189</v>
      </c>
      <c r="B49" s="4" t="s">
        <v>12</v>
      </c>
      <c r="C49" s="58">
        <v>5</v>
      </c>
      <c r="D49" s="51">
        <v>7.5</v>
      </c>
      <c r="E49" s="51">
        <v>7.5</v>
      </c>
      <c r="F49" s="4" t="s">
        <v>73</v>
      </c>
      <c r="G49" s="4" t="s">
        <v>79</v>
      </c>
      <c r="H49" s="48">
        <f>IF(G49&gt;0,VLOOKUP(G49,Apoio!$O$2:$P$24,2,0),"")</f>
        <v>6</v>
      </c>
      <c r="I49" s="44">
        <f t="shared" si="0"/>
        <v>30</v>
      </c>
      <c r="J49" s="18"/>
    </row>
    <row r="50" spans="1:10" hidden="1" x14ac:dyDescent="0.3">
      <c r="A50" s="4" t="s">
        <v>189</v>
      </c>
      <c r="B50" s="4" t="s">
        <v>12</v>
      </c>
      <c r="C50" s="58">
        <v>5</v>
      </c>
      <c r="D50" s="51">
        <v>7.5</v>
      </c>
      <c r="E50" s="51">
        <v>7.5</v>
      </c>
      <c r="F50" s="4" t="s">
        <v>73</v>
      </c>
      <c r="G50" s="4" t="s">
        <v>86</v>
      </c>
      <c r="H50" s="48">
        <f>IF(G50&gt;0,VLOOKUP(G50,Apoio!$O$2:$P$24,2,0),"")</f>
        <v>8</v>
      </c>
      <c r="I50" s="44">
        <f t="shared" si="0"/>
        <v>40</v>
      </c>
      <c r="J50" s="18"/>
    </row>
    <row r="51" spans="1:10" hidden="1" x14ac:dyDescent="0.3">
      <c r="A51" s="4" t="s">
        <v>189</v>
      </c>
      <c r="B51" s="4" t="s">
        <v>12</v>
      </c>
      <c r="C51" s="58">
        <v>5</v>
      </c>
      <c r="D51" s="51">
        <v>7.5</v>
      </c>
      <c r="E51" s="51">
        <v>7.5</v>
      </c>
      <c r="F51" s="4" t="s">
        <v>73</v>
      </c>
      <c r="G51" s="4" t="s">
        <v>93</v>
      </c>
      <c r="H51" s="48">
        <f>IF(G51&gt;0,VLOOKUP(G51,Apoio!$O$2:$P$24,2,0),"")</f>
        <v>8</v>
      </c>
      <c r="I51" s="44">
        <f t="shared" si="0"/>
        <v>40</v>
      </c>
      <c r="J51" s="18"/>
    </row>
    <row r="52" spans="1:10" hidden="1" x14ac:dyDescent="0.3">
      <c r="A52" s="4" t="s">
        <v>189</v>
      </c>
      <c r="B52" s="4" t="s">
        <v>12</v>
      </c>
      <c r="C52" s="58">
        <v>7</v>
      </c>
      <c r="D52" s="51">
        <v>7.5</v>
      </c>
      <c r="E52" s="51">
        <v>7.5</v>
      </c>
      <c r="F52" s="4" t="s">
        <v>73</v>
      </c>
      <c r="G52" s="4" t="s">
        <v>98</v>
      </c>
      <c r="H52" s="48">
        <f>IF(G52&gt;0,VLOOKUP(G52,Apoio!$O$2:$P$24,2,0),"")</f>
        <v>7</v>
      </c>
      <c r="I52" s="44">
        <f t="shared" si="0"/>
        <v>49</v>
      </c>
      <c r="J52" s="18"/>
    </row>
    <row r="53" spans="1:10" hidden="1" x14ac:dyDescent="0.3">
      <c r="A53" s="4" t="s">
        <v>189</v>
      </c>
      <c r="B53" s="4" t="s">
        <v>12</v>
      </c>
      <c r="C53" s="58">
        <v>7</v>
      </c>
      <c r="D53" s="51">
        <v>7.5</v>
      </c>
      <c r="E53" s="51">
        <v>7.5</v>
      </c>
      <c r="F53" s="4" t="s">
        <v>73</v>
      </c>
      <c r="G53" s="4" t="s">
        <v>101</v>
      </c>
      <c r="H53" s="48">
        <f>IF(G53&gt;0,VLOOKUP(G53,Apoio!$O$2:$P$24,2,0),"")</f>
        <v>3</v>
      </c>
      <c r="I53" s="44">
        <f t="shared" si="0"/>
        <v>21</v>
      </c>
      <c r="J53" s="18"/>
    </row>
    <row r="54" spans="1:10" hidden="1" x14ac:dyDescent="0.3">
      <c r="A54" s="4" t="s">
        <v>189</v>
      </c>
      <c r="B54" s="4" t="s">
        <v>12</v>
      </c>
      <c r="C54" s="58">
        <v>6</v>
      </c>
      <c r="D54" s="51">
        <v>7.5</v>
      </c>
      <c r="E54" s="51">
        <v>7.5</v>
      </c>
      <c r="F54" s="4" t="s">
        <v>80</v>
      </c>
      <c r="G54" s="4" t="s">
        <v>104</v>
      </c>
      <c r="H54" s="48">
        <f>IF(G54&gt;0,VLOOKUP(G54,Apoio!$O$2:$P$24,2,0),"")</f>
        <v>8</v>
      </c>
      <c r="I54" s="44">
        <f t="shared" si="0"/>
        <v>48</v>
      </c>
      <c r="J54" s="18"/>
    </row>
    <row r="55" spans="1:10" hidden="1" x14ac:dyDescent="0.3">
      <c r="A55" s="4" t="s">
        <v>189</v>
      </c>
      <c r="B55" s="4" t="s">
        <v>12</v>
      </c>
      <c r="C55" s="58">
        <v>6.5</v>
      </c>
      <c r="D55" s="51">
        <v>7.5</v>
      </c>
      <c r="E55" s="51">
        <v>7.5</v>
      </c>
      <c r="F55" s="4" t="s">
        <v>80</v>
      </c>
      <c r="G55" s="4" t="s">
        <v>107</v>
      </c>
      <c r="H55" s="48">
        <f>IF(G55&gt;0,VLOOKUP(G55,Apoio!$O$2:$P$24,2,0),"")</f>
        <v>7</v>
      </c>
      <c r="I55" s="44">
        <f t="shared" si="0"/>
        <v>45.5</v>
      </c>
      <c r="J55" s="18"/>
    </row>
    <row r="56" spans="1:10" hidden="1" x14ac:dyDescent="0.3">
      <c r="A56" s="4" t="s">
        <v>189</v>
      </c>
      <c r="B56" s="4" t="s">
        <v>12</v>
      </c>
      <c r="C56" s="58">
        <v>8</v>
      </c>
      <c r="D56" s="51">
        <v>7.5</v>
      </c>
      <c r="E56" s="51">
        <v>7.5</v>
      </c>
      <c r="F56" s="4" t="s">
        <v>80</v>
      </c>
      <c r="G56" s="4" t="s">
        <v>110</v>
      </c>
      <c r="H56" s="48">
        <f>IF(G56&gt;0,VLOOKUP(G56,Apoio!$O$2:$P$24,2,0),"")</f>
        <v>8</v>
      </c>
      <c r="I56" s="44">
        <f t="shared" si="0"/>
        <v>64</v>
      </c>
      <c r="J56" s="18"/>
    </row>
    <row r="57" spans="1:10" hidden="1" x14ac:dyDescent="0.3">
      <c r="A57" s="4" t="s">
        <v>189</v>
      </c>
      <c r="B57" s="4" t="s">
        <v>12</v>
      </c>
      <c r="C57" s="58">
        <v>8</v>
      </c>
      <c r="D57" s="51">
        <v>7.5</v>
      </c>
      <c r="E57" s="51">
        <v>7.5</v>
      </c>
      <c r="F57" s="4" t="s">
        <v>80</v>
      </c>
      <c r="G57" s="4" t="s">
        <v>113</v>
      </c>
      <c r="H57" s="48">
        <f>IF(G57&gt;0,VLOOKUP(G57,Apoio!$O$2:$P$24,2,0),"")</f>
        <v>7</v>
      </c>
      <c r="I57" s="44">
        <f t="shared" si="0"/>
        <v>56</v>
      </c>
      <c r="J57" s="18"/>
    </row>
    <row r="58" spans="1:10" hidden="1" x14ac:dyDescent="0.3">
      <c r="A58" s="4" t="s">
        <v>189</v>
      </c>
      <c r="B58" s="4" t="s">
        <v>12</v>
      </c>
      <c r="C58" s="58">
        <v>8</v>
      </c>
      <c r="D58" s="51">
        <v>7.5</v>
      </c>
      <c r="E58" s="51">
        <v>7.5</v>
      </c>
      <c r="F58" s="4" t="s">
        <v>80</v>
      </c>
      <c r="G58" s="4" t="s">
        <v>116</v>
      </c>
      <c r="H58" s="48">
        <f>IF(G58&gt;0,VLOOKUP(G58,Apoio!$O$2:$P$24,2,0),"")</f>
        <v>4</v>
      </c>
      <c r="I58" s="44">
        <f t="shared" si="0"/>
        <v>32</v>
      </c>
      <c r="J58" s="18"/>
    </row>
    <row r="59" spans="1:10" hidden="1" x14ac:dyDescent="0.3">
      <c r="A59" s="4" t="s">
        <v>189</v>
      </c>
      <c r="B59" s="4" t="s">
        <v>12</v>
      </c>
      <c r="C59" s="58">
        <v>6.5</v>
      </c>
      <c r="D59" s="51">
        <v>7</v>
      </c>
      <c r="E59" s="51">
        <v>7.5</v>
      </c>
      <c r="F59" s="4" t="s">
        <v>87</v>
      </c>
      <c r="G59" s="4" t="s">
        <v>119</v>
      </c>
      <c r="H59" s="48">
        <f>IF(G59&gt;0,VLOOKUP(G59,Apoio!$O$2:$P$24,2,0),"")</f>
        <v>12</v>
      </c>
      <c r="I59" s="44">
        <f t="shared" si="0"/>
        <v>83.571428571428569</v>
      </c>
      <c r="J59" s="18"/>
    </row>
    <row r="60" spans="1:10" hidden="1" x14ac:dyDescent="0.3">
      <c r="A60" s="4" t="s">
        <v>189</v>
      </c>
      <c r="B60" s="4" t="s">
        <v>12</v>
      </c>
      <c r="C60" s="58">
        <v>8</v>
      </c>
      <c r="D60" s="51">
        <v>7</v>
      </c>
      <c r="E60" s="51">
        <v>7.5</v>
      </c>
      <c r="F60" s="4" t="s">
        <v>87</v>
      </c>
      <c r="G60" s="4" t="s">
        <v>122</v>
      </c>
      <c r="H60" s="48">
        <f>IF(G60&gt;0,VLOOKUP(G60,Apoio!$O$2:$P$24,2,0),"")</f>
        <v>8</v>
      </c>
      <c r="I60" s="44">
        <f t="shared" si="0"/>
        <v>68.571428571428569</v>
      </c>
      <c r="J60" s="18"/>
    </row>
    <row r="61" spans="1:10" hidden="1" x14ac:dyDescent="0.3">
      <c r="A61" s="4" t="s">
        <v>189</v>
      </c>
      <c r="B61" s="4" t="s">
        <v>12</v>
      </c>
      <c r="C61" s="58">
        <v>8</v>
      </c>
      <c r="D61" s="51">
        <v>7</v>
      </c>
      <c r="E61" s="51">
        <v>7.5</v>
      </c>
      <c r="F61" s="4" t="s">
        <v>87</v>
      </c>
      <c r="G61" s="4" t="s">
        <v>125</v>
      </c>
      <c r="H61" s="48">
        <f>IF(G61&gt;0,VLOOKUP(G61,Apoio!$O$2:$P$24,2,0),"")</f>
        <v>8</v>
      </c>
      <c r="I61" s="44">
        <f t="shared" si="0"/>
        <v>68.571428571428569</v>
      </c>
      <c r="J61" s="18"/>
    </row>
    <row r="62" spans="1:10" hidden="1" x14ac:dyDescent="0.3">
      <c r="A62" s="4" t="s">
        <v>189</v>
      </c>
      <c r="B62" s="4" t="s">
        <v>12</v>
      </c>
      <c r="C62" s="58">
        <v>6.5</v>
      </c>
      <c r="D62" s="51">
        <v>7</v>
      </c>
      <c r="E62" s="51">
        <v>7.5</v>
      </c>
      <c r="F62" s="4" t="s">
        <v>87</v>
      </c>
      <c r="G62" s="4" t="s">
        <v>128</v>
      </c>
      <c r="H62" s="48">
        <f>IF(G62&gt;0,VLOOKUP(G62,Apoio!$O$2:$P$24,2,0),"")</f>
        <v>8</v>
      </c>
      <c r="I62" s="44">
        <f t="shared" si="0"/>
        <v>55.714285714285715</v>
      </c>
      <c r="J62" s="18"/>
    </row>
    <row r="63" spans="1:10" hidden="1" x14ac:dyDescent="0.3">
      <c r="A63" s="4" t="s">
        <v>189</v>
      </c>
      <c r="B63" s="4" t="s">
        <v>12</v>
      </c>
      <c r="C63" s="58">
        <v>8</v>
      </c>
      <c r="D63" s="51">
        <v>7</v>
      </c>
      <c r="E63" s="51">
        <v>7.5</v>
      </c>
      <c r="F63" s="4" t="s">
        <v>87</v>
      </c>
      <c r="G63" s="4" t="s">
        <v>131</v>
      </c>
      <c r="H63" s="48">
        <f>IF(G63&gt;0,VLOOKUP(G63,Apoio!$O$2:$P$24,2,0),"")</f>
        <v>8</v>
      </c>
      <c r="I63" s="44">
        <f t="shared" si="0"/>
        <v>68.571428571428569</v>
      </c>
      <c r="J63" s="18"/>
    </row>
    <row r="64" spans="1:10" hidden="1" x14ac:dyDescent="0.3">
      <c r="A64" s="4" t="s">
        <v>189</v>
      </c>
      <c r="B64" s="4" t="s">
        <v>12</v>
      </c>
      <c r="C64" s="58">
        <v>7</v>
      </c>
      <c r="D64" s="51">
        <v>7</v>
      </c>
      <c r="E64" s="51">
        <v>7.5</v>
      </c>
      <c r="F64" s="4" t="s">
        <v>87</v>
      </c>
      <c r="G64" s="4" t="s">
        <v>134</v>
      </c>
      <c r="H64" s="48">
        <f>IF(G64&gt;0,VLOOKUP(G64,Apoio!$O$2:$P$24,2,0),"")</f>
        <v>3</v>
      </c>
      <c r="I64" s="44">
        <f t="shared" si="0"/>
        <v>22.5</v>
      </c>
      <c r="J64" s="18"/>
    </row>
    <row r="65" spans="1:10" hidden="1" x14ac:dyDescent="0.3">
      <c r="A65" s="4" t="s">
        <v>189</v>
      </c>
      <c r="B65" s="4" t="s">
        <v>12</v>
      </c>
      <c r="C65" s="58">
        <v>6.8</v>
      </c>
      <c r="D65" s="51">
        <v>5.5</v>
      </c>
      <c r="E65" s="51">
        <v>7.5</v>
      </c>
      <c r="F65" s="4" t="s">
        <v>94</v>
      </c>
      <c r="G65" s="4" t="s">
        <v>137</v>
      </c>
      <c r="H65" s="48">
        <f>IF(G65&gt;0,VLOOKUP(G65,Apoio!$O$2:$P$24,2,0),"")</f>
        <v>13</v>
      </c>
      <c r="I65" s="44">
        <f t="shared" si="0"/>
        <v>120.54545454545455</v>
      </c>
      <c r="J65" s="18"/>
    </row>
    <row r="66" spans="1:10" hidden="1" x14ac:dyDescent="0.3">
      <c r="A66" s="4" t="s">
        <v>189</v>
      </c>
      <c r="B66" s="4" t="s">
        <v>12</v>
      </c>
      <c r="C66" s="58">
        <v>7</v>
      </c>
      <c r="D66" s="51">
        <v>5.5</v>
      </c>
      <c r="E66" s="51">
        <v>7.5</v>
      </c>
      <c r="F66" s="4" t="s">
        <v>94</v>
      </c>
      <c r="G66" s="4" t="s">
        <v>140</v>
      </c>
      <c r="H66" s="48">
        <f>IF(G66&gt;0,VLOOKUP(G66,Apoio!$O$2:$P$24,2,0),"")</f>
        <v>8</v>
      </c>
      <c r="I66" s="44">
        <f t="shared" ref="I66:I129" si="1">IF(D66&gt;0,(((H66*E66)*C66)/D66),"")</f>
        <v>76.36363636363636</v>
      </c>
      <c r="J66" s="18"/>
    </row>
    <row r="67" spans="1:10" hidden="1" x14ac:dyDescent="0.3">
      <c r="A67" s="4" t="s">
        <v>189</v>
      </c>
      <c r="B67" s="4" t="s">
        <v>12</v>
      </c>
      <c r="C67" s="58">
        <v>6.5</v>
      </c>
      <c r="D67" s="51">
        <v>5.5</v>
      </c>
      <c r="E67" s="51">
        <v>7.5</v>
      </c>
      <c r="F67" s="4" t="s">
        <v>94</v>
      </c>
      <c r="G67" s="4" t="s">
        <v>143</v>
      </c>
      <c r="H67" s="48">
        <f>IF(G67&gt;0,VLOOKUP(G67,Apoio!$O$2:$P$24,2,0),"")</f>
        <v>8</v>
      </c>
      <c r="I67" s="44">
        <f t="shared" si="1"/>
        <v>70.909090909090907</v>
      </c>
      <c r="J67" s="18"/>
    </row>
    <row r="68" spans="1:10" hidden="1" x14ac:dyDescent="0.3">
      <c r="A68" s="4" t="s">
        <v>189</v>
      </c>
      <c r="B68" s="4" t="s">
        <v>12</v>
      </c>
      <c r="C68" s="58">
        <v>6.5</v>
      </c>
      <c r="D68" s="51">
        <v>5.5</v>
      </c>
      <c r="E68" s="51">
        <v>7.5</v>
      </c>
      <c r="F68" s="4" t="s">
        <v>94</v>
      </c>
      <c r="G68" s="4" t="s">
        <v>146</v>
      </c>
      <c r="H68" s="48">
        <f>IF(G68&gt;0,VLOOKUP(G68,Apoio!$O$2:$P$24,2,0),"")</f>
        <v>6</v>
      </c>
      <c r="I68" s="44">
        <f t="shared" si="1"/>
        <v>53.18181818181818</v>
      </c>
      <c r="J68" s="18"/>
    </row>
    <row r="69" spans="1:10" hidden="1" x14ac:dyDescent="0.3">
      <c r="A69" s="4" t="s">
        <v>189</v>
      </c>
      <c r="B69" s="4" t="s">
        <v>12</v>
      </c>
      <c r="C69" s="58">
        <v>7</v>
      </c>
      <c r="D69" s="51">
        <v>5.5</v>
      </c>
      <c r="E69" s="51">
        <v>7.5</v>
      </c>
      <c r="F69" s="4" t="s">
        <v>94</v>
      </c>
      <c r="G69" s="4" t="s">
        <v>149</v>
      </c>
      <c r="H69" s="48">
        <f>IF(G69&gt;0,VLOOKUP(G69,Apoio!$O$2:$P$24,2,0),"")</f>
        <v>8</v>
      </c>
      <c r="I69" s="44">
        <f t="shared" si="1"/>
        <v>76.36363636363636</v>
      </c>
      <c r="J69" s="18"/>
    </row>
    <row r="70" spans="1:10" hidden="1" x14ac:dyDescent="0.3">
      <c r="A70" s="4" t="s">
        <v>189</v>
      </c>
      <c r="B70" s="4" t="s">
        <v>12</v>
      </c>
      <c r="C70" s="58">
        <v>6.5</v>
      </c>
      <c r="D70" s="51">
        <v>5.5</v>
      </c>
      <c r="E70" s="51">
        <v>7.5</v>
      </c>
      <c r="F70" s="4" t="s">
        <v>94</v>
      </c>
      <c r="G70" s="4" t="s">
        <v>152</v>
      </c>
      <c r="H70" s="48">
        <f>IF(G70&gt;0,VLOOKUP(G70,Apoio!$O$2:$P$24,2,0),"")</f>
        <v>8</v>
      </c>
      <c r="I70" s="44">
        <f t="shared" si="1"/>
        <v>70.909090909090907</v>
      </c>
      <c r="J70" s="18"/>
    </row>
    <row r="71" spans="1:10" hidden="1" x14ac:dyDescent="0.3">
      <c r="A71" s="4" t="s">
        <v>189</v>
      </c>
      <c r="B71" s="4" t="s">
        <v>13</v>
      </c>
      <c r="C71" s="58">
        <v>4</v>
      </c>
      <c r="D71" s="51">
        <v>7.5</v>
      </c>
      <c r="E71" s="51">
        <v>7.5</v>
      </c>
      <c r="F71" s="4" t="s">
        <v>73</v>
      </c>
      <c r="G71" s="4" t="s">
        <v>72</v>
      </c>
      <c r="H71" s="48">
        <f>IF(G71&gt;0,VLOOKUP(G71,Apoio!$O$2:$P$24,2,0),"")</f>
        <v>8</v>
      </c>
      <c r="I71" s="44">
        <f t="shared" si="1"/>
        <v>32</v>
      </c>
      <c r="J71" s="18"/>
    </row>
    <row r="72" spans="1:10" hidden="1" x14ac:dyDescent="0.3">
      <c r="A72" s="4" t="s">
        <v>189</v>
      </c>
      <c r="B72" s="4" t="s">
        <v>13</v>
      </c>
      <c r="C72" s="58">
        <v>4</v>
      </c>
      <c r="D72" s="51">
        <v>7.5</v>
      </c>
      <c r="E72" s="51">
        <v>7.5</v>
      </c>
      <c r="F72" s="4" t="s">
        <v>73</v>
      </c>
      <c r="G72" s="4" t="s">
        <v>79</v>
      </c>
      <c r="H72" s="48">
        <f>IF(G72&gt;0,VLOOKUP(G72,Apoio!$O$2:$P$24,2,0),"")</f>
        <v>6</v>
      </c>
      <c r="I72" s="44">
        <f t="shared" si="1"/>
        <v>24</v>
      </c>
      <c r="J72" s="18"/>
    </row>
    <row r="73" spans="1:10" hidden="1" x14ac:dyDescent="0.3">
      <c r="A73" s="4" t="s">
        <v>189</v>
      </c>
      <c r="B73" s="4" t="s">
        <v>13</v>
      </c>
      <c r="C73" s="58">
        <v>4</v>
      </c>
      <c r="D73" s="51">
        <v>7.5</v>
      </c>
      <c r="E73" s="51">
        <v>7.5</v>
      </c>
      <c r="F73" s="4" t="s">
        <v>73</v>
      </c>
      <c r="G73" s="4" t="s">
        <v>86</v>
      </c>
      <c r="H73" s="48">
        <f>IF(G73&gt;0,VLOOKUP(G73,Apoio!$O$2:$P$24,2,0),"")</f>
        <v>8</v>
      </c>
      <c r="I73" s="44">
        <f t="shared" si="1"/>
        <v>32</v>
      </c>
      <c r="J73" s="18"/>
    </row>
    <row r="74" spans="1:10" hidden="1" x14ac:dyDescent="0.3">
      <c r="A74" s="4" t="s">
        <v>189</v>
      </c>
      <c r="B74" s="4" t="s">
        <v>13</v>
      </c>
      <c r="C74" s="58">
        <v>4</v>
      </c>
      <c r="D74" s="51">
        <v>7.5</v>
      </c>
      <c r="E74" s="51">
        <v>7.5</v>
      </c>
      <c r="F74" s="4" t="s">
        <v>73</v>
      </c>
      <c r="G74" s="4" t="s">
        <v>93</v>
      </c>
      <c r="H74" s="48">
        <f>IF(G74&gt;0,VLOOKUP(G74,Apoio!$O$2:$P$24,2,0),"")</f>
        <v>8</v>
      </c>
      <c r="I74" s="44">
        <f t="shared" si="1"/>
        <v>32</v>
      </c>
      <c r="J74" s="18"/>
    </row>
    <row r="75" spans="1:10" hidden="1" x14ac:dyDescent="0.3">
      <c r="A75" s="4" t="s">
        <v>189</v>
      </c>
      <c r="B75" s="4" t="s">
        <v>13</v>
      </c>
      <c r="C75" s="58">
        <v>5</v>
      </c>
      <c r="D75" s="51">
        <v>7.5</v>
      </c>
      <c r="E75" s="51">
        <v>7.5</v>
      </c>
      <c r="F75" s="4" t="s">
        <v>73</v>
      </c>
      <c r="G75" s="4" t="s">
        <v>98</v>
      </c>
      <c r="H75" s="48">
        <f>IF(G75&gt;0,VLOOKUP(G75,Apoio!$O$2:$P$24,2,0),"")</f>
        <v>7</v>
      </c>
      <c r="I75" s="44">
        <f t="shared" si="1"/>
        <v>35</v>
      </c>
      <c r="J75" s="18"/>
    </row>
    <row r="76" spans="1:10" hidden="1" x14ac:dyDescent="0.3">
      <c r="A76" s="4" t="s">
        <v>189</v>
      </c>
      <c r="B76" s="4" t="s">
        <v>13</v>
      </c>
      <c r="C76" s="58">
        <v>5</v>
      </c>
      <c r="D76" s="51">
        <v>7.5</v>
      </c>
      <c r="E76" s="51">
        <v>7.5</v>
      </c>
      <c r="F76" s="4" t="s">
        <v>73</v>
      </c>
      <c r="G76" s="4" t="s">
        <v>101</v>
      </c>
      <c r="H76" s="48">
        <f>IF(G76&gt;0,VLOOKUP(G76,Apoio!$O$2:$P$24,2,0),"")</f>
        <v>3</v>
      </c>
      <c r="I76" s="44">
        <f t="shared" si="1"/>
        <v>15</v>
      </c>
      <c r="J76" s="18"/>
    </row>
    <row r="77" spans="1:10" hidden="1" x14ac:dyDescent="0.3">
      <c r="A77" s="4" t="s">
        <v>189</v>
      </c>
      <c r="B77" s="4" t="s">
        <v>13</v>
      </c>
      <c r="C77" s="58">
        <v>4</v>
      </c>
      <c r="D77" s="51">
        <v>7.6</v>
      </c>
      <c r="E77" s="51">
        <v>7.5</v>
      </c>
      <c r="F77" s="4" t="s">
        <v>80</v>
      </c>
      <c r="G77" s="4" t="s">
        <v>104</v>
      </c>
      <c r="H77" s="48">
        <f>IF(G77&gt;0,VLOOKUP(G77,Apoio!$O$2:$P$24,2,0),"")</f>
        <v>8</v>
      </c>
      <c r="I77" s="44">
        <f t="shared" si="1"/>
        <v>31.578947368421055</v>
      </c>
      <c r="J77" s="18"/>
    </row>
    <row r="78" spans="1:10" hidden="1" x14ac:dyDescent="0.3">
      <c r="A78" s="4" t="s">
        <v>189</v>
      </c>
      <c r="B78" s="4" t="s">
        <v>13</v>
      </c>
      <c r="C78" s="58">
        <v>4</v>
      </c>
      <c r="D78" s="51">
        <v>7.6</v>
      </c>
      <c r="E78" s="51">
        <v>7.5</v>
      </c>
      <c r="F78" s="4" t="s">
        <v>80</v>
      </c>
      <c r="G78" s="4" t="s">
        <v>107</v>
      </c>
      <c r="H78" s="48">
        <f>IF(G78&gt;0,VLOOKUP(G78,Apoio!$O$2:$P$24,2,0),"")</f>
        <v>7</v>
      </c>
      <c r="I78" s="44">
        <f t="shared" si="1"/>
        <v>27.631578947368421</v>
      </c>
      <c r="J78" s="18"/>
    </row>
    <row r="79" spans="1:10" hidden="1" x14ac:dyDescent="0.3">
      <c r="A79" s="4" t="s">
        <v>189</v>
      </c>
      <c r="B79" s="4" t="s">
        <v>13</v>
      </c>
      <c r="C79" s="58">
        <v>4</v>
      </c>
      <c r="D79" s="51">
        <v>7.6</v>
      </c>
      <c r="E79" s="51">
        <v>7.5</v>
      </c>
      <c r="F79" s="4" t="s">
        <v>80</v>
      </c>
      <c r="G79" s="4" t="s">
        <v>110</v>
      </c>
      <c r="H79" s="48">
        <f>IF(G79&gt;0,VLOOKUP(G79,Apoio!$O$2:$P$24,2,0),"")</f>
        <v>8</v>
      </c>
      <c r="I79" s="44">
        <f t="shared" si="1"/>
        <v>31.578947368421055</v>
      </c>
      <c r="J79" s="18"/>
    </row>
    <row r="80" spans="1:10" hidden="1" x14ac:dyDescent="0.3">
      <c r="A80" s="4" t="s">
        <v>189</v>
      </c>
      <c r="B80" s="4" t="s">
        <v>13</v>
      </c>
      <c r="C80" s="58">
        <v>4</v>
      </c>
      <c r="D80" s="51">
        <v>7.6</v>
      </c>
      <c r="E80" s="51">
        <v>7.5</v>
      </c>
      <c r="F80" s="4" t="s">
        <v>80</v>
      </c>
      <c r="G80" s="4" t="s">
        <v>113</v>
      </c>
      <c r="H80" s="48">
        <f>IF(G80&gt;0,VLOOKUP(G80,Apoio!$O$2:$P$24,2,0),"")</f>
        <v>7</v>
      </c>
      <c r="I80" s="44">
        <f t="shared" si="1"/>
        <v>27.631578947368421</v>
      </c>
      <c r="J80" s="18"/>
    </row>
    <row r="81" spans="1:10" hidden="1" x14ac:dyDescent="0.3">
      <c r="A81" s="4" t="s">
        <v>189</v>
      </c>
      <c r="B81" s="4" t="s">
        <v>13</v>
      </c>
      <c r="C81" s="58">
        <v>4</v>
      </c>
      <c r="D81" s="51">
        <v>7.6</v>
      </c>
      <c r="E81" s="51">
        <v>7.5</v>
      </c>
      <c r="F81" s="4" t="s">
        <v>80</v>
      </c>
      <c r="G81" s="4" t="s">
        <v>116</v>
      </c>
      <c r="H81" s="48">
        <f>IF(G81&gt;0,VLOOKUP(G81,Apoio!$O$2:$P$24,2,0),"")</f>
        <v>4</v>
      </c>
      <c r="I81" s="44">
        <f t="shared" si="1"/>
        <v>15.789473684210527</v>
      </c>
      <c r="J81" s="18"/>
    </row>
    <row r="82" spans="1:10" hidden="1" x14ac:dyDescent="0.3">
      <c r="A82" s="4" t="s">
        <v>189</v>
      </c>
      <c r="B82" s="4" t="s">
        <v>13</v>
      </c>
      <c r="C82" s="58">
        <v>5.5</v>
      </c>
      <c r="D82" s="51">
        <v>7.2</v>
      </c>
      <c r="E82" s="51">
        <v>7.5</v>
      </c>
      <c r="F82" s="4" t="s">
        <v>87</v>
      </c>
      <c r="G82" s="4" t="s">
        <v>119</v>
      </c>
      <c r="H82" s="48">
        <f>IF(G82&gt;0,VLOOKUP(G82,Apoio!$O$2:$P$24,2,0),"")</f>
        <v>12</v>
      </c>
      <c r="I82" s="44">
        <f t="shared" si="1"/>
        <v>68.75</v>
      </c>
      <c r="J82" s="18"/>
    </row>
    <row r="83" spans="1:10" hidden="1" x14ac:dyDescent="0.3">
      <c r="A83" s="4" t="s">
        <v>189</v>
      </c>
      <c r="B83" s="4" t="s">
        <v>13</v>
      </c>
      <c r="C83" s="58">
        <v>5.5</v>
      </c>
      <c r="D83" s="51">
        <v>7.2</v>
      </c>
      <c r="E83" s="51">
        <v>7.5</v>
      </c>
      <c r="F83" s="4" t="s">
        <v>87</v>
      </c>
      <c r="G83" s="4" t="s">
        <v>122</v>
      </c>
      <c r="H83" s="48">
        <f>IF(G83&gt;0,VLOOKUP(G83,Apoio!$O$2:$P$24,2,0),"")</f>
        <v>8</v>
      </c>
      <c r="I83" s="44">
        <f t="shared" si="1"/>
        <v>45.833333333333336</v>
      </c>
      <c r="J83" s="18"/>
    </row>
    <row r="84" spans="1:10" hidden="1" x14ac:dyDescent="0.3">
      <c r="A84" s="4" t="s">
        <v>189</v>
      </c>
      <c r="B84" s="4" t="s">
        <v>13</v>
      </c>
      <c r="C84" s="58">
        <v>5</v>
      </c>
      <c r="D84" s="51">
        <v>7.2</v>
      </c>
      <c r="E84" s="51">
        <v>7.5</v>
      </c>
      <c r="F84" s="4" t="s">
        <v>87</v>
      </c>
      <c r="G84" s="4" t="s">
        <v>125</v>
      </c>
      <c r="H84" s="48">
        <f>IF(G84&gt;0,VLOOKUP(G84,Apoio!$O$2:$P$24,2,0),"")</f>
        <v>8</v>
      </c>
      <c r="I84" s="44">
        <f t="shared" si="1"/>
        <v>41.666666666666664</v>
      </c>
      <c r="J84" s="18"/>
    </row>
    <row r="85" spans="1:10" hidden="1" x14ac:dyDescent="0.3">
      <c r="A85" s="4" t="s">
        <v>189</v>
      </c>
      <c r="B85" s="4" t="s">
        <v>13</v>
      </c>
      <c r="C85" s="58">
        <v>5</v>
      </c>
      <c r="D85" s="51">
        <v>7.2</v>
      </c>
      <c r="E85" s="51">
        <v>7.5</v>
      </c>
      <c r="F85" s="4" t="s">
        <v>87</v>
      </c>
      <c r="G85" s="4" t="s">
        <v>128</v>
      </c>
      <c r="H85" s="48">
        <f>IF(G85&gt;0,VLOOKUP(G85,Apoio!$O$2:$P$24,2,0),"")</f>
        <v>8</v>
      </c>
      <c r="I85" s="44">
        <f t="shared" si="1"/>
        <v>41.666666666666664</v>
      </c>
      <c r="J85" s="18"/>
    </row>
    <row r="86" spans="1:10" hidden="1" x14ac:dyDescent="0.3">
      <c r="A86" s="4" t="s">
        <v>189</v>
      </c>
      <c r="B86" s="4" t="s">
        <v>13</v>
      </c>
      <c r="C86" s="58">
        <v>5</v>
      </c>
      <c r="D86" s="51">
        <v>7.2</v>
      </c>
      <c r="E86" s="51">
        <v>7.5</v>
      </c>
      <c r="F86" s="4" t="s">
        <v>87</v>
      </c>
      <c r="G86" s="4" t="s">
        <v>131</v>
      </c>
      <c r="H86" s="48">
        <f>IF(G86&gt;0,VLOOKUP(G86,Apoio!$O$2:$P$24,2,0),"")</f>
        <v>8</v>
      </c>
      <c r="I86" s="44">
        <f t="shared" si="1"/>
        <v>41.666666666666664</v>
      </c>
      <c r="J86" s="18"/>
    </row>
    <row r="87" spans="1:10" hidden="1" x14ac:dyDescent="0.3">
      <c r="A87" s="4" t="s">
        <v>189</v>
      </c>
      <c r="B87" s="4" t="s">
        <v>13</v>
      </c>
      <c r="C87" s="58">
        <v>5</v>
      </c>
      <c r="D87" s="51">
        <v>7.2</v>
      </c>
      <c r="E87" s="51">
        <v>7.5</v>
      </c>
      <c r="F87" s="4" t="s">
        <v>87</v>
      </c>
      <c r="G87" s="4" t="s">
        <v>134</v>
      </c>
      <c r="H87" s="48">
        <f>IF(G87&gt;0,VLOOKUP(G87,Apoio!$O$2:$P$24,2,0),"")</f>
        <v>3</v>
      </c>
      <c r="I87" s="44">
        <f t="shared" si="1"/>
        <v>15.625</v>
      </c>
      <c r="J87" s="18"/>
    </row>
    <row r="88" spans="1:10" hidden="1" x14ac:dyDescent="0.3">
      <c r="A88" s="4" t="s">
        <v>189</v>
      </c>
      <c r="B88" s="4" t="s">
        <v>13</v>
      </c>
      <c r="C88" s="58">
        <v>4.5</v>
      </c>
      <c r="D88" s="51">
        <v>6</v>
      </c>
      <c r="E88" s="51">
        <v>7.5</v>
      </c>
      <c r="F88" s="4" t="s">
        <v>94</v>
      </c>
      <c r="G88" s="4" t="s">
        <v>137</v>
      </c>
      <c r="H88" s="48">
        <f>IF(G88&gt;0,VLOOKUP(G88,Apoio!$O$2:$P$24,2,0),"")</f>
        <v>13</v>
      </c>
      <c r="I88" s="44">
        <f t="shared" si="1"/>
        <v>73.125</v>
      </c>
      <c r="J88" s="18"/>
    </row>
    <row r="89" spans="1:10" hidden="1" x14ac:dyDescent="0.3">
      <c r="A89" s="4" t="s">
        <v>189</v>
      </c>
      <c r="B89" s="4" t="s">
        <v>13</v>
      </c>
      <c r="C89" s="58">
        <v>4.3</v>
      </c>
      <c r="D89" s="51">
        <v>6</v>
      </c>
      <c r="E89" s="51">
        <v>7.5</v>
      </c>
      <c r="F89" s="4" t="s">
        <v>94</v>
      </c>
      <c r="G89" s="4" t="s">
        <v>140</v>
      </c>
      <c r="H89" s="48">
        <f>IF(G89&gt;0,VLOOKUP(G89,Apoio!$O$2:$P$24,2,0),"")</f>
        <v>8</v>
      </c>
      <c r="I89" s="44">
        <f t="shared" si="1"/>
        <v>43</v>
      </c>
      <c r="J89" s="18"/>
    </row>
    <row r="90" spans="1:10" hidden="1" x14ac:dyDescent="0.3">
      <c r="A90" s="4" t="s">
        <v>189</v>
      </c>
      <c r="B90" s="4" t="s">
        <v>13</v>
      </c>
      <c r="C90" s="58">
        <v>5</v>
      </c>
      <c r="D90" s="51">
        <v>6</v>
      </c>
      <c r="E90" s="51">
        <v>7.5</v>
      </c>
      <c r="F90" s="4" t="s">
        <v>94</v>
      </c>
      <c r="G90" s="4" t="s">
        <v>143</v>
      </c>
      <c r="H90" s="48">
        <f>IF(G90&gt;0,VLOOKUP(G90,Apoio!$O$2:$P$24,2,0),"")</f>
        <v>8</v>
      </c>
      <c r="I90" s="44">
        <f t="shared" si="1"/>
        <v>50</v>
      </c>
      <c r="J90" s="18"/>
    </row>
    <row r="91" spans="1:10" hidden="1" x14ac:dyDescent="0.3">
      <c r="A91" s="4" t="s">
        <v>189</v>
      </c>
      <c r="B91" s="4" t="s">
        <v>13</v>
      </c>
      <c r="C91" s="58">
        <v>5</v>
      </c>
      <c r="D91" s="51">
        <v>6</v>
      </c>
      <c r="E91" s="51">
        <v>7.5</v>
      </c>
      <c r="F91" s="4" t="s">
        <v>94</v>
      </c>
      <c r="G91" s="4" t="s">
        <v>146</v>
      </c>
      <c r="H91" s="48">
        <f>IF(G91&gt;0,VLOOKUP(G91,Apoio!$O$2:$P$24,2,0),"")</f>
        <v>6</v>
      </c>
      <c r="I91" s="44">
        <f t="shared" si="1"/>
        <v>37.5</v>
      </c>
      <c r="J91" s="18"/>
    </row>
    <row r="92" spans="1:10" hidden="1" x14ac:dyDescent="0.3">
      <c r="A92" s="4" t="s">
        <v>189</v>
      </c>
      <c r="B92" s="4" t="s">
        <v>13</v>
      </c>
      <c r="C92" s="58">
        <v>5</v>
      </c>
      <c r="D92" s="51">
        <v>6</v>
      </c>
      <c r="E92" s="51">
        <v>7.5</v>
      </c>
      <c r="F92" s="4" t="s">
        <v>94</v>
      </c>
      <c r="G92" s="4" t="s">
        <v>149</v>
      </c>
      <c r="H92" s="48">
        <f>IF(G92&gt;0,VLOOKUP(G92,Apoio!$O$2:$P$24,2,0),"")</f>
        <v>8</v>
      </c>
      <c r="I92" s="44">
        <f t="shared" si="1"/>
        <v>50</v>
      </c>
      <c r="J92" s="18"/>
    </row>
    <row r="93" spans="1:10" hidden="1" x14ac:dyDescent="0.3">
      <c r="A93" s="4" t="s">
        <v>189</v>
      </c>
      <c r="B93" s="4" t="s">
        <v>13</v>
      </c>
      <c r="C93" s="58">
        <v>5</v>
      </c>
      <c r="D93" s="51">
        <v>6</v>
      </c>
      <c r="E93" s="51">
        <v>7.5</v>
      </c>
      <c r="F93" s="4" t="s">
        <v>94</v>
      </c>
      <c r="G93" s="4" t="s">
        <v>152</v>
      </c>
      <c r="H93" s="48">
        <f>IF(G93&gt;0,VLOOKUP(G93,Apoio!$O$2:$P$24,2,0),"")</f>
        <v>8</v>
      </c>
      <c r="I93" s="44">
        <f t="shared" si="1"/>
        <v>50</v>
      </c>
      <c r="J93" s="18"/>
    </row>
    <row r="94" spans="1:10" hidden="1" x14ac:dyDescent="0.3">
      <c r="A94" s="4" t="s">
        <v>189</v>
      </c>
      <c r="B94" s="4" t="s">
        <v>192</v>
      </c>
      <c r="C94" s="58">
        <v>3</v>
      </c>
      <c r="D94" s="51">
        <v>7</v>
      </c>
      <c r="E94" s="51">
        <v>7.5</v>
      </c>
      <c r="F94" s="4" t="s">
        <v>87</v>
      </c>
      <c r="G94" s="4" t="s">
        <v>119</v>
      </c>
      <c r="H94" s="48">
        <f>IF(G94&gt;0,VLOOKUP(G94,Apoio!$O$2:$P$24,2,0),"")</f>
        <v>12</v>
      </c>
      <c r="I94" s="44">
        <f t="shared" si="1"/>
        <v>38.571428571428569</v>
      </c>
      <c r="J94" s="36"/>
    </row>
    <row r="95" spans="1:10" hidden="1" x14ac:dyDescent="0.3">
      <c r="A95" s="4" t="s">
        <v>189</v>
      </c>
      <c r="B95" s="4" t="s">
        <v>192</v>
      </c>
      <c r="C95" s="58">
        <v>3</v>
      </c>
      <c r="D95" s="51">
        <v>7</v>
      </c>
      <c r="E95" s="51">
        <v>7.5</v>
      </c>
      <c r="F95" s="4" t="s">
        <v>87</v>
      </c>
      <c r="G95" s="4" t="s">
        <v>122</v>
      </c>
      <c r="H95" s="48">
        <f>IF(G95&gt;0,VLOOKUP(G95,Apoio!$O$2:$P$24,2,0),"")</f>
        <v>8</v>
      </c>
      <c r="I95" s="44">
        <f t="shared" si="1"/>
        <v>25.714285714285715</v>
      </c>
      <c r="J95" s="36"/>
    </row>
    <row r="96" spans="1:10" hidden="1" x14ac:dyDescent="0.3">
      <c r="A96" s="4" t="s">
        <v>189</v>
      </c>
      <c r="B96" s="4" t="s">
        <v>192</v>
      </c>
      <c r="C96" s="58">
        <v>3</v>
      </c>
      <c r="D96" s="51">
        <v>7</v>
      </c>
      <c r="E96" s="51">
        <v>7.5</v>
      </c>
      <c r="F96" s="4" t="s">
        <v>87</v>
      </c>
      <c r="G96" s="4" t="s">
        <v>125</v>
      </c>
      <c r="H96" s="48">
        <f>IF(G96&gt;0,VLOOKUP(G96,Apoio!$O$2:$P$24,2,0),"")</f>
        <v>8</v>
      </c>
      <c r="I96" s="44">
        <f t="shared" si="1"/>
        <v>25.714285714285715</v>
      </c>
      <c r="J96" s="36"/>
    </row>
    <row r="97" spans="1:10" hidden="1" x14ac:dyDescent="0.3">
      <c r="A97" s="4" t="s">
        <v>189</v>
      </c>
      <c r="B97" s="4" t="s">
        <v>192</v>
      </c>
      <c r="C97" s="58">
        <v>3</v>
      </c>
      <c r="D97" s="51">
        <v>7</v>
      </c>
      <c r="E97" s="51">
        <v>7.5</v>
      </c>
      <c r="F97" s="4" t="s">
        <v>87</v>
      </c>
      <c r="G97" s="4" t="s">
        <v>128</v>
      </c>
      <c r="H97" s="48">
        <f>IF(G97&gt;0,VLOOKUP(G97,Apoio!$O$2:$P$24,2,0),"")</f>
        <v>8</v>
      </c>
      <c r="I97" s="44">
        <f t="shared" si="1"/>
        <v>25.714285714285715</v>
      </c>
      <c r="J97" s="36"/>
    </row>
    <row r="98" spans="1:10" hidden="1" x14ac:dyDescent="0.3">
      <c r="A98" s="4" t="s">
        <v>189</v>
      </c>
      <c r="B98" s="4" t="s">
        <v>192</v>
      </c>
      <c r="C98" s="58">
        <v>3</v>
      </c>
      <c r="D98" s="51">
        <v>7</v>
      </c>
      <c r="E98" s="51">
        <v>7.5</v>
      </c>
      <c r="F98" s="4" t="s">
        <v>87</v>
      </c>
      <c r="G98" s="4" t="s">
        <v>131</v>
      </c>
      <c r="H98" s="48">
        <f>IF(G98&gt;0,VLOOKUP(G98,Apoio!$O$2:$P$24,2,0),"")</f>
        <v>8</v>
      </c>
      <c r="I98" s="44">
        <f t="shared" si="1"/>
        <v>25.714285714285715</v>
      </c>
      <c r="J98" s="36"/>
    </row>
    <row r="99" spans="1:10" hidden="1" x14ac:dyDescent="0.3">
      <c r="A99" s="4" t="s">
        <v>189</v>
      </c>
      <c r="B99" s="4" t="s">
        <v>192</v>
      </c>
      <c r="C99" s="58">
        <v>3</v>
      </c>
      <c r="D99" s="51">
        <v>7</v>
      </c>
      <c r="E99" s="51">
        <v>7.5</v>
      </c>
      <c r="F99" s="4" t="s">
        <v>87</v>
      </c>
      <c r="G99" s="4" t="s">
        <v>134</v>
      </c>
      <c r="H99" s="48">
        <f>IF(G99&gt;0,VLOOKUP(G99,Apoio!$O$2:$P$24,2,0),"")</f>
        <v>3</v>
      </c>
      <c r="I99" s="44">
        <f t="shared" si="1"/>
        <v>9.6428571428571423</v>
      </c>
      <c r="J99" s="36"/>
    </row>
    <row r="100" spans="1:10" hidden="1" x14ac:dyDescent="0.3">
      <c r="A100" s="4" t="s">
        <v>189</v>
      </c>
      <c r="B100" s="4" t="s">
        <v>192</v>
      </c>
      <c r="C100" s="58">
        <v>3</v>
      </c>
      <c r="D100" s="51">
        <v>7</v>
      </c>
      <c r="E100" s="51">
        <v>7.5</v>
      </c>
      <c r="F100" s="4" t="s">
        <v>94</v>
      </c>
      <c r="G100" s="4" t="s">
        <v>137</v>
      </c>
      <c r="H100" s="48">
        <f>IF(G100&gt;0,VLOOKUP(G100,Apoio!$O$2:$P$24,2,0),"")</f>
        <v>13</v>
      </c>
      <c r="I100" s="44">
        <f t="shared" si="1"/>
        <v>41.785714285714285</v>
      </c>
      <c r="J100" s="36"/>
    </row>
    <row r="101" spans="1:10" hidden="1" x14ac:dyDescent="0.3">
      <c r="A101" s="4" t="s">
        <v>189</v>
      </c>
      <c r="B101" s="4" t="s">
        <v>192</v>
      </c>
      <c r="C101" s="58">
        <v>3</v>
      </c>
      <c r="D101" s="51">
        <v>7</v>
      </c>
      <c r="E101" s="51">
        <v>7.5</v>
      </c>
      <c r="F101" s="4" t="s">
        <v>94</v>
      </c>
      <c r="G101" s="4" t="s">
        <v>140</v>
      </c>
      <c r="H101" s="48">
        <f>IF(G101&gt;0,VLOOKUP(G101,Apoio!$O$2:$P$24,2,0),"")</f>
        <v>8</v>
      </c>
      <c r="I101" s="44">
        <f t="shared" si="1"/>
        <v>25.714285714285715</v>
      </c>
      <c r="J101" s="36"/>
    </row>
    <row r="102" spans="1:10" hidden="1" x14ac:dyDescent="0.3">
      <c r="A102" s="4" t="s">
        <v>189</v>
      </c>
      <c r="B102" s="4" t="s">
        <v>192</v>
      </c>
      <c r="C102" s="58">
        <v>3</v>
      </c>
      <c r="D102" s="51">
        <v>7</v>
      </c>
      <c r="E102" s="51">
        <v>7.5</v>
      </c>
      <c r="F102" s="4" t="s">
        <v>94</v>
      </c>
      <c r="G102" s="4" t="s">
        <v>143</v>
      </c>
      <c r="H102" s="48">
        <f>IF(G102&gt;0,VLOOKUP(G102,Apoio!$O$2:$P$24,2,0),"")</f>
        <v>8</v>
      </c>
      <c r="I102" s="44">
        <f t="shared" si="1"/>
        <v>25.714285714285715</v>
      </c>
      <c r="J102" s="36"/>
    </row>
    <row r="103" spans="1:10" hidden="1" x14ac:dyDescent="0.3">
      <c r="A103" s="4" t="s">
        <v>189</v>
      </c>
      <c r="B103" s="4" t="s">
        <v>192</v>
      </c>
      <c r="C103" s="58">
        <v>3</v>
      </c>
      <c r="D103" s="51">
        <v>7</v>
      </c>
      <c r="E103" s="51">
        <v>7.5</v>
      </c>
      <c r="F103" s="4" t="s">
        <v>94</v>
      </c>
      <c r="G103" s="4" t="s">
        <v>146</v>
      </c>
      <c r="H103" s="48">
        <f>IF(G103&gt;0,VLOOKUP(G103,Apoio!$O$2:$P$24,2,0),"")</f>
        <v>6</v>
      </c>
      <c r="I103" s="44">
        <f t="shared" si="1"/>
        <v>19.285714285714285</v>
      </c>
      <c r="J103" s="36"/>
    </row>
    <row r="104" spans="1:10" hidden="1" x14ac:dyDescent="0.3">
      <c r="A104" s="4" t="s">
        <v>189</v>
      </c>
      <c r="B104" s="4" t="s">
        <v>192</v>
      </c>
      <c r="C104" s="58">
        <v>3</v>
      </c>
      <c r="D104" s="51">
        <v>7</v>
      </c>
      <c r="E104" s="51">
        <v>7.5</v>
      </c>
      <c r="F104" s="4" t="s">
        <v>94</v>
      </c>
      <c r="G104" s="4" t="s">
        <v>149</v>
      </c>
      <c r="H104" s="48">
        <f>IF(G104&gt;0,VLOOKUP(G104,Apoio!$O$2:$P$24,2,0),"")</f>
        <v>8</v>
      </c>
      <c r="I104" s="44">
        <f t="shared" si="1"/>
        <v>25.714285714285715</v>
      </c>
      <c r="J104" s="36"/>
    </row>
    <row r="105" spans="1:10" hidden="1" x14ac:dyDescent="0.3">
      <c r="A105" s="4" t="s">
        <v>189</v>
      </c>
      <c r="B105" s="4" t="s">
        <v>192</v>
      </c>
      <c r="C105" s="58">
        <v>3</v>
      </c>
      <c r="D105" s="51">
        <v>7</v>
      </c>
      <c r="E105" s="51">
        <v>7.5</v>
      </c>
      <c r="F105" s="4" t="s">
        <v>94</v>
      </c>
      <c r="G105" s="4" t="s">
        <v>152</v>
      </c>
      <c r="H105" s="48">
        <f>IF(G105&gt;0,VLOOKUP(G105,Apoio!$O$2:$P$24,2,0),"")</f>
        <v>8</v>
      </c>
      <c r="I105" s="44">
        <f t="shared" si="1"/>
        <v>25.714285714285715</v>
      </c>
      <c r="J105" s="36"/>
    </row>
    <row r="106" spans="1:10" hidden="1" x14ac:dyDescent="0.3">
      <c r="A106" s="4" t="s">
        <v>189</v>
      </c>
      <c r="B106" s="4" t="s">
        <v>47</v>
      </c>
      <c r="C106" s="58">
        <v>5</v>
      </c>
      <c r="D106" s="51">
        <v>7.5</v>
      </c>
      <c r="E106" s="51">
        <v>7.5</v>
      </c>
      <c r="F106" s="4" t="s">
        <v>73</v>
      </c>
      <c r="G106" s="4" t="s">
        <v>72</v>
      </c>
      <c r="H106" s="48">
        <f>IF(G106&gt;0,VLOOKUP(G106,Apoio!$O$2:$P$24,2,0),"")</f>
        <v>8</v>
      </c>
      <c r="I106" s="44">
        <f t="shared" si="1"/>
        <v>40</v>
      </c>
      <c r="J106" s="36"/>
    </row>
    <row r="107" spans="1:10" hidden="1" x14ac:dyDescent="0.3">
      <c r="A107" s="4" t="s">
        <v>189</v>
      </c>
      <c r="B107" s="4" t="s">
        <v>47</v>
      </c>
      <c r="C107" s="58">
        <v>5</v>
      </c>
      <c r="D107" s="51">
        <v>7.5</v>
      </c>
      <c r="E107" s="51">
        <v>7.5</v>
      </c>
      <c r="F107" s="4" t="s">
        <v>73</v>
      </c>
      <c r="G107" s="4" t="s">
        <v>79</v>
      </c>
      <c r="H107" s="48">
        <f>IF(G107&gt;0,VLOOKUP(G107,Apoio!$O$2:$P$24,2,0),"")</f>
        <v>6</v>
      </c>
      <c r="I107" s="44">
        <f t="shared" si="1"/>
        <v>30</v>
      </c>
      <c r="J107" s="36"/>
    </row>
    <row r="108" spans="1:10" hidden="1" x14ac:dyDescent="0.3">
      <c r="A108" s="4" t="s">
        <v>189</v>
      </c>
      <c r="B108" s="4" t="s">
        <v>47</v>
      </c>
      <c r="C108" s="58">
        <v>5</v>
      </c>
      <c r="D108" s="51">
        <v>7.5</v>
      </c>
      <c r="E108" s="51">
        <v>7.5</v>
      </c>
      <c r="F108" s="4" t="s">
        <v>73</v>
      </c>
      <c r="G108" s="4" t="s">
        <v>86</v>
      </c>
      <c r="H108" s="48">
        <f>IF(G108&gt;0,VLOOKUP(G108,Apoio!$O$2:$P$24,2,0),"")</f>
        <v>8</v>
      </c>
      <c r="I108" s="44">
        <f t="shared" si="1"/>
        <v>40</v>
      </c>
      <c r="J108" s="36"/>
    </row>
    <row r="109" spans="1:10" hidden="1" x14ac:dyDescent="0.3">
      <c r="A109" s="4" t="s">
        <v>189</v>
      </c>
      <c r="B109" s="4" t="s">
        <v>47</v>
      </c>
      <c r="C109" s="58">
        <v>5</v>
      </c>
      <c r="D109" s="51">
        <v>7.5</v>
      </c>
      <c r="E109" s="51">
        <v>7.5</v>
      </c>
      <c r="F109" s="4" t="s">
        <v>73</v>
      </c>
      <c r="G109" s="4" t="s">
        <v>93</v>
      </c>
      <c r="H109" s="48">
        <f>IF(G109&gt;0,VLOOKUP(G109,Apoio!$O$2:$P$24,2,0),"")</f>
        <v>8</v>
      </c>
      <c r="I109" s="44">
        <f t="shared" si="1"/>
        <v>40</v>
      </c>
      <c r="J109" s="36"/>
    </row>
    <row r="110" spans="1:10" hidden="1" x14ac:dyDescent="0.3">
      <c r="A110" s="4" t="s">
        <v>189</v>
      </c>
      <c r="B110" s="4" t="s">
        <v>47</v>
      </c>
      <c r="C110" s="58">
        <v>6</v>
      </c>
      <c r="D110" s="51">
        <v>7.5</v>
      </c>
      <c r="E110" s="51">
        <v>7.5</v>
      </c>
      <c r="F110" s="4" t="s">
        <v>73</v>
      </c>
      <c r="G110" s="4" t="s">
        <v>98</v>
      </c>
      <c r="H110" s="48">
        <f>IF(G110&gt;0,VLOOKUP(G110,Apoio!$O$2:$P$24,2,0),"")</f>
        <v>7</v>
      </c>
      <c r="I110" s="44">
        <f t="shared" si="1"/>
        <v>42</v>
      </c>
      <c r="J110" s="36"/>
    </row>
    <row r="111" spans="1:10" hidden="1" x14ac:dyDescent="0.3">
      <c r="A111" s="4" t="s">
        <v>189</v>
      </c>
      <c r="B111" s="4" t="s">
        <v>47</v>
      </c>
      <c r="C111" s="58">
        <v>6</v>
      </c>
      <c r="D111" s="51">
        <v>7.5</v>
      </c>
      <c r="E111" s="51">
        <v>7.5</v>
      </c>
      <c r="F111" s="4" t="s">
        <v>73</v>
      </c>
      <c r="G111" s="4" t="s">
        <v>101</v>
      </c>
      <c r="H111" s="48">
        <f>IF(G111&gt;0,VLOOKUP(G111,Apoio!$O$2:$P$24,2,0),"")</f>
        <v>3</v>
      </c>
      <c r="I111" s="44">
        <f t="shared" si="1"/>
        <v>18</v>
      </c>
      <c r="J111" s="10"/>
    </row>
    <row r="112" spans="1:10" hidden="1" x14ac:dyDescent="0.3">
      <c r="A112" s="4" t="s">
        <v>189</v>
      </c>
      <c r="B112" s="4" t="s">
        <v>47</v>
      </c>
      <c r="C112" s="58">
        <v>7</v>
      </c>
      <c r="D112" s="51">
        <v>6.1</v>
      </c>
      <c r="E112" s="51">
        <v>7.5</v>
      </c>
      <c r="F112" s="4" t="s">
        <v>80</v>
      </c>
      <c r="G112" s="4" t="s">
        <v>104</v>
      </c>
      <c r="H112" s="48">
        <f>IF(G112&gt;0,VLOOKUP(G112,Apoio!$O$2:$P$24,2,0),"")</f>
        <v>8</v>
      </c>
      <c r="I112" s="44">
        <f t="shared" si="1"/>
        <v>68.852459016393453</v>
      </c>
      <c r="J112" s="10"/>
    </row>
    <row r="113" spans="1:10" hidden="1" x14ac:dyDescent="0.3">
      <c r="A113" s="4" t="s">
        <v>189</v>
      </c>
      <c r="B113" s="4" t="s">
        <v>47</v>
      </c>
      <c r="C113" s="58">
        <v>7</v>
      </c>
      <c r="D113" s="51">
        <v>6.1</v>
      </c>
      <c r="E113" s="51">
        <v>7.5</v>
      </c>
      <c r="F113" s="4" t="s">
        <v>80</v>
      </c>
      <c r="G113" s="4" t="s">
        <v>107</v>
      </c>
      <c r="H113" s="48">
        <f>IF(G113&gt;0,VLOOKUP(G113,Apoio!$O$2:$P$24,2,0),"")</f>
        <v>7</v>
      </c>
      <c r="I113" s="44">
        <f t="shared" si="1"/>
        <v>60.245901639344268</v>
      </c>
      <c r="J113" s="10"/>
    </row>
    <row r="114" spans="1:10" hidden="1" x14ac:dyDescent="0.3">
      <c r="A114" s="4" t="s">
        <v>189</v>
      </c>
      <c r="B114" s="4" t="s">
        <v>47</v>
      </c>
      <c r="C114" s="58">
        <v>7</v>
      </c>
      <c r="D114" s="51">
        <v>6.1</v>
      </c>
      <c r="E114" s="51">
        <v>7.5</v>
      </c>
      <c r="F114" s="4" t="s">
        <v>80</v>
      </c>
      <c r="G114" s="4" t="s">
        <v>110</v>
      </c>
      <c r="H114" s="48">
        <f>IF(G114&gt;0,VLOOKUP(G114,Apoio!$O$2:$P$24,2,0),"")</f>
        <v>8</v>
      </c>
      <c r="I114" s="44">
        <f t="shared" si="1"/>
        <v>68.852459016393453</v>
      </c>
      <c r="J114" s="10"/>
    </row>
    <row r="115" spans="1:10" hidden="1" x14ac:dyDescent="0.3">
      <c r="A115" s="4" t="s">
        <v>189</v>
      </c>
      <c r="B115" s="4" t="s">
        <v>47</v>
      </c>
      <c r="C115" s="58">
        <v>7</v>
      </c>
      <c r="D115" s="51">
        <v>6.1</v>
      </c>
      <c r="E115" s="51">
        <v>7.5</v>
      </c>
      <c r="F115" s="4" t="s">
        <v>80</v>
      </c>
      <c r="G115" s="4" t="s">
        <v>113</v>
      </c>
      <c r="H115" s="48">
        <f>IF(G115&gt;0,VLOOKUP(G115,Apoio!$O$2:$P$24,2,0),"")</f>
        <v>7</v>
      </c>
      <c r="I115" s="44">
        <f t="shared" si="1"/>
        <v>60.245901639344268</v>
      </c>
      <c r="J115" s="10"/>
    </row>
    <row r="116" spans="1:10" hidden="1" x14ac:dyDescent="0.3">
      <c r="A116" s="4" t="s">
        <v>189</v>
      </c>
      <c r="B116" s="4" t="s">
        <v>47</v>
      </c>
      <c r="C116" s="58">
        <v>7</v>
      </c>
      <c r="D116" s="51">
        <v>6.1</v>
      </c>
      <c r="E116" s="51">
        <v>7.5</v>
      </c>
      <c r="F116" s="4" t="s">
        <v>80</v>
      </c>
      <c r="G116" s="4" t="s">
        <v>116</v>
      </c>
      <c r="H116" s="48">
        <f>IF(G116&gt;0,VLOOKUP(G116,Apoio!$O$2:$P$24,2,0),"")</f>
        <v>4</v>
      </c>
      <c r="I116" s="44">
        <f t="shared" si="1"/>
        <v>34.426229508196727</v>
      </c>
      <c r="J116" s="10"/>
    </row>
    <row r="117" spans="1:10" hidden="1" x14ac:dyDescent="0.3">
      <c r="A117" s="4" t="s">
        <v>189</v>
      </c>
      <c r="B117" s="4" t="s">
        <v>47</v>
      </c>
      <c r="C117" s="58">
        <v>6</v>
      </c>
      <c r="D117" s="51">
        <v>6.7</v>
      </c>
      <c r="E117" s="51">
        <v>7.5</v>
      </c>
      <c r="F117" s="4" t="s">
        <v>87</v>
      </c>
      <c r="G117" s="4" t="s">
        <v>119</v>
      </c>
      <c r="H117" s="48">
        <f>IF(G117&gt;0,VLOOKUP(G117,Apoio!$O$2:$P$24,2,0),"")</f>
        <v>12</v>
      </c>
      <c r="I117" s="44">
        <f t="shared" si="1"/>
        <v>80.597014925373131</v>
      </c>
      <c r="J117" s="10"/>
    </row>
    <row r="118" spans="1:10" hidden="1" x14ac:dyDescent="0.3">
      <c r="A118" s="4" t="s">
        <v>189</v>
      </c>
      <c r="B118" s="4" t="s">
        <v>47</v>
      </c>
      <c r="C118" s="58">
        <v>6.5</v>
      </c>
      <c r="D118" s="51">
        <v>6.7</v>
      </c>
      <c r="E118" s="51">
        <v>7.5</v>
      </c>
      <c r="F118" s="4" t="s">
        <v>87</v>
      </c>
      <c r="G118" s="4" t="s">
        <v>122</v>
      </c>
      <c r="H118" s="48">
        <f>IF(G118&gt;0,VLOOKUP(G118,Apoio!$O$2:$P$24,2,0),"")</f>
        <v>8</v>
      </c>
      <c r="I118" s="44">
        <f t="shared" si="1"/>
        <v>58.208955223880594</v>
      </c>
      <c r="J118" s="10"/>
    </row>
    <row r="119" spans="1:10" hidden="1" x14ac:dyDescent="0.3">
      <c r="A119" s="4" t="s">
        <v>189</v>
      </c>
      <c r="B119" s="4" t="s">
        <v>47</v>
      </c>
      <c r="C119" s="58">
        <v>6</v>
      </c>
      <c r="D119" s="51">
        <v>6.7</v>
      </c>
      <c r="E119" s="51">
        <v>7.5</v>
      </c>
      <c r="F119" s="4" t="s">
        <v>87</v>
      </c>
      <c r="G119" s="4" t="s">
        <v>125</v>
      </c>
      <c r="H119" s="48">
        <f>IF(G119&gt;0,VLOOKUP(G119,Apoio!$O$2:$P$24,2,0),"")</f>
        <v>8</v>
      </c>
      <c r="I119" s="44">
        <f t="shared" si="1"/>
        <v>53.731343283582085</v>
      </c>
      <c r="J119" s="10"/>
    </row>
    <row r="120" spans="1:10" hidden="1" x14ac:dyDescent="0.3">
      <c r="A120" s="4" t="s">
        <v>189</v>
      </c>
      <c r="B120" s="4" t="s">
        <v>47</v>
      </c>
      <c r="C120" s="58">
        <v>7</v>
      </c>
      <c r="D120" s="51">
        <v>6.7</v>
      </c>
      <c r="E120" s="51">
        <v>7.5</v>
      </c>
      <c r="F120" s="4" t="s">
        <v>87</v>
      </c>
      <c r="G120" s="4" t="s">
        <v>128</v>
      </c>
      <c r="H120" s="48">
        <f>IF(G120&gt;0,VLOOKUP(G120,Apoio!$O$2:$P$24,2,0),"")</f>
        <v>8</v>
      </c>
      <c r="I120" s="44">
        <f t="shared" si="1"/>
        <v>62.686567164179102</v>
      </c>
      <c r="J120" s="10"/>
    </row>
    <row r="121" spans="1:10" hidden="1" x14ac:dyDescent="0.3">
      <c r="A121" s="4" t="s">
        <v>189</v>
      </c>
      <c r="B121" s="4" t="s">
        <v>47</v>
      </c>
      <c r="C121" s="58">
        <v>6.5</v>
      </c>
      <c r="D121" s="51">
        <v>6.7</v>
      </c>
      <c r="E121" s="51">
        <v>7.5</v>
      </c>
      <c r="F121" s="4" t="s">
        <v>87</v>
      </c>
      <c r="G121" s="4" t="s">
        <v>131</v>
      </c>
      <c r="H121" s="48">
        <f>IF(G121&gt;0,VLOOKUP(G121,Apoio!$O$2:$P$24,2,0),"")</f>
        <v>8</v>
      </c>
      <c r="I121" s="44">
        <f t="shared" si="1"/>
        <v>58.208955223880594</v>
      </c>
      <c r="J121" s="10"/>
    </row>
    <row r="122" spans="1:10" hidden="1" x14ac:dyDescent="0.3">
      <c r="A122" s="4" t="s">
        <v>189</v>
      </c>
      <c r="B122" s="4" t="s">
        <v>47</v>
      </c>
      <c r="C122" s="58">
        <v>6.5</v>
      </c>
      <c r="D122" s="51">
        <v>6.7</v>
      </c>
      <c r="E122" s="51">
        <v>7.5</v>
      </c>
      <c r="F122" s="4" t="s">
        <v>87</v>
      </c>
      <c r="G122" s="4" t="s">
        <v>134</v>
      </c>
      <c r="H122" s="48">
        <f>IF(G122&gt;0,VLOOKUP(G122,Apoio!$O$2:$P$24,2,0),"")</f>
        <v>3</v>
      </c>
      <c r="I122" s="44">
        <f t="shared" si="1"/>
        <v>21.828358208955223</v>
      </c>
      <c r="J122" s="10"/>
    </row>
    <row r="123" spans="1:10" hidden="1" x14ac:dyDescent="0.3">
      <c r="A123" s="4" t="s">
        <v>189</v>
      </c>
      <c r="B123" s="4" t="s">
        <v>47</v>
      </c>
      <c r="C123" s="58">
        <v>6.4</v>
      </c>
      <c r="D123" s="51">
        <v>6.4</v>
      </c>
      <c r="E123" s="51">
        <v>7.5</v>
      </c>
      <c r="F123" s="4" t="s">
        <v>94</v>
      </c>
      <c r="G123" s="4" t="s">
        <v>137</v>
      </c>
      <c r="H123" s="48">
        <f>IF(G123&gt;0,VLOOKUP(G123,Apoio!$O$2:$P$24,2,0),"")</f>
        <v>13</v>
      </c>
      <c r="I123" s="44">
        <f t="shared" si="1"/>
        <v>97.5</v>
      </c>
      <c r="J123" s="10"/>
    </row>
    <row r="124" spans="1:10" hidden="1" x14ac:dyDescent="0.3">
      <c r="A124" s="4" t="s">
        <v>189</v>
      </c>
      <c r="B124" s="4" t="s">
        <v>47</v>
      </c>
      <c r="C124" s="58">
        <v>7</v>
      </c>
      <c r="D124" s="51">
        <v>6.4</v>
      </c>
      <c r="E124" s="51">
        <v>7.5</v>
      </c>
      <c r="F124" s="4" t="s">
        <v>94</v>
      </c>
      <c r="G124" s="4" t="s">
        <v>140</v>
      </c>
      <c r="H124" s="48">
        <f>IF(G124&gt;0,VLOOKUP(G124,Apoio!$O$2:$P$24,2,0),"")</f>
        <v>8</v>
      </c>
      <c r="I124" s="44">
        <f t="shared" si="1"/>
        <v>65.625</v>
      </c>
      <c r="J124" s="10"/>
    </row>
    <row r="125" spans="1:10" hidden="1" x14ac:dyDescent="0.3">
      <c r="A125" s="4" t="s">
        <v>189</v>
      </c>
      <c r="B125" s="4" t="s">
        <v>47</v>
      </c>
      <c r="C125" s="58">
        <v>7</v>
      </c>
      <c r="D125" s="51">
        <v>6.4</v>
      </c>
      <c r="E125" s="51">
        <v>7.5</v>
      </c>
      <c r="F125" s="4" t="s">
        <v>94</v>
      </c>
      <c r="G125" s="4" t="s">
        <v>143</v>
      </c>
      <c r="H125" s="48">
        <f>IF(G125&gt;0,VLOOKUP(G125,Apoio!$O$2:$P$24,2,0),"")</f>
        <v>8</v>
      </c>
      <c r="I125" s="44">
        <f t="shared" si="1"/>
        <v>65.625</v>
      </c>
      <c r="J125" s="10"/>
    </row>
    <row r="126" spans="1:10" hidden="1" x14ac:dyDescent="0.3">
      <c r="A126" s="4" t="s">
        <v>189</v>
      </c>
      <c r="B126" s="4" t="s">
        <v>47</v>
      </c>
      <c r="C126" s="58">
        <v>6.4</v>
      </c>
      <c r="D126" s="51">
        <v>6.4</v>
      </c>
      <c r="E126" s="51">
        <v>7.5</v>
      </c>
      <c r="F126" s="4" t="s">
        <v>94</v>
      </c>
      <c r="G126" s="4" t="s">
        <v>146</v>
      </c>
      <c r="H126" s="48">
        <f>IF(G126&gt;0,VLOOKUP(G126,Apoio!$O$2:$P$24,2,0),"")</f>
        <v>6</v>
      </c>
      <c r="I126" s="44">
        <f t="shared" si="1"/>
        <v>45</v>
      </c>
      <c r="J126" s="10"/>
    </row>
    <row r="127" spans="1:10" hidden="1" x14ac:dyDescent="0.3">
      <c r="A127" s="4" t="s">
        <v>189</v>
      </c>
      <c r="B127" s="4" t="s">
        <v>47</v>
      </c>
      <c r="C127" s="58">
        <v>6.4</v>
      </c>
      <c r="D127" s="51">
        <v>6.4</v>
      </c>
      <c r="E127" s="51">
        <v>7.5</v>
      </c>
      <c r="F127" s="4" t="s">
        <v>94</v>
      </c>
      <c r="G127" s="4" t="s">
        <v>149</v>
      </c>
      <c r="H127" s="48">
        <f>IF(G127&gt;0,VLOOKUP(G127,Apoio!$O$2:$P$24,2,0),"")</f>
        <v>8</v>
      </c>
      <c r="I127" s="44">
        <f t="shared" si="1"/>
        <v>60</v>
      </c>
      <c r="J127" s="10"/>
    </row>
    <row r="128" spans="1:10" hidden="1" x14ac:dyDescent="0.3">
      <c r="A128" s="4" t="s">
        <v>189</v>
      </c>
      <c r="B128" s="4" t="s">
        <v>47</v>
      </c>
      <c r="C128" s="58">
        <v>7</v>
      </c>
      <c r="D128" s="51">
        <v>6.4</v>
      </c>
      <c r="E128" s="51">
        <v>7.5</v>
      </c>
      <c r="F128" s="4" t="s">
        <v>94</v>
      </c>
      <c r="G128" s="4" t="s">
        <v>152</v>
      </c>
      <c r="H128" s="48">
        <f>IF(G128&gt;0,VLOOKUP(G128,Apoio!$O$2:$P$24,2,0),"")</f>
        <v>8</v>
      </c>
      <c r="I128" s="44">
        <f t="shared" si="1"/>
        <v>65.625</v>
      </c>
      <c r="J128" s="10"/>
    </row>
    <row r="129" spans="1:10" hidden="1" x14ac:dyDescent="0.3">
      <c r="A129" s="4" t="s">
        <v>189</v>
      </c>
      <c r="B129" s="4" t="s">
        <v>48</v>
      </c>
      <c r="C129" s="58">
        <v>8</v>
      </c>
      <c r="D129" s="51">
        <v>7.5</v>
      </c>
      <c r="E129" s="51">
        <v>7.5</v>
      </c>
      <c r="F129" s="4" t="s">
        <v>73</v>
      </c>
      <c r="G129" s="4" t="s">
        <v>72</v>
      </c>
      <c r="H129" s="48">
        <f>IF(G129&gt;0,VLOOKUP(G129,Apoio!$O$2:$P$24,2,0),"")</f>
        <v>8</v>
      </c>
      <c r="I129" s="44">
        <f t="shared" si="1"/>
        <v>64</v>
      </c>
      <c r="J129" s="10"/>
    </row>
    <row r="130" spans="1:10" hidden="1" x14ac:dyDescent="0.3">
      <c r="A130" s="4" t="s">
        <v>189</v>
      </c>
      <c r="B130" s="4" t="s">
        <v>48</v>
      </c>
      <c r="C130" s="58">
        <v>8</v>
      </c>
      <c r="D130" s="51">
        <v>7.5</v>
      </c>
      <c r="E130" s="51">
        <v>7.5</v>
      </c>
      <c r="F130" s="4" t="s">
        <v>73</v>
      </c>
      <c r="G130" s="4" t="s">
        <v>79</v>
      </c>
      <c r="H130" s="48">
        <f>IF(G130&gt;0,VLOOKUP(G130,Apoio!$O$2:$P$24,2,0),"")</f>
        <v>6</v>
      </c>
      <c r="I130" s="44">
        <f t="shared" ref="I130:I193" si="2">IF(D130&gt;0,(((H130*E130)*C130)/D130),"")</f>
        <v>48</v>
      </c>
      <c r="J130" s="10"/>
    </row>
    <row r="131" spans="1:10" hidden="1" x14ac:dyDescent="0.3">
      <c r="A131" s="4" t="s">
        <v>189</v>
      </c>
      <c r="B131" s="4" t="s">
        <v>48</v>
      </c>
      <c r="C131" s="58">
        <v>8</v>
      </c>
      <c r="D131" s="51">
        <v>7.5</v>
      </c>
      <c r="E131" s="51">
        <v>7.5</v>
      </c>
      <c r="F131" s="4" t="s">
        <v>73</v>
      </c>
      <c r="G131" s="4" t="s">
        <v>86</v>
      </c>
      <c r="H131" s="48">
        <f>IF(G131&gt;0,VLOOKUP(G131,Apoio!$O$2:$P$24,2,0),"")</f>
        <v>8</v>
      </c>
      <c r="I131" s="44">
        <f t="shared" si="2"/>
        <v>64</v>
      </c>
      <c r="J131" s="10"/>
    </row>
    <row r="132" spans="1:10" hidden="1" x14ac:dyDescent="0.3">
      <c r="A132" s="4" t="s">
        <v>189</v>
      </c>
      <c r="B132" s="4" t="s">
        <v>48</v>
      </c>
      <c r="C132" s="58">
        <v>8</v>
      </c>
      <c r="D132" s="51">
        <v>7.5</v>
      </c>
      <c r="E132" s="51">
        <v>7.5</v>
      </c>
      <c r="F132" s="4" t="s">
        <v>73</v>
      </c>
      <c r="G132" s="4" t="s">
        <v>93</v>
      </c>
      <c r="H132" s="48">
        <f>IF(G132&gt;0,VLOOKUP(G132,Apoio!$O$2:$P$24,2,0),"")</f>
        <v>8</v>
      </c>
      <c r="I132" s="44">
        <f t="shared" si="2"/>
        <v>64</v>
      </c>
      <c r="J132" s="10"/>
    </row>
    <row r="133" spans="1:10" hidden="1" x14ac:dyDescent="0.3">
      <c r="A133" s="4" t="s">
        <v>189</v>
      </c>
      <c r="B133" s="4" t="s">
        <v>48</v>
      </c>
      <c r="C133" s="58">
        <v>8</v>
      </c>
      <c r="D133" s="51">
        <v>7.5</v>
      </c>
      <c r="E133" s="51">
        <v>7.5</v>
      </c>
      <c r="F133" s="4" t="s">
        <v>73</v>
      </c>
      <c r="G133" s="4" t="s">
        <v>98</v>
      </c>
      <c r="H133" s="48">
        <f>IF(G133&gt;0,VLOOKUP(G133,Apoio!$O$2:$P$24,2,0),"")</f>
        <v>7</v>
      </c>
      <c r="I133" s="44">
        <f t="shared" si="2"/>
        <v>56</v>
      </c>
      <c r="J133" s="10"/>
    </row>
    <row r="134" spans="1:10" hidden="1" x14ac:dyDescent="0.3">
      <c r="A134" s="4" t="s">
        <v>189</v>
      </c>
      <c r="B134" s="4" t="s">
        <v>48</v>
      </c>
      <c r="C134" s="58">
        <v>8</v>
      </c>
      <c r="D134" s="51">
        <v>7.5</v>
      </c>
      <c r="E134" s="51">
        <v>7.5</v>
      </c>
      <c r="F134" s="4" t="s">
        <v>73</v>
      </c>
      <c r="G134" s="4" t="s">
        <v>101</v>
      </c>
      <c r="H134" s="48">
        <f>IF(G134&gt;0,VLOOKUP(G134,Apoio!$O$2:$P$24,2,0),"")</f>
        <v>3</v>
      </c>
      <c r="I134" s="44">
        <f t="shared" si="2"/>
        <v>24</v>
      </c>
      <c r="J134" s="10"/>
    </row>
    <row r="135" spans="1:10" hidden="1" x14ac:dyDescent="0.3">
      <c r="A135" s="4" t="s">
        <v>189</v>
      </c>
      <c r="B135" s="4" t="s">
        <v>48</v>
      </c>
      <c r="C135" s="58">
        <v>5</v>
      </c>
      <c r="D135" s="51">
        <v>7.5</v>
      </c>
      <c r="E135" s="51">
        <v>7.5</v>
      </c>
      <c r="F135" s="4" t="s">
        <v>80</v>
      </c>
      <c r="G135" s="4" t="s">
        <v>104</v>
      </c>
      <c r="H135" s="48">
        <f>IF(G135&gt;0,VLOOKUP(G135,Apoio!$O$2:$P$24,2,0),"")</f>
        <v>8</v>
      </c>
      <c r="I135" s="44">
        <f t="shared" si="2"/>
        <v>40</v>
      </c>
      <c r="J135" s="10"/>
    </row>
    <row r="136" spans="1:10" hidden="1" x14ac:dyDescent="0.3">
      <c r="A136" s="4" t="s">
        <v>189</v>
      </c>
      <c r="B136" s="4" t="s">
        <v>48</v>
      </c>
      <c r="C136" s="58">
        <v>5</v>
      </c>
      <c r="D136" s="51">
        <v>7.5</v>
      </c>
      <c r="E136" s="51">
        <v>7.5</v>
      </c>
      <c r="F136" s="4" t="s">
        <v>80</v>
      </c>
      <c r="G136" s="4" t="s">
        <v>107</v>
      </c>
      <c r="H136" s="48">
        <f>IF(G136&gt;0,VLOOKUP(G136,Apoio!$O$2:$P$24,2,0),"")</f>
        <v>7</v>
      </c>
      <c r="I136" s="44">
        <f t="shared" si="2"/>
        <v>35</v>
      </c>
      <c r="J136" s="10"/>
    </row>
    <row r="137" spans="1:10" hidden="1" x14ac:dyDescent="0.3">
      <c r="A137" s="4" t="s">
        <v>189</v>
      </c>
      <c r="B137" s="4" t="s">
        <v>48</v>
      </c>
      <c r="C137" s="58">
        <v>5</v>
      </c>
      <c r="D137" s="51">
        <v>7.5</v>
      </c>
      <c r="E137" s="51">
        <v>7.5</v>
      </c>
      <c r="F137" s="4" t="s">
        <v>80</v>
      </c>
      <c r="G137" s="4" t="s">
        <v>110</v>
      </c>
      <c r="H137" s="48">
        <f>IF(G137&gt;0,VLOOKUP(G137,Apoio!$O$2:$P$24,2,0),"")</f>
        <v>8</v>
      </c>
      <c r="I137" s="44">
        <f t="shared" si="2"/>
        <v>40</v>
      </c>
      <c r="J137" s="10"/>
    </row>
    <row r="138" spans="1:10" hidden="1" x14ac:dyDescent="0.3">
      <c r="A138" s="4" t="s">
        <v>189</v>
      </c>
      <c r="B138" s="4" t="s">
        <v>48</v>
      </c>
      <c r="C138" s="58">
        <v>5</v>
      </c>
      <c r="D138" s="51">
        <v>7.5</v>
      </c>
      <c r="E138" s="51">
        <v>7.5</v>
      </c>
      <c r="F138" s="4" t="s">
        <v>80</v>
      </c>
      <c r="G138" s="4" t="s">
        <v>113</v>
      </c>
      <c r="H138" s="48">
        <f>IF(G138&gt;0,VLOOKUP(G138,Apoio!$O$2:$P$24,2,0),"")</f>
        <v>7</v>
      </c>
      <c r="I138" s="44">
        <f t="shared" si="2"/>
        <v>35</v>
      </c>
      <c r="J138" s="10"/>
    </row>
    <row r="139" spans="1:10" hidden="1" x14ac:dyDescent="0.3">
      <c r="A139" s="4" t="s">
        <v>189</v>
      </c>
      <c r="B139" s="4" t="s">
        <v>48</v>
      </c>
      <c r="C139" s="58">
        <v>5</v>
      </c>
      <c r="D139" s="51">
        <v>7.5</v>
      </c>
      <c r="E139" s="51">
        <v>7.5</v>
      </c>
      <c r="F139" s="4" t="s">
        <v>80</v>
      </c>
      <c r="G139" s="4" t="s">
        <v>116</v>
      </c>
      <c r="H139" s="48">
        <f>IF(G139&gt;0,VLOOKUP(G139,Apoio!$O$2:$P$24,2,0),"")</f>
        <v>4</v>
      </c>
      <c r="I139" s="44">
        <f t="shared" si="2"/>
        <v>20</v>
      </c>
      <c r="J139" s="10"/>
    </row>
    <row r="140" spans="1:10" hidden="1" x14ac:dyDescent="0.3">
      <c r="A140" s="4" t="s">
        <v>189</v>
      </c>
      <c r="B140" s="4" t="s">
        <v>48</v>
      </c>
      <c r="C140" s="58">
        <v>7</v>
      </c>
      <c r="D140" s="51">
        <v>7.4</v>
      </c>
      <c r="E140" s="51">
        <v>7.5</v>
      </c>
      <c r="F140" s="4" t="s">
        <v>87</v>
      </c>
      <c r="G140" s="4" t="s">
        <v>119</v>
      </c>
      <c r="H140" s="48">
        <f>IF(G140&gt;0,VLOOKUP(G140,Apoio!$O$2:$P$24,2,0),"")</f>
        <v>12</v>
      </c>
      <c r="I140" s="44">
        <f t="shared" si="2"/>
        <v>85.13513513513513</v>
      </c>
      <c r="J140" s="10"/>
    </row>
    <row r="141" spans="1:10" hidden="1" x14ac:dyDescent="0.3">
      <c r="A141" s="4" t="s">
        <v>189</v>
      </c>
      <c r="B141" s="4" t="s">
        <v>48</v>
      </c>
      <c r="C141" s="58">
        <v>7</v>
      </c>
      <c r="D141" s="51">
        <v>7.4</v>
      </c>
      <c r="E141" s="51">
        <v>7.5</v>
      </c>
      <c r="F141" s="4" t="s">
        <v>87</v>
      </c>
      <c r="G141" s="4" t="s">
        <v>122</v>
      </c>
      <c r="H141" s="48">
        <f>IF(G141&gt;0,VLOOKUP(G141,Apoio!$O$2:$P$24,2,0),"")</f>
        <v>8</v>
      </c>
      <c r="I141" s="44">
        <f t="shared" si="2"/>
        <v>56.756756756756751</v>
      </c>
      <c r="J141" s="10"/>
    </row>
    <row r="142" spans="1:10" hidden="1" x14ac:dyDescent="0.3">
      <c r="A142" s="4" t="s">
        <v>189</v>
      </c>
      <c r="B142" s="4" t="s">
        <v>48</v>
      </c>
      <c r="C142" s="58">
        <v>7.5</v>
      </c>
      <c r="D142" s="51">
        <v>7.4</v>
      </c>
      <c r="E142" s="51">
        <v>7.5</v>
      </c>
      <c r="F142" s="4" t="s">
        <v>87</v>
      </c>
      <c r="G142" s="4" t="s">
        <v>125</v>
      </c>
      <c r="H142" s="48">
        <f>IF(G142&gt;0,VLOOKUP(G142,Apoio!$O$2:$P$24,2,0),"")</f>
        <v>8</v>
      </c>
      <c r="I142" s="44">
        <f t="shared" si="2"/>
        <v>60.810810810810807</v>
      </c>
      <c r="J142" s="10"/>
    </row>
    <row r="143" spans="1:10" hidden="1" x14ac:dyDescent="0.3">
      <c r="A143" s="4" t="s">
        <v>189</v>
      </c>
      <c r="B143" s="4" t="s">
        <v>48</v>
      </c>
      <c r="C143" s="58">
        <v>7.5</v>
      </c>
      <c r="D143" s="51">
        <v>7.4</v>
      </c>
      <c r="E143" s="51">
        <v>7.5</v>
      </c>
      <c r="F143" s="4" t="s">
        <v>87</v>
      </c>
      <c r="G143" s="4" t="s">
        <v>128</v>
      </c>
      <c r="H143" s="48">
        <f>IF(G143&gt;0,VLOOKUP(G143,Apoio!$O$2:$P$24,2,0),"")</f>
        <v>8</v>
      </c>
      <c r="I143" s="44">
        <f t="shared" si="2"/>
        <v>60.810810810810807</v>
      </c>
      <c r="J143" s="10"/>
    </row>
    <row r="144" spans="1:10" hidden="1" x14ac:dyDescent="0.3">
      <c r="A144" s="4" t="s">
        <v>189</v>
      </c>
      <c r="B144" s="4" t="s">
        <v>48</v>
      </c>
      <c r="C144" s="58">
        <v>8</v>
      </c>
      <c r="D144" s="51">
        <v>7.4</v>
      </c>
      <c r="E144" s="51">
        <v>7.5</v>
      </c>
      <c r="F144" s="4" t="s">
        <v>87</v>
      </c>
      <c r="G144" s="4" t="s">
        <v>131</v>
      </c>
      <c r="H144" s="48">
        <f>IF(G144&gt;0,VLOOKUP(G144,Apoio!$O$2:$P$24,2,0),"")</f>
        <v>8</v>
      </c>
      <c r="I144" s="44">
        <f t="shared" si="2"/>
        <v>64.864864864864856</v>
      </c>
      <c r="J144" s="10"/>
    </row>
    <row r="145" spans="1:10" hidden="1" x14ac:dyDescent="0.3">
      <c r="A145" s="4" t="s">
        <v>189</v>
      </c>
      <c r="B145" s="4" t="s">
        <v>48</v>
      </c>
      <c r="C145" s="58">
        <v>8</v>
      </c>
      <c r="D145" s="51">
        <v>7.4</v>
      </c>
      <c r="E145" s="51">
        <v>7.5</v>
      </c>
      <c r="F145" s="4" t="s">
        <v>87</v>
      </c>
      <c r="G145" s="4" t="s">
        <v>134</v>
      </c>
      <c r="H145" s="48">
        <f>IF(G145&gt;0,VLOOKUP(G145,Apoio!$O$2:$P$24,2,0),"")</f>
        <v>3</v>
      </c>
      <c r="I145" s="44">
        <f t="shared" si="2"/>
        <v>24.324324324324323</v>
      </c>
      <c r="J145" s="10"/>
    </row>
    <row r="146" spans="1:10" hidden="1" x14ac:dyDescent="0.3">
      <c r="A146" s="4" t="s">
        <v>189</v>
      </c>
      <c r="B146" s="4" t="s">
        <v>48</v>
      </c>
      <c r="C146" s="58">
        <v>4.3</v>
      </c>
      <c r="D146" s="51">
        <v>6.7</v>
      </c>
      <c r="E146" s="51">
        <v>7.5</v>
      </c>
      <c r="F146" s="4" t="s">
        <v>94</v>
      </c>
      <c r="G146" s="4" t="s">
        <v>137</v>
      </c>
      <c r="H146" s="48">
        <f>IF(G146&gt;0,VLOOKUP(G146,Apoio!$O$2:$P$24,2,0),"")</f>
        <v>13</v>
      </c>
      <c r="I146" s="44">
        <f t="shared" si="2"/>
        <v>62.57462686567164</v>
      </c>
      <c r="J146" s="10"/>
    </row>
    <row r="147" spans="1:10" hidden="1" x14ac:dyDescent="0.3">
      <c r="A147" s="4" t="s">
        <v>189</v>
      </c>
      <c r="B147" s="4" t="s">
        <v>48</v>
      </c>
      <c r="C147" s="58">
        <v>4.4000000000000004</v>
      </c>
      <c r="D147" s="51">
        <v>6.7</v>
      </c>
      <c r="E147" s="51">
        <v>7.5</v>
      </c>
      <c r="F147" s="4" t="s">
        <v>94</v>
      </c>
      <c r="G147" s="4" t="s">
        <v>140</v>
      </c>
      <c r="H147" s="48">
        <f>IF(G147&gt;0,VLOOKUP(G147,Apoio!$O$2:$P$24,2,0),"")</f>
        <v>8</v>
      </c>
      <c r="I147" s="44">
        <f t="shared" si="2"/>
        <v>39.402985074626862</v>
      </c>
      <c r="J147" s="10"/>
    </row>
    <row r="148" spans="1:10" hidden="1" x14ac:dyDescent="0.3">
      <c r="A148" s="4" t="s">
        <v>189</v>
      </c>
      <c r="B148" s="4" t="s">
        <v>48</v>
      </c>
      <c r="C148" s="58">
        <v>5</v>
      </c>
      <c r="D148" s="51">
        <v>6.7</v>
      </c>
      <c r="E148" s="51">
        <v>7.5</v>
      </c>
      <c r="F148" s="4" t="s">
        <v>94</v>
      </c>
      <c r="G148" s="4" t="s">
        <v>143</v>
      </c>
      <c r="H148" s="48">
        <f>IF(G148&gt;0,VLOOKUP(G148,Apoio!$O$2:$P$24,2,0),"")</f>
        <v>8</v>
      </c>
      <c r="I148" s="44">
        <f t="shared" si="2"/>
        <v>44.776119402985074</v>
      </c>
      <c r="J148" s="10"/>
    </row>
    <row r="149" spans="1:10" hidden="1" x14ac:dyDescent="0.3">
      <c r="A149" s="4" t="s">
        <v>189</v>
      </c>
      <c r="B149" s="4" t="s">
        <v>48</v>
      </c>
      <c r="C149" s="58">
        <v>4.5</v>
      </c>
      <c r="D149" s="51">
        <v>6.7</v>
      </c>
      <c r="E149" s="51">
        <v>7.5</v>
      </c>
      <c r="F149" s="4" t="s">
        <v>94</v>
      </c>
      <c r="G149" s="4" t="s">
        <v>146</v>
      </c>
      <c r="H149" s="48">
        <f>IF(G149&gt;0,VLOOKUP(G149,Apoio!$O$2:$P$24,2,0),"")</f>
        <v>6</v>
      </c>
      <c r="I149" s="44">
        <f t="shared" si="2"/>
        <v>30.223880597014926</v>
      </c>
      <c r="J149" s="10"/>
    </row>
    <row r="150" spans="1:10" hidden="1" x14ac:dyDescent="0.3">
      <c r="A150" s="4" t="s">
        <v>189</v>
      </c>
      <c r="B150" s="4" t="s">
        <v>48</v>
      </c>
      <c r="C150" s="58">
        <v>4.5</v>
      </c>
      <c r="D150" s="51">
        <v>6.7</v>
      </c>
      <c r="E150" s="51">
        <v>7.5</v>
      </c>
      <c r="F150" s="4" t="s">
        <v>94</v>
      </c>
      <c r="G150" s="4" t="s">
        <v>149</v>
      </c>
      <c r="H150" s="48">
        <f>IF(G150&gt;0,VLOOKUP(G150,Apoio!$O$2:$P$24,2,0),"")</f>
        <v>8</v>
      </c>
      <c r="I150" s="44">
        <f t="shared" si="2"/>
        <v>40.298507462686565</v>
      </c>
      <c r="J150" s="10"/>
    </row>
    <row r="151" spans="1:10" hidden="1" x14ac:dyDescent="0.3">
      <c r="A151" s="4" t="s">
        <v>189</v>
      </c>
      <c r="B151" s="4" t="s">
        <v>48</v>
      </c>
      <c r="C151" s="58">
        <v>5</v>
      </c>
      <c r="D151" s="51">
        <v>6.7</v>
      </c>
      <c r="E151" s="51">
        <v>7.5</v>
      </c>
      <c r="F151" s="4" t="s">
        <v>94</v>
      </c>
      <c r="G151" s="4" t="s">
        <v>152</v>
      </c>
      <c r="H151" s="48">
        <f>IF(G151&gt;0,VLOOKUP(G151,Apoio!$O$2:$P$24,2,0),"")</f>
        <v>8</v>
      </c>
      <c r="I151" s="44">
        <f t="shared" si="2"/>
        <v>44.776119402985074</v>
      </c>
      <c r="J151" s="10"/>
    </row>
    <row r="152" spans="1:10" hidden="1" x14ac:dyDescent="0.3">
      <c r="A152" s="59" t="s">
        <v>2</v>
      </c>
      <c r="B152" s="58" t="s">
        <v>3</v>
      </c>
      <c r="C152" s="58">
        <v>7</v>
      </c>
      <c r="D152" s="58">
        <v>11</v>
      </c>
      <c r="E152" s="58">
        <v>7.5</v>
      </c>
      <c r="F152" s="58" t="s">
        <v>73</v>
      </c>
      <c r="G152" s="58" t="s">
        <v>72</v>
      </c>
      <c r="H152" s="48">
        <v>7</v>
      </c>
      <c r="I152" s="44">
        <f t="shared" si="2"/>
        <v>33.409090909090907</v>
      </c>
      <c r="J152" s="10"/>
    </row>
    <row r="153" spans="1:10" hidden="1" x14ac:dyDescent="0.3">
      <c r="A153" s="59" t="s">
        <v>2</v>
      </c>
      <c r="B153" s="58" t="s">
        <v>3</v>
      </c>
      <c r="C153" s="58">
        <v>7.5</v>
      </c>
      <c r="D153" s="58">
        <v>11</v>
      </c>
      <c r="E153" s="58">
        <v>7.5</v>
      </c>
      <c r="F153" s="58" t="s">
        <v>73</v>
      </c>
      <c r="G153" s="58" t="s">
        <v>79</v>
      </c>
      <c r="H153" s="48">
        <v>6</v>
      </c>
      <c r="I153" s="44">
        <f t="shared" si="2"/>
        <v>30.681818181818183</v>
      </c>
      <c r="J153" s="10"/>
    </row>
    <row r="154" spans="1:10" hidden="1" x14ac:dyDescent="0.3">
      <c r="A154" s="59" t="s">
        <v>2</v>
      </c>
      <c r="B154" s="58" t="s">
        <v>3</v>
      </c>
      <c r="C154" s="58">
        <v>8</v>
      </c>
      <c r="D154" s="58">
        <v>11</v>
      </c>
      <c r="E154" s="58">
        <v>7.5</v>
      </c>
      <c r="F154" s="58" t="s">
        <v>73</v>
      </c>
      <c r="G154" s="58" t="s">
        <v>86</v>
      </c>
      <c r="H154" s="48">
        <v>8</v>
      </c>
      <c r="I154" s="44">
        <f t="shared" si="2"/>
        <v>43.636363636363633</v>
      </c>
      <c r="J154" s="10"/>
    </row>
    <row r="155" spans="1:10" hidden="1" x14ac:dyDescent="0.3">
      <c r="A155" s="59" t="s">
        <v>2</v>
      </c>
      <c r="B155" s="58" t="s">
        <v>3</v>
      </c>
      <c r="C155" s="58">
        <v>7</v>
      </c>
      <c r="D155" s="58">
        <v>11</v>
      </c>
      <c r="E155" s="58">
        <v>7.5</v>
      </c>
      <c r="F155" s="58" t="s">
        <v>73</v>
      </c>
      <c r="G155" s="58" t="s">
        <v>93</v>
      </c>
      <c r="H155" s="48">
        <v>8</v>
      </c>
      <c r="I155" s="44">
        <f t="shared" si="2"/>
        <v>38.18181818181818</v>
      </c>
      <c r="J155" s="10"/>
    </row>
    <row r="156" spans="1:10" hidden="1" x14ac:dyDescent="0.3">
      <c r="A156" s="59" t="s">
        <v>2</v>
      </c>
      <c r="B156" s="58" t="s">
        <v>3</v>
      </c>
      <c r="C156" s="58">
        <v>7</v>
      </c>
      <c r="D156" s="58">
        <v>11</v>
      </c>
      <c r="E156" s="58">
        <v>7.5</v>
      </c>
      <c r="F156" s="58" t="s">
        <v>73</v>
      </c>
      <c r="G156" s="58" t="s">
        <v>98</v>
      </c>
      <c r="H156" s="48">
        <v>7</v>
      </c>
      <c r="I156" s="44">
        <f t="shared" si="2"/>
        <v>33.409090909090907</v>
      </c>
      <c r="J156" s="10"/>
    </row>
    <row r="157" spans="1:10" hidden="1" x14ac:dyDescent="0.3">
      <c r="A157" s="59" t="s">
        <v>2</v>
      </c>
      <c r="B157" s="58" t="s">
        <v>3</v>
      </c>
      <c r="C157" s="58">
        <v>7</v>
      </c>
      <c r="D157" s="58">
        <v>11</v>
      </c>
      <c r="E157" s="58">
        <v>7.5</v>
      </c>
      <c r="F157" s="58" t="s">
        <v>73</v>
      </c>
      <c r="G157" s="58" t="s">
        <v>101</v>
      </c>
      <c r="H157" s="48">
        <v>3</v>
      </c>
      <c r="I157" s="44">
        <f t="shared" si="2"/>
        <v>14.318181818181818</v>
      </c>
      <c r="J157" s="10"/>
    </row>
    <row r="158" spans="1:10" hidden="1" x14ac:dyDescent="0.3">
      <c r="A158" s="59" t="s">
        <v>2</v>
      </c>
      <c r="B158" s="58" t="s">
        <v>3</v>
      </c>
      <c r="C158" s="58">
        <v>6</v>
      </c>
      <c r="D158" s="58">
        <v>7</v>
      </c>
      <c r="E158" s="58">
        <v>7.5</v>
      </c>
      <c r="F158" s="58" t="s">
        <v>80</v>
      </c>
      <c r="G158" s="58" t="s">
        <v>104</v>
      </c>
      <c r="H158" s="48">
        <v>8</v>
      </c>
      <c r="I158" s="44">
        <f t="shared" si="2"/>
        <v>51.428571428571431</v>
      </c>
      <c r="J158" s="10"/>
    </row>
    <row r="159" spans="1:10" hidden="1" x14ac:dyDescent="0.3">
      <c r="A159" s="59" t="s">
        <v>2</v>
      </c>
      <c r="B159" s="58" t="s">
        <v>3</v>
      </c>
      <c r="C159" s="58">
        <v>6</v>
      </c>
      <c r="D159" s="58">
        <v>7</v>
      </c>
      <c r="E159" s="58">
        <v>7.5</v>
      </c>
      <c r="F159" s="58" t="s">
        <v>80</v>
      </c>
      <c r="G159" s="58" t="s">
        <v>104</v>
      </c>
      <c r="H159" s="48">
        <v>8</v>
      </c>
      <c r="I159" s="44">
        <f t="shared" si="2"/>
        <v>51.428571428571431</v>
      </c>
      <c r="J159" s="10"/>
    </row>
    <row r="160" spans="1:10" hidden="1" x14ac:dyDescent="0.3">
      <c r="A160" s="59" t="s">
        <v>2</v>
      </c>
      <c r="B160" s="58" t="s">
        <v>3</v>
      </c>
      <c r="C160" s="58">
        <v>6</v>
      </c>
      <c r="D160" s="58">
        <v>7</v>
      </c>
      <c r="E160" s="58">
        <v>7.5</v>
      </c>
      <c r="F160" s="58" t="s">
        <v>80</v>
      </c>
      <c r="G160" s="58" t="s">
        <v>107</v>
      </c>
      <c r="H160" s="48">
        <v>7</v>
      </c>
      <c r="I160" s="44">
        <f t="shared" si="2"/>
        <v>45</v>
      </c>
      <c r="J160" s="10"/>
    </row>
    <row r="161" spans="1:10" hidden="1" x14ac:dyDescent="0.3">
      <c r="A161" s="59" t="s">
        <v>2</v>
      </c>
      <c r="B161" s="58" t="s">
        <v>3</v>
      </c>
      <c r="C161" s="58">
        <v>6</v>
      </c>
      <c r="D161" s="58">
        <v>7</v>
      </c>
      <c r="E161" s="58">
        <v>7.5</v>
      </c>
      <c r="F161" s="58" t="s">
        <v>80</v>
      </c>
      <c r="G161" s="58" t="s">
        <v>107</v>
      </c>
      <c r="H161" s="48">
        <v>7</v>
      </c>
      <c r="I161" s="44">
        <f t="shared" si="2"/>
        <v>45</v>
      </c>
      <c r="J161" s="10"/>
    </row>
    <row r="162" spans="1:10" hidden="1" x14ac:dyDescent="0.3">
      <c r="A162" s="59" t="s">
        <v>2</v>
      </c>
      <c r="B162" s="58" t="s">
        <v>3</v>
      </c>
      <c r="C162" s="58">
        <v>6</v>
      </c>
      <c r="D162" s="58">
        <v>7</v>
      </c>
      <c r="E162" s="58">
        <v>7.5</v>
      </c>
      <c r="F162" s="58" t="s">
        <v>80</v>
      </c>
      <c r="G162" s="58" t="s">
        <v>110</v>
      </c>
      <c r="H162" s="48">
        <v>8</v>
      </c>
      <c r="I162" s="44">
        <f t="shared" si="2"/>
        <v>51.428571428571431</v>
      </c>
      <c r="J162" s="10"/>
    </row>
    <row r="163" spans="1:10" hidden="1" x14ac:dyDescent="0.3">
      <c r="A163" s="59" t="s">
        <v>2</v>
      </c>
      <c r="B163" s="58" t="s">
        <v>3</v>
      </c>
      <c r="C163" s="58">
        <v>6</v>
      </c>
      <c r="D163" s="58">
        <v>7</v>
      </c>
      <c r="E163" s="58">
        <v>7.5</v>
      </c>
      <c r="F163" s="58" t="s">
        <v>80</v>
      </c>
      <c r="G163" s="58" t="s">
        <v>110</v>
      </c>
      <c r="H163" s="48">
        <v>8</v>
      </c>
      <c r="I163" s="44">
        <f t="shared" si="2"/>
        <v>51.428571428571431</v>
      </c>
      <c r="J163" s="10"/>
    </row>
    <row r="164" spans="1:10" hidden="1" x14ac:dyDescent="0.3">
      <c r="A164" s="59" t="s">
        <v>2</v>
      </c>
      <c r="B164" s="58" t="s">
        <v>3</v>
      </c>
      <c r="C164" s="58">
        <v>6</v>
      </c>
      <c r="D164" s="58">
        <v>7</v>
      </c>
      <c r="E164" s="58">
        <v>7.5</v>
      </c>
      <c r="F164" s="58" t="s">
        <v>80</v>
      </c>
      <c r="G164" s="58" t="s">
        <v>113</v>
      </c>
      <c r="H164" s="48">
        <v>7</v>
      </c>
      <c r="I164" s="44">
        <f t="shared" si="2"/>
        <v>45</v>
      </c>
      <c r="J164" s="10"/>
    </row>
    <row r="165" spans="1:10" hidden="1" x14ac:dyDescent="0.3">
      <c r="A165" s="59" t="s">
        <v>2</v>
      </c>
      <c r="B165" s="58" t="s">
        <v>3</v>
      </c>
      <c r="C165" s="58">
        <v>6</v>
      </c>
      <c r="D165" s="58">
        <v>7</v>
      </c>
      <c r="E165" s="58">
        <v>7.5</v>
      </c>
      <c r="F165" s="58" t="s">
        <v>80</v>
      </c>
      <c r="G165" s="58" t="s">
        <v>113</v>
      </c>
      <c r="H165" s="48">
        <v>7</v>
      </c>
      <c r="I165" s="44">
        <f t="shared" si="2"/>
        <v>45</v>
      </c>
      <c r="J165" s="10"/>
    </row>
    <row r="166" spans="1:10" hidden="1" x14ac:dyDescent="0.3">
      <c r="A166" s="59" t="s">
        <v>2</v>
      </c>
      <c r="B166" s="58" t="s">
        <v>3</v>
      </c>
      <c r="C166" s="58">
        <v>6</v>
      </c>
      <c r="D166" s="58">
        <v>7</v>
      </c>
      <c r="E166" s="58">
        <v>7.5</v>
      </c>
      <c r="F166" s="58" t="s">
        <v>80</v>
      </c>
      <c r="G166" s="58" t="s">
        <v>116</v>
      </c>
      <c r="H166" s="48">
        <v>4</v>
      </c>
      <c r="I166" s="44">
        <f t="shared" si="2"/>
        <v>25.714285714285715</v>
      </c>
      <c r="J166" s="10"/>
    </row>
    <row r="167" spans="1:10" hidden="1" x14ac:dyDescent="0.3">
      <c r="A167" s="59" t="s">
        <v>2</v>
      </c>
      <c r="B167" s="58" t="s">
        <v>3</v>
      </c>
      <c r="C167" s="58">
        <v>6</v>
      </c>
      <c r="D167" s="58">
        <v>7</v>
      </c>
      <c r="E167" s="58">
        <v>7.5</v>
      </c>
      <c r="F167" s="58" t="s">
        <v>80</v>
      </c>
      <c r="G167" s="58" t="s">
        <v>116</v>
      </c>
      <c r="H167" s="48">
        <v>4</v>
      </c>
      <c r="I167" s="44">
        <f t="shared" si="2"/>
        <v>25.714285714285715</v>
      </c>
      <c r="J167" s="10"/>
    </row>
    <row r="168" spans="1:10" hidden="1" x14ac:dyDescent="0.3">
      <c r="A168" s="59" t="s">
        <v>2</v>
      </c>
      <c r="B168" s="58" t="s">
        <v>3</v>
      </c>
      <c r="C168" s="58">
        <v>4.7</v>
      </c>
      <c r="D168" s="58">
        <v>5.6</v>
      </c>
      <c r="E168" s="58">
        <v>7.5</v>
      </c>
      <c r="F168" s="58" t="s">
        <v>87</v>
      </c>
      <c r="G168" s="58" t="s">
        <v>119</v>
      </c>
      <c r="H168" s="48">
        <f>IF(G168&gt;0,VLOOKUP(G168,Apoio!$O$2:$P$24,2,0),"")</f>
        <v>12</v>
      </c>
      <c r="I168" s="44">
        <f t="shared" si="2"/>
        <v>75.535714285714292</v>
      </c>
      <c r="J168" s="10"/>
    </row>
    <row r="169" spans="1:10" hidden="1" x14ac:dyDescent="0.3">
      <c r="A169" s="59" t="s">
        <v>2</v>
      </c>
      <c r="B169" s="58" t="s">
        <v>3</v>
      </c>
      <c r="C169" s="58">
        <v>4</v>
      </c>
      <c r="D169" s="58">
        <v>5.6</v>
      </c>
      <c r="E169" s="58">
        <v>7.5</v>
      </c>
      <c r="F169" s="58" t="s">
        <v>87</v>
      </c>
      <c r="G169" s="58" t="s">
        <v>122</v>
      </c>
      <c r="H169" s="48">
        <f>IF(G169&gt;0,VLOOKUP(G169,Apoio!$O$2:$P$24,2,0),"")</f>
        <v>8</v>
      </c>
      <c r="I169" s="44">
        <f t="shared" si="2"/>
        <v>42.857142857142861</v>
      </c>
      <c r="J169" s="10"/>
    </row>
    <row r="170" spans="1:10" hidden="1" x14ac:dyDescent="0.3">
      <c r="A170" s="59" t="s">
        <v>2</v>
      </c>
      <c r="B170" s="58" t="s">
        <v>3</v>
      </c>
      <c r="C170" s="58">
        <v>5</v>
      </c>
      <c r="D170" s="58">
        <v>5.6</v>
      </c>
      <c r="E170" s="58">
        <v>7.5</v>
      </c>
      <c r="F170" s="58" t="s">
        <v>87</v>
      </c>
      <c r="G170" s="58" t="s">
        <v>125</v>
      </c>
      <c r="H170" s="48">
        <f>IF(G170&gt;0,VLOOKUP(G170,Apoio!$O$2:$P$24,2,0),"")</f>
        <v>8</v>
      </c>
      <c r="I170" s="44">
        <f t="shared" si="2"/>
        <v>53.571428571428577</v>
      </c>
      <c r="J170" s="10"/>
    </row>
    <row r="171" spans="1:10" hidden="1" x14ac:dyDescent="0.3">
      <c r="A171" s="59" t="s">
        <v>2</v>
      </c>
      <c r="B171" s="58" t="s">
        <v>3</v>
      </c>
      <c r="C171" s="58">
        <v>4</v>
      </c>
      <c r="D171" s="58">
        <v>5.6</v>
      </c>
      <c r="E171" s="58">
        <v>7.5</v>
      </c>
      <c r="F171" s="58" t="s">
        <v>87</v>
      </c>
      <c r="G171" s="58" t="s">
        <v>128</v>
      </c>
      <c r="H171" s="48">
        <f>IF(G171&gt;0,VLOOKUP(G171,Apoio!$O$2:$P$24,2,0),"")</f>
        <v>8</v>
      </c>
      <c r="I171" s="44">
        <f t="shared" si="2"/>
        <v>42.857142857142861</v>
      </c>
      <c r="J171" s="10"/>
    </row>
    <row r="172" spans="1:10" hidden="1" x14ac:dyDescent="0.3">
      <c r="A172" s="59" t="s">
        <v>2</v>
      </c>
      <c r="B172" s="58" t="s">
        <v>3</v>
      </c>
      <c r="C172" s="58">
        <v>5</v>
      </c>
      <c r="D172" s="58">
        <v>5.6</v>
      </c>
      <c r="E172" s="58">
        <v>7.5</v>
      </c>
      <c r="F172" s="58" t="s">
        <v>87</v>
      </c>
      <c r="G172" s="58" t="s">
        <v>131</v>
      </c>
      <c r="H172" s="48">
        <f>IF(G172&gt;0,VLOOKUP(G172,Apoio!$O$2:$P$24,2,0),"")</f>
        <v>8</v>
      </c>
      <c r="I172" s="44">
        <f t="shared" si="2"/>
        <v>53.571428571428577</v>
      </c>
      <c r="J172" s="10"/>
    </row>
    <row r="173" spans="1:10" hidden="1" x14ac:dyDescent="0.3">
      <c r="A173" s="59" t="s">
        <v>2</v>
      </c>
      <c r="B173" s="58" t="s">
        <v>3</v>
      </c>
      <c r="C173" s="58">
        <v>4</v>
      </c>
      <c r="D173" s="58">
        <v>5.6</v>
      </c>
      <c r="E173" s="58">
        <v>7.5</v>
      </c>
      <c r="F173" s="58" t="s">
        <v>87</v>
      </c>
      <c r="G173" s="58" t="s">
        <v>134</v>
      </c>
      <c r="H173" s="48">
        <f>IF(G173&gt;0,VLOOKUP(G173,Apoio!$O$2:$P$24,2,0),"")</f>
        <v>3</v>
      </c>
      <c r="I173" s="44">
        <f t="shared" si="2"/>
        <v>16.071428571428573</v>
      </c>
      <c r="J173" s="10"/>
    </row>
    <row r="174" spans="1:10" hidden="1" x14ac:dyDescent="0.3">
      <c r="A174" s="58" t="s">
        <v>2</v>
      </c>
      <c r="B174" s="58" t="s">
        <v>3</v>
      </c>
      <c r="C174" s="58">
        <v>4.2</v>
      </c>
      <c r="D174" s="58">
        <v>5.5</v>
      </c>
      <c r="E174" s="58">
        <v>7.5</v>
      </c>
      <c r="F174" s="58" t="s">
        <v>94</v>
      </c>
      <c r="G174" s="58" t="s">
        <v>137</v>
      </c>
      <c r="H174" s="48">
        <v>12</v>
      </c>
      <c r="I174" s="44">
        <f t="shared" si="2"/>
        <v>68.727272727272734</v>
      </c>
      <c r="J174" s="10"/>
    </row>
    <row r="175" spans="1:10" hidden="1" x14ac:dyDescent="0.3">
      <c r="A175" s="58" t="s">
        <v>2</v>
      </c>
      <c r="B175" s="58" t="s">
        <v>3</v>
      </c>
      <c r="C175" s="58">
        <v>4.5</v>
      </c>
      <c r="D175" s="58">
        <v>5.5</v>
      </c>
      <c r="E175" s="58">
        <v>7.5</v>
      </c>
      <c r="F175" s="58" t="s">
        <v>94</v>
      </c>
      <c r="G175" s="58" t="s">
        <v>140</v>
      </c>
      <c r="H175" s="48">
        <v>8</v>
      </c>
      <c r="I175" s="44">
        <f t="shared" si="2"/>
        <v>49.090909090909093</v>
      </c>
      <c r="J175" s="10"/>
    </row>
    <row r="176" spans="1:10" hidden="1" x14ac:dyDescent="0.3">
      <c r="A176" s="58" t="s">
        <v>2</v>
      </c>
      <c r="B176" s="58" t="s">
        <v>3</v>
      </c>
      <c r="C176" s="58">
        <v>4</v>
      </c>
      <c r="D176" s="58">
        <v>5.5</v>
      </c>
      <c r="E176" s="58">
        <v>7.5</v>
      </c>
      <c r="F176" s="58" t="s">
        <v>94</v>
      </c>
      <c r="G176" s="58" t="s">
        <v>143</v>
      </c>
      <c r="H176" s="48">
        <v>8</v>
      </c>
      <c r="I176" s="44">
        <f t="shared" si="2"/>
        <v>43.636363636363633</v>
      </c>
      <c r="J176" s="10"/>
    </row>
    <row r="177" spans="1:10" hidden="1" x14ac:dyDescent="0.3">
      <c r="A177" s="58" t="s">
        <v>2</v>
      </c>
      <c r="B177" s="58" t="s">
        <v>3</v>
      </c>
      <c r="C177" s="58">
        <v>5</v>
      </c>
      <c r="D177" s="58">
        <v>5.5</v>
      </c>
      <c r="E177" s="58">
        <v>7.5</v>
      </c>
      <c r="F177" s="58" t="s">
        <v>94</v>
      </c>
      <c r="G177" s="58" t="s">
        <v>146</v>
      </c>
      <c r="H177" s="48">
        <v>6</v>
      </c>
      <c r="I177" s="44">
        <f t="shared" si="2"/>
        <v>40.909090909090907</v>
      </c>
      <c r="J177" s="10"/>
    </row>
    <row r="178" spans="1:10" hidden="1" x14ac:dyDescent="0.3">
      <c r="A178" s="58" t="s">
        <v>2</v>
      </c>
      <c r="B178" s="58" t="s">
        <v>3</v>
      </c>
      <c r="C178" s="58">
        <v>5</v>
      </c>
      <c r="D178" s="58">
        <v>5.5</v>
      </c>
      <c r="E178" s="58">
        <v>7.5</v>
      </c>
      <c r="F178" s="58" t="s">
        <v>94</v>
      </c>
      <c r="G178" s="58" t="s">
        <v>149</v>
      </c>
      <c r="H178" s="48">
        <v>8</v>
      </c>
      <c r="I178" s="44">
        <f t="shared" si="2"/>
        <v>54.545454545454547</v>
      </c>
      <c r="J178" s="10"/>
    </row>
    <row r="179" spans="1:10" hidden="1" x14ac:dyDescent="0.3">
      <c r="A179" s="58" t="s">
        <v>2</v>
      </c>
      <c r="B179" s="58" t="s">
        <v>3</v>
      </c>
      <c r="C179" s="58">
        <v>5</v>
      </c>
      <c r="D179" s="58">
        <v>5.5</v>
      </c>
      <c r="E179" s="58">
        <v>7.5</v>
      </c>
      <c r="F179" s="58" t="s">
        <v>94</v>
      </c>
      <c r="G179" s="58" t="s">
        <v>152</v>
      </c>
      <c r="H179" s="48">
        <v>8</v>
      </c>
      <c r="I179" s="44">
        <f t="shared" si="2"/>
        <v>54.545454545454547</v>
      </c>
      <c r="J179" s="10"/>
    </row>
    <row r="180" spans="1:10" hidden="1" x14ac:dyDescent="0.3">
      <c r="A180" s="59" t="s">
        <v>2</v>
      </c>
      <c r="B180" s="58" t="s">
        <v>4</v>
      </c>
      <c r="C180" s="58">
        <v>7</v>
      </c>
      <c r="D180" s="58">
        <v>14</v>
      </c>
      <c r="E180" s="58">
        <v>7.5</v>
      </c>
      <c r="F180" s="58" t="s">
        <v>73</v>
      </c>
      <c r="G180" s="58" t="s">
        <v>72</v>
      </c>
      <c r="H180" s="48">
        <v>7</v>
      </c>
      <c r="I180" s="44">
        <f t="shared" si="2"/>
        <v>26.25</v>
      </c>
      <c r="J180" s="10"/>
    </row>
    <row r="181" spans="1:10" hidden="1" x14ac:dyDescent="0.3">
      <c r="A181" s="59" t="s">
        <v>2</v>
      </c>
      <c r="B181" s="58" t="s">
        <v>4</v>
      </c>
      <c r="C181" s="58">
        <v>5</v>
      </c>
      <c r="D181" s="58">
        <v>14</v>
      </c>
      <c r="E181" s="58">
        <v>7.5</v>
      </c>
      <c r="F181" s="58" t="s">
        <v>73</v>
      </c>
      <c r="G181" s="58" t="s">
        <v>72</v>
      </c>
      <c r="H181" s="48">
        <v>7</v>
      </c>
      <c r="I181" s="44">
        <f t="shared" si="2"/>
        <v>18.75</v>
      </c>
      <c r="J181" s="10"/>
    </row>
    <row r="182" spans="1:10" hidden="1" x14ac:dyDescent="0.3">
      <c r="A182" s="59" t="s">
        <v>2</v>
      </c>
      <c r="B182" s="58" t="s">
        <v>4</v>
      </c>
      <c r="C182" s="58">
        <v>7</v>
      </c>
      <c r="D182" s="58">
        <v>14</v>
      </c>
      <c r="E182" s="58">
        <v>7.5</v>
      </c>
      <c r="F182" s="58" t="s">
        <v>73</v>
      </c>
      <c r="G182" s="58" t="s">
        <v>79</v>
      </c>
      <c r="H182" s="48">
        <v>6</v>
      </c>
      <c r="I182" s="44">
        <f t="shared" si="2"/>
        <v>22.5</v>
      </c>
      <c r="J182" s="10"/>
    </row>
    <row r="183" spans="1:10" hidden="1" x14ac:dyDescent="0.3">
      <c r="A183" s="59" t="s">
        <v>2</v>
      </c>
      <c r="B183" s="58" t="s">
        <v>4</v>
      </c>
      <c r="C183" s="58">
        <v>6</v>
      </c>
      <c r="D183" s="58">
        <v>14</v>
      </c>
      <c r="E183" s="58">
        <v>7.5</v>
      </c>
      <c r="F183" s="58" t="s">
        <v>73</v>
      </c>
      <c r="G183" s="58" t="s">
        <v>79</v>
      </c>
      <c r="H183" s="48">
        <v>6</v>
      </c>
      <c r="I183" s="44">
        <f t="shared" si="2"/>
        <v>19.285714285714285</v>
      </c>
      <c r="J183" s="10"/>
    </row>
    <row r="184" spans="1:10" hidden="1" x14ac:dyDescent="0.3">
      <c r="A184" s="59" t="s">
        <v>2</v>
      </c>
      <c r="B184" s="58" t="s">
        <v>4</v>
      </c>
      <c r="C184" s="58">
        <v>8</v>
      </c>
      <c r="D184" s="58">
        <v>14</v>
      </c>
      <c r="E184" s="58">
        <v>7.5</v>
      </c>
      <c r="F184" s="58" t="s">
        <v>73</v>
      </c>
      <c r="G184" s="58" t="s">
        <v>86</v>
      </c>
      <c r="H184" s="48">
        <v>8</v>
      </c>
      <c r="I184" s="44">
        <f t="shared" si="2"/>
        <v>34.285714285714285</v>
      </c>
      <c r="J184" s="10"/>
    </row>
    <row r="185" spans="1:10" hidden="1" x14ac:dyDescent="0.3">
      <c r="A185" s="59" t="s">
        <v>2</v>
      </c>
      <c r="B185" s="58" t="s">
        <v>4</v>
      </c>
      <c r="C185" s="58">
        <v>6</v>
      </c>
      <c r="D185" s="58">
        <v>14</v>
      </c>
      <c r="E185" s="58">
        <v>7.5</v>
      </c>
      <c r="F185" s="58" t="s">
        <v>73</v>
      </c>
      <c r="G185" s="58" t="s">
        <v>86</v>
      </c>
      <c r="H185" s="48">
        <v>8</v>
      </c>
      <c r="I185" s="44">
        <f t="shared" si="2"/>
        <v>25.714285714285715</v>
      </c>
      <c r="J185" s="10"/>
    </row>
    <row r="186" spans="1:10" hidden="1" x14ac:dyDescent="0.3">
      <c r="A186" s="59" t="s">
        <v>2</v>
      </c>
      <c r="B186" s="58" t="s">
        <v>4</v>
      </c>
      <c r="C186" s="58">
        <v>7</v>
      </c>
      <c r="D186" s="58">
        <v>14</v>
      </c>
      <c r="E186" s="58">
        <v>7.5</v>
      </c>
      <c r="F186" s="58" t="s">
        <v>73</v>
      </c>
      <c r="G186" s="58" t="s">
        <v>93</v>
      </c>
      <c r="H186" s="48">
        <v>8</v>
      </c>
      <c r="I186" s="44">
        <f t="shared" si="2"/>
        <v>30</v>
      </c>
      <c r="J186" s="10"/>
    </row>
    <row r="187" spans="1:10" hidden="1" x14ac:dyDescent="0.3">
      <c r="A187" s="59" t="s">
        <v>2</v>
      </c>
      <c r="B187" s="58" t="s">
        <v>4</v>
      </c>
      <c r="C187" s="58">
        <v>6</v>
      </c>
      <c r="D187" s="58">
        <v>14</v>
      </c>
      <c r="E187" s="58">
        <v>7.5</v>
      </c>
      <c r="F187" s="58" t="s">
        <v>73</v>
      </c>
      <c r="G187" s="58" t="s">
        <v>93</v>
      </c>
      <c r="H187" s="48">
        <v>8</v>
      </c>
      <c r="I187" s="44">
        <f t="shared" si="2"/>
        <v>25.714285714285715</v>
      </c>
      <c r="J187" s="10"/>
    </row>
    <row r="188" spans="1:10" hidden="1" x14ac:dyDescent="0.3">
      <c r="A188" s="59" t="s">
        <v>2</v>
      </c>
      <c r="B188" s="58" t="s">
        <v>4</v>
      </c>
      <c r="C188" s="58">
        <v>7.5</v>
      </c>
      <c r="D188" s="58">
        <v>14</v>
      </c>
      <c r="E188" s="58">
        <v>7.5</v>
      </c>
      <c r="F188" s="58" t="s">
        <v>73</v>
      </c>
      <c r="G188" s="58" t="s">
        <v>98</v>
      </c>
      <c r="H188" s="48">
        <v>7</v>
      </c>
      <c r="I188" s="44">
        <f t="shared" si="2"/>
        <v>28.125</v>
      </c>
      <c r="J188" s="10"/>
    </row>
    <row r="189" spans="1:10" hidden="1" x14ac:dyDescent="0.3">
      <c r="A189" s="59" t="s">
        <v>2</v>
      </c>
      <c r="B189" s="58" t="s">
        <v>4</v>
      </c>
      <c r="C189" s="58">
        <v>6</v>
      </c>
      <c r="D189" s="58">
        <v>14</v>
      </c>
      <c r="E189" s="58">
        <v>7.5</v>
      </c>
      <c r="F189" s="58" t="s">
        <v>73</v>
      </c>
      <c r="G189" s="58" t="s">
        <v>98</v>
      </c>
      <c r="H189" s="48">
        <v>7</v>
      </c>
      <c r="I189" s="44">
        <f t="shared" si="2"/>
        <v>22.5</v>
      </c>
      <c r="J189" s="10"/>
    </row>
    <row r="190" spans="1:10" hidden="1" x14ac:dyDescent="0.3">
      <c r="A190" s="59" t="s">
        <v>2</v>
      </c>
      <c r="B190" s="58" t="s">
        <v>4</v>
      </c>
      <c r="C190" s="58">
        <v>8</v>
      </c>
      <c r="D190" s="58">
        <v>14</v>
      </c>
      <c r="E190" s="58">
        <v>7.5</v>
      </c>
      <c r="F190" s="58" t="s">
        <v>73</v>
      </c>
      <c r="G190" s="58" t="s">
        <v>101</v>
      </c>
      <c r="H190" s="48">
        <v>3</v>
      </c>
      <c r="I190" s="44">
        <f t="shared" si="2"/>
        <v>12.857142857142858</v>
      </c>
      <c r="J190" s="10"/>
    </row>
    <row r="191" spans="1:10" hidden="1" x14ac:dyDescent="0.3">
      <c r="A191" s="59" t="s">
        <v>2</v>
      </c>
      <c r="B191" s="58" t="s">
        <v>4</v>
      </c>
      <c r="C191" s="58">
        <v>6</v>
      </c>
      <c r="D191" s="58">
        <v>14</v>
      </c>
      <c r="E191" s="58">
        <v>7.5</v>
      </c>
      <c r="F191" s="58" t="s">
        <v>73</v>
      </c>
      <c r="G191" s="58" t="s">
        <v>101</v>
      </c>
      <c r="H191" s="48">
        <v>3</v>
      </c>
      <c r="I191" s="44">
        <f t="shared" si="2"/>
        <v>9.6428571428571423</v>
      </c>
      <c r="J191" s="10"/>
    </row>
    <row r="192" spans="1:10" hidden="1" x14ac:dyDescent="0.3">
      <c r="A192" s="59" t="s">
        <v>2</v>
      </c>
      <c r="B192" s="58" t="s">
        <v>4</v>
      </c>
      <c r="C192" s="58">
        <v>6</v>
      </c>
      <c r="D192" s="58">
        <v>7</v>
      </c>
      <c r="E192" s="58">
        <v>7.5</v>
      </c>
      <c r="F192" s="58" t="s">
        <v>80</v>
      </c>
      <c r="G192" s="58" t="s">
        <v>104</v>
      </c>
      <c r="H192" s="48">
        <v>8</v>
      </c>
      <c r="I192" s="44">
        <f t="shared" si="2"/>
        <v>51.428571428571431</v>
      </c>
      <c r="J192" s="10"/>
    </row>
    <row r="193" spans="1:10" hidden="1" x14ac:dyDescent="0.3">
      <c r="A193" s="59" t="s">
        <v>2</v>
      </c>
      <c r="B193" s="58" t="s">
        <v>4</v>
      </c>
      <c r="C193" s="58">
        <v>6</v>
      </c>
      <c r="D193" s="58">
        <v>7</v>
      </c>
      <c r="E193" s="58">
        <v>7.5</v>
      </c>
      <c r="F193" s="58" t="s">
        <v>80</v>
      </c>
      <c r="G193" s="58" t="s">
        <v>104</v>
      </c>
      <c r="H193" s="48">
        <v>8</v>
      </c>
      <c r="I193" s="44">
        <f t="shared" si="2"/>
        <v>51.428571428571431</v>
      </c>
      <c r="J193" s="10"/>
    </row>
    <row r="194" spans="1:10" hidden="1" x14ac:dyDescent="0.3">
      <c r="A194" s="59" t="s">
        <v>2</v>
      </c>
      <c r="B194" s="58" t="s">
        <v>4</v>
      </c>
      <c r="C194" s="58">
        <v>6</v>
      </c>
      <c r="D194" s="58">
        <v>7</v>
      </c>
      <c r="E194" s="58">
        <v>7.5</v>
      </c>
      <c r="F194" s="58" t="s">
        <v>80</v>
      </c>
      <c r="G194" s="58" t="s">
        <v>107</v>
      </c>
      <c r="H194" s="48">
        <v>7</v>
      </c>
      <c r="I194" s="44">
        <f t="shared" ref="I194:I257" si="3">IF(D194&gt;0,(((H194*E194)*C194)/D194),"")</f>
        <v>45</v>
      </c>
      <c r="J194" s="10"/>
    </row>
    <row r="195" spans="1:10" hidden="1" x14ac:dyDescent="0.3">
      <c r="A195" s="59" t="s">
        <v>2</v>
      </c>
      <c r="B195" s="58" t="s">
        <v>4</v>
      </c>
      <c r="C195" s="58">
        <v>6</v>
      </c>
      <c r="D195" s="58">
        <v>7</v>
      </c>
      <c r="E195" s="58">
        <v>7.5</v>
      </c>
      <c r="F195" s="58" t="s">
        <v>80</v>
      </c>
      <c r="G195" s="58" t="s">
        <v>107</v>
      </c>
      <c r="H195" s="48">
        <v>7</v>
      </c>
      <c r="I195" s="44">
        <f t="shared" si="3"/>
        <v>45</v>
      </c>
      <c r="J195" s="10"/>
    </row>
    <row r="196" spans="1:10" hidden="1" x14ac:dyDescent="0.3">
      <c r="A196" s="59" t="s">
        <v>2</v>
      </c>
      <c r="B196" s="58" t="s">
        <v>4</v>
      </c>
      <c r="C196" s="58">
        <v>6</v>
      </c>
      <c r="D196" s="58">
        <v>7</v>
      </c>
      <c r="E196" s="58">
        <v>7.5</v>
      </c>
      <c r="F196" s="58" t="s">
        <v>80</v>
      </c>
      <c r="G196" s="58" t="s">
        <v>110</v>
      </c>
      <c r="H196" s="48">
        <v>8</v>
      </c>
      <c r="I196" s="44">
        <f t="shared" si="3"/>
        <v>51.428571428571431</v>
      </c>
      <c r="J196" s="10"/>
    </row>
    <row r="197" spans="1:10" hidden="1" x14ac:dyDescent="0.3">
      <c r="A197" s="59" t="s">
        <v>2</v>
      </c>
      <c r="B197" s="58" t="s">
        <v>4</v>
      </c>
      <c r="C197" s="58">
        <v>6</v>
      </c>
      <c r="D197" s="58">
        <v>7</v>
      </c>
      <c r="E197" s="58">
        <v>7.5</v>
      </c>
      <c r="F197" s="58" t="s">
        <v>80</v>
      </c>
      <c r="G197" s="58" t="s">
        <v>110</v>
      </c>
      <c r="H197" s="48">
        <v>8</v>
      </c>
      <c r="I197" s="44">
        <f t="shared" si="3"/>
        <v>51.428571428571431</v>
      </c>
      <c r="J197" s="10"/>
    </row>
    <row r="198" spans="1:10" hidden="1" x14ac:dyDescent="0.3">
      <c r="A198" s="59" t="s">
        <v>2</v>
      </c>
      <c r="B198" s="58" t="s">
        <v>4</v>
      </c>
      <c r="C198" s="58">
        <v>6</v>
      </c>
      <c r="D198" s="58">
        <v>7</v>
      </c>
      <c r="E198" s="58">
        <v>7.5</v>
      </c>
      <c r="F198" s="58" t="s">
        <v>80</v>
      </c>
      <c r="G198" s="58" t="s">
        <v>113</v>
      </c>
      <c r="H198" s="48">
        <v>7</v>
      </c>
      <c r="I198" s="44">
        <f t="shared" si="3"/>
        <v>45</v>
      </c>
      <c r="J198" s="10"/>
    </row>
    <row r="199" spans="1:10" hidden="1" x14ac:dyDescent="0.3">
      <c r="A199" s="59" t="s">
        <v>2</v>
      </c>
      <c r="B199" s="58" t="s">
        <v>4</v>
      </c>
      <c r="C199" s="58">
        <v>6</v>
      </c>
      <c r="D199" s="58">
        <v>7</v>
      </c>
      <c r="E199" s="58">
        <v>7.5</v>
      </c>
      <c r="F199" s="58" t="s">
        <v>80</v>
      </c>
      <c r="G199" s="58" t="s">
        <v>113</v>
      </c>
      <c r="H199" s="48">
        <v>7</v>
      </c>
      <c r="I199" s="44">
        <f t="shared" si="3"/>
        <v>45</v>
      </c>
      <c r="J199" s="10"/>
    </row>
    <row r="200" spans="1:10" hidden="1" x14ac:dyDescent="0.3">
      <c r="A200" s="59" t="s">
        <v>2</v>
      </c>
      <c r="B200" s="58" t="s">
        <v>4</v>
      </c>
      <c r="C200" s="58">
        <v>6</v>
      </c>
      <c r="D200" s="58">
        <v>7</v>
      </c>
      <c r="E200" s="58">
        <v>7.5</v>
      </c>
      <c r="F200" s="58" t="s">
        <v>80</v>
      </c>
      <c r="G200" s="58" t="s">
        <v>116</v>
      </c>
      <c r="H200" s="48">
        <v>4</v>
      </c>
      <c r="I200" s="44">
        <f t="shared" si="3"/>
        <v>25.714285714285715</v>
      </c>
      <c r="J200" s="10"/>
    </row>
    <row r="201" spans="1:10" hidden="1" x14ac:dyDescent="0.3">
      <c r="A201" s="59" t="s">
        <v>2</v>
      </c>
      <c r="B201" s="58" t="s">
        <v>4</v>
      </c>
      <c r="C201" s="58">
        <v>6</v>
      </c>
      <c r="D201" s="58">
        <v>7</v>
      </c>
      <c r="E201" s="58">
        <v>7.5</v>
      </c>
      <c r="F201" s="58" t="s">
        <v>80</v>
      </c>
      <c r="G201" s="58" t="s">
        <v>116</v>
      </c>
      <c r="H201" s="48">
        <v>4</v>
      </c>
      <c r="I201" s="44">
        <f t="shared" si="3"/>
        <v>25.714285714285715</v>
      </c>
      <c r="J201" s="10"/>
    </row>
    <row r="202" spans="1:10" hidden="1" x14ac:dyDescent="0.3">
      <c r="A202" s="59" t="s">
        <v>2</v>
      </c>
      <c r="B202" s="58" t="s">
        <v>4</v>
      </c>
      <c r="C202" s="58">
        <v>5</v>
      </c>
      <c r="D202" s="58">
        <v>6</v>
      </c>
      <c r="E202" s="58">
        <v>7.5</v>
      </c>
      <c r="F202" s="58" t="s">
        <v>87</v>
      </c>
      <c r="G202" s="58" t="s">
        <v>119</v>
      </c>
      <c r="H202" s="48">
        <f>IF(G202&gt;0,VLOOKUP(G202,Apoio!$O$2:$P$24,2,0),"")</f>
        <v>12</v>
      </c>
      <c r="I202" s="44">
        <f t="shared" si="3"/>
        <v>75</v>
      </c>
      <c r="J202" s="10"/>
    </row>
    <row r="203" spans="1:10" hidden="1" x14ac:dyDescent="0.3">
      <c r="A203" s="59" t="s">
        <v>2</v>
      </c>
      <c r="B203" s="58" t="s">
        <v>4</v>
      </c>
      <c r="C203" s="58">
        <v>5</v>
      </c>
      <c r="D203" s="58">
        <v>6</v>
      </c>
      <c r="E203" s="58">
        <v>7.5</v>
      </c>
      <c r="F203" s="58" t="s">
        <v>87</v>
      </c>
      <c r="G203" s="58" t="s">
        <v>122</v>
      </c>
      <c r="H203" s="48">
        <f>IF(G203&gt;0,VLOOKUP(G203,Apoio!$O$2:$P$24,2,0),"")</f>
        <v>8</v>
      </c>
      <c r="I203" s="44">
        <f t="shared" si="3"/>
        <v>50</v>
      </c>
      <c r="J203" s="10"/>
    </row>
    <row r="204" spans="1:10" hidden="1" x14ac:dyDescent="0.3">
      <c r="A204" s="59" t="s">
        <v>2</v>
      </c>
      <c r="B204" s="58" t="s">
        <v>4</v>
      </c>
      <c r="C204" s="58">
        <v>5</v>
      </c>
      <c r="D204" s="58">
        <v>6</v>
      </c>
      <c r="E204" s="58">
        <v>7.5</v>
      </c>
      <c r="F204" s="58" t="s">
        <v>87</v>
      </c>
      <c r="G204" s="58" t="s">
        <v>125</v>
      </c>
      <c r="H204" s="48">
        <f>IF(G204&gt;0,VLOOKUP(G204,Apoio!$O$2:$P$24,2,0),"")</f>
        <v>8</v>
      </c>
      <c r="I204" s="44">
        <f t="shared" si="3"/>
        <v>50</v>
      </c>
      <c r="J204" s="10"/>
    </row>
    <row r="205" spans="1:10" hidden="1" x14ac:dyDescent="0.3">
      <c r="A205" s="59" t="s">
        <v>2</v>
      </c>
      <c r="B205" s="58" t="s">
        <v>4</v>
      </c>
      <c r="C205" s="58">
        <v>5</v>
      </c>
      <c r="D205" s="58">
        <v>6</v>
      </c>
      <c r="E205" s="58">
        <v>7.5</v>
      </c>
      <c r="F205" s="58" t="s">
        <v>87</v>
      </c>
      <c r="G205" s="58" t="s">
        <v>128</v>
      </c>
      <c r="H205" s="48">
        <f>IF(G205&gt;0,VLOOKUP(G205,Apoio!$O$2:$P$24,2,0),"")</f>
        <v>8</v>
      </c>
      <c r="I205" s="44">
        <f t="shared" si="3"/>
        <v>50</v>
      </c>
      <c r="J205" s="10"/>
    </row>
    <row r="206" spans="1:10" hidden="1" x14ac:dyDescent="0.3">
      <c r="A206" s="59" t="s">
        <v>2</v>
      </c>
      <c r="B206" s="58" t="s">
        <v>4</v>
      </c>
      <c r="C206" s="58">
        <v>4</v>
      </c>
      <c r="D206" s="58">
        <v>6</v>
      </c>
      <c r="E206" s="58">
        <v>7.5</v>
      </c>
      <c r="F206" s="58" t="s">
        <v>87</v>
      </c>
      <c r="G206" s="58" t="s">
        <v>131</v>
      </c>
      <c r="H206" s="48">
        <f>IF(G206&gt;0,VLOOKUP(G206,Apoio!$O$2:$P$24,2,0),"")</f>
        <v>8</v>
      </c>
      <c r="I206" s="44">
        <f t="shared" si="3"/>
        <v>40</v>
      </c>
      <c r="J206" s="10"/>
    </row>
    <row r="207" spans="1:10" hidden="1" x14ac:dyDescent="0.3">
      <c r="A207" s="59" t="s">
        <v>2</v>
      </c>
      <c r="B207" s="58" t="s">
        <v>4</v>
      </c>
      <c r="C207" s="58">
        <v>5</v>
      </c>
      <c r="D207" s="58">
        <v>6</v>
      </c>
      <c r="E207" s="58">
        <v>7.5</v>
      </c>
      <c r="F207" s="58" t="s">
        <v>87</v>
      </c>
      <c r="G207" s="58" t="s">
        <v>134</v>
      </c>
      <c r="H207" s="48">
        <f>IF(G207&gt;0,VLOOKUP(G207,Apoio!$O$2:$P$24,2,0),"")</f>
        <v>3</v>
      </c>
      <c r="I207" s="44">
        <f t="shared" si="3"/>
        <v>18.75</v>
      </c>
      <c r="J207" s="10"/>
    </row>
    <row r="208" spans="1:10" hidden="1" x14ac:dyDescent="0.3">
      <c r="A208" s="58" t="s">
        <v>2</v>
      </c>
      <c r="B208" s="58" t="s">
        <v>4</v>
      </c>
      <c r="C208" s="58">
        <v>5</v>
      </c>
      <c r="D208" s="58">
        <v>5.5</v>
      </c>
      <c r="E208" s="58">
        <v>7.5</v>
      </c>
      <c r="F208" s="58" t="s">
        <v>94</v>
      </c>
      <c r="G208" s="58" t="s">
        <v>137</v>
      </c>
      <c r="H208" s="48">
        <v>12</v>
      </c>
      <c r="I208" s="44">
        <f t="shared" si="3"/>
        <v>81.818181818181813</v>
      </c>
      <c r="J208" s="10"/>
    </row>
    <row r="209" spans="1:10" hidden="1" x14ac:dyDescent="0.3">
      <c r="A209" s="58" t="s">
        <v>2</v>
      </c>
      <c r="B209" s="58" t="s">
        <v>4</v>
      </c>
      <c r="C209" s="58">
        <v>5</v>
      </c>
      <c r="D209" s="58">
        <v>5.5</v>
      </c>
      <c r="E209" s="58">
        <v>7.5</v>
      </c>
      <c r="F209" s="58" t="s">
        <v>94</v>
      </c>
      <c r="G209" s="58" t="s">
        <v>140</v>
      </c>
      <c r="H209" s="48">
        <v>8</v>
      </c>
      <c r="I209" s="44">
        <f t="shared" si="3"/>
        <v>54.545454545454547</v>
      </c>
      <c r="J209" s="10"/>
    </row>
    <row r="210" spans="1:10" hidden="1" x14ac:dyDescent="0.3">
      <c r="A210" s="58" t="s">
        <v>2</v>
      </c>
      <c r="B210" s="58" t="s">
        <v>4</v>
      </c>
      <c r="C210" s="58">
        <v>6.5</v>
      </c>
      <c r="D210" s="58">
        <v>5.5</v>
      </c>
      <c r="E210" s="58">
        <v>7.5</v>
      </c>
      <c r="F210" s="58" t="s">
        <v>94</v>
      </c>
      <c r="G210" s="58" t="s">
        <v>143</v>
      </c>
      <c r="H210" s="48">
        <v>8</v>
      </c>
      <c r="I210" s="44">
        <f t="shared" si="3"/>
        <v>70.909090909090907</v>
      </c>
      <c r="J210" s="10"/>
    </row>
    <row r="211" spans="1:10" hidden="1" x14ac:dyDescent="0.3">
      <c r="A211" s="58" t="s">
        <v>2</v>
      </c>
      <c r="B211" s="58" t="s">
        <v>4</v>
      </c>
      <c r="C211" s="58">
        <v>6</v>
      </c>
      <c r="D211" s="58">
        <v>5.5</v>
      </c>
      <c r="E211" s="58">
        <v>7.5</v>
      </c>
      <c r="F211" s="58" t="s">
        <v>94</v>
      </c>
      <c r="G211" s="58" t="s">
        <v>146</v>
      </c>
      <c r="H211" s="48">
        <v>6</v>
      </c>
      <c r="I211" s="44">
        <f t="shared" si="3"/>
        <v>49.090909090909093</v>
      </c>
      <c r="J211" s="10"/>
    </row>
    <row r="212" spans="1:10" hidden="1" x14ac:dyDescent="0.3">
      <c r="A212" s="58" t="s">
        <v>2</v>
      </c>
      <c r="B212" s="58" t="s">
        <v>4</v>
      </c>
      <c r="C212" s="58">
        <v>7</v>
      </c>
      <c r="D212" s="58">
        <v>5.5</v>
      </c>
      <c r="E212" s="58">
        <v>7.5</v>
      </c>
      <c r="F212" s="58" t="s">
        <v>94</v>
      </c>
      <c r="G212" s="58" t="s">
        <v>149</v>
      </c>
      <c r="H212" s="48">
        <v>8</v>
      </c>
      <c r="I212" s="44">
        <f t="shared" si="3"/>
        <v>76.36363636363636</v>
      </c>
      <c r="J212" s="10"/>
    </row>
    <row r="213" spans="1:10" hidden="1" x14ac:dyDescent="0.3">
      <c r="A213" s="58" t="s">
        <v>2</v>
      </c>
      <c r="B213" s="58" t="s">
        <v>4</v>
      </c>
      <c r="C213" s="58">
        <v>5</v>
      </c>
      <c r="D213" s="58">
        <v>5.5</v>
      </c>
      <c r="E213" s="58">
        <v>7.5</v>
      </c>
      <c r="F213" s="58" t="s">
        <v>94</v>
      </c>
      <c r="G213" s="58" t="s">
        <v>152</v>
      </c>
      <c r="H213" s="48">
        <v>8</v>
      </c>
      <c r="I213" s="44">
        <f t="shared" si="3"/>
        <v>54.545454545454547</v>
      </c>
      <c r="J213" s="10"/>
    </row>
    <row r="214" spans="1:10" hidden="1" x14ac:dyDescent="0.3">
      <c r="A214" s="59" t="s">
        <v>2</v>
      </c>
      <c r="B214" s="58" t="s">
        <v>5</v>
      </c>
      <c r="C214" s="58">
        <v>6</v>
      </c>
      <c r="D214" s="58">
        <v>15</v>
      </c>
      <c r="E214" s="58">
        <v>7.5</v>
      </c>
      <c r="F214" s="58" t="s">
        <v>73</v>
      </c>
      <c r="G214" s="58" t="s">
        <v>72</v>
      </c>
      <c r="H214" s="48">
        <v>7</v>
      </c>
      <c r="I214" s="44">
        <f t="shared" si="3"/>
        <v>21</v>
      </c>
      <c r="J214" s="10"/>
    </row>
    <row r="215" spans="1:10" hidden="1" x14ac:dyDescent="0.3">
      <c r="A215" s="59" t="s">
        <v>2</v>
      </c>
      <c r="B215" s="58" t="s">
        <v>5</v>
      </c>
      <c r="C215" s="58">
        <v>6</v>
      </c>
      <c r="D215" s="58">
        <v>15</v>
      </c>
      <c r="E215" s="58">
        <v>7.5</v>
      </c>
      <c r="F215" s="58" t="s">
        <v>73</v>
      </c>
      <c r="G215" s="58" t="s">
        <v>72</v>
      </c>
      <c r="H215" s="48">
        <v>7</v>
      </c>
      <c r="I215" s="44">
        <f t="shared" si="3"/>
        <v>21</v>
      </c>
      <c r="J215" s="10"/>
    </row>
    <row r="216" spans="1:10" hidden="1" x14ac:dyDescent="0.3">
      <c r="A216" s="59" t="s">
        <v>2</v>
      </c>
      <c r="B216" s="58" t="s">
        <v>5</v>
      </c>
      <c r="C216" s="58">
        <v>6</v>
      </c>
      <c r="D216" s="58">
        <v>15</v>
      </c>
      <c r="E216" s="58">
        <v>7.5</v>
      </c>
      <c r="F216" s="58" t="s">
        <v>73</v>
      </c>
      <c r="G216" s="58" t="s">
        <v>79</v>
      </c>
      <c r="H216" s="48">
        <v>6</v>
      </c>
      <c r="I216" s="44">
        <f t="shared" si="3"/>
        <v>18</v>
      </c>
      <c r="J216" s="10"/>
    </row>
    <row r="217" spans="1:10" hidden="1" x14ac:dyDescent="0.3">
      <c r="A217" s="59" t="s">
        <v>2</v>
      </c>
      <c r="B217" s="58" t="s">
        <v>5</v>
      </c>
      <c r="C217" s="58">
        <v>6</v>
      </c>
      <c r="D217" s="58">
        <v>15</v>
      </c>
      <c r="E217" s="58">
        <v>7.5</v>
      </c>
      <c r="F217" s="58" t="s">
        <v>73</v>
      </c>
      <c r="G217" s="58" t="s">
        <v>79</v>
      </c>
      <c r="H217" s="48">
        <v>6</v>
      </c>
      <c r="I217" s="44">
        <f t="shared" si="3"/>
        <v>18</v>
      </c>
      <c r="J217" s="10"/>
    </row>
    <row r="218" spans="1:10" hidden="1" x14ac:dyDescent="0.3">
      <c r="A218" s="59" t="s">
        <v>2</v>
      </c>
      <c r="B218" s="58" t="s">
        <v>5</v>
      </c>
      <c r="C218" s="58">
        <v>6</v>
      </c>
      <c r="D218" s="58">
        <v>15</v>
      </c>
      <c r="E218" s="58">
        <v>7.5</v>
      </c>
      <c r="F218" s="58" t="s">
        <v>73</v>
      </c>
      <c r="G218" s="58" t="s">
        <v>86</v>
      </c>
      <c r="H218" s="48">
        <v>8</v>
      </c>
      <c r="I218" s="44">
        <f t="shared" si="3"/>
        <v>24</v>
      </c>
      <c r="J218" s="10"/>
    </row>
    <row r="219" spans="1:10" hidden="1" x14ac:dyDescent="0.3">
      <c r="A219" s="59" t="s">
        <v>2</v>
      </c>
      <c r="B219" s="58" t="s">
        <v>5</v>
      </c>
      <c r="C219" s="58">
        <v>6</v>
      </c>
      <c r="D219" s="58">
        <v>15</v>
      </c>
      <c r="E219" s="58">
        <v>7.5</v>
      </c>
      <c r="F219" s="58" t="s">
        <v>73</v>
      </c>
      <c r="G219" s="58" t="s">
        <v>86</v>
      </c>
      <c r="H219" s="48">
        <v>8</v>
      </c>
      <c r="I219" s="44">
        <f t="shared" si="3"/>
        <v>24</v>
      </c>
      <c r="J219" s="10"/>
    </row>
    <row r="220" spans="1:10" hidden="1" x14ac:dyDescent="0.3">
      <c r="A220" s="59" t="s">
        <v>2</v>
      </c>
      <c r="B220" s="58" t="s">
        <v>5</v>
      </c>
      <c r="C220" s="58">
        <v>6</v>
      </c>
      <c r="D220" s="58">
        <v>15</v>
      </c>
      <c r="E220" s="58">
        <v>7.5</v>
      </c>
      <c r="F220" s="58" t="s">
        <v>73</v>
      </c>
      <c r="G220" s="58" t="s">
        <v>93</v>
      </c>
      <c r="H220" s="48">
        <v>8</v>
      </c>
      <c r="I220" s="44">
        <f t="shared" si="3"/>
        <v>24</v>
      </c>
      <c r="J220" s="10"/>
    </row>
    <row r="221" spans="1:10" hidden="1" x14ac:dyDescent="0.3">
      <c r="A221" s="59" t="s">
        <v>2</v>
      </c>
      <c r="B221" s="58" t="s">
        <v>5</v>
      </c>
      <c r="C221" s="58">
        <v>6</v>
      </c>
      <c r="D221" s="58">
        <v>15</v>
      </c>
      <c r="E221" s="58">
        <v>7.5</v>
      </c>
      <c r="F221" s="58" t="s">
        <v>73</v>
      </c>
      <c r="G221" s="58" t="s">
        <v>93</v>
      </c>
      <c r="H221" s="48">
        <v>8</v>
      </c>
      <c r="I221" s="44">
        <f t="shared" si="3"/>
        <v>24</v>
      </c>
      <c r="J221" s="10"/>
    </row>
    <row r="222" spans="1:10" hidden="1" x14ac:dyDescent="0.3">
      <c r="A222" s="59" t="s">
        <v>2</v>
      </c>
      <c r="B222" s="58" t="s">
        <v>5</v>
      </c>
      <c r="C222" s="58">
        <v>6</v>
      </c>
      <c r="D222" s="58">
        <v>15</v>
      </c>
      <c r="E222" s="58">
        <v>7.5</v>
      </c>
      <c r="F222" s="58" t="s">
        <v>73</v>
      </c>
      <c r="G222" s="58" t="s">
        <v>98</v>
      </c>
      <c r="H222" s="48">
        <v>7</v>
      </c>
      <c r="I222" s="44">
        <f t="shared" si="3"/>
        <v>21</v>
      </c>
      <c r="J222" s="10"/>
    </row>
    <row r="223" spans="1:10" hidden="1" x14ac:dyDescent="0.3">
      <c r="A223" s="59" t="s">
        <v>2</v>
      </c>
      <c r="B223" s="58" t="s">
        <v>5</v>
      </c>
      <c r="C223" s="58">
        <v>6</v>
      </c>
      <c r="D223" s="58">
        <v>15</v>
      </c>
      <c r="E223" s="58">
        <v>7.5</v>
      </c>
      <c r="F223" s="58" t="s">
        <v>73</v>
      </c>
      <c r="G223" s="58" t="s">
        <v>98</v>
      </c>
      <c r="H223" s="48">
        <v>7</v>
      </c>
      <c r="I223" s="44">
        <f t="shared" si="3"/>
        <v>21</v>
      </c>
      <c r="J223" s="10"/>
    </row>
    <row r="224" spans="1:10" hidden="1" x14ac:dyDescent="0.3">
      <c r="A224" s="59" t="s">
        <v>2</v>
      </c>
      <c r="B224" s="58" t="s">
        <v>5</v>
      </c>
      <c r="C224" s="58">
        <v>6</v>
      </c>
      <c r="D224" s="58">
        <v>15</v>
      </c>
      <c r="E224" s="58">
        <v>7.5</v>
      </c>
      <c r="F224" s="58" t="s">
        <v>73</v>
      </c>
      <c r="G224" s="58" t="s">
        <v>101</v>
      </c>
      <c r="H224" s="48">
        <v>3</v>
      </c>
      <c r="I224" s="44">
        <f t="shared" si="3"/>
        <v>9</v>
      </c>
      <c r="J224" s="10"/>
    </row>
    <row r="225" spans="1:10" hidden="1" x14ac:dyDescent="0.3">
      <c r="A225" s="59" t="s">
        <v>2</v>
      </c>
      <c r="B225" s="58" t="s">
        <v>5</v>
      </c>
      <c r="C225" s="58">
        <v>6</v>
      </c>
      <c r="D225" s="58">
        <v>15</v>
      </c>
      <c r="E225" s="58">
        <v>7.5</v>
      </c>
      <c r="F225" s="58" t="s">
        <v>73</v>
      </c>
      <c r="G225" s="58" t="s">
        <v>101</v>
      </c>
      <c r="H225" s="48">
        <v>3</v>
      </c>
      <c r="I225" s="44">
        <f t="shared" si="3"/>
        <v>9</v>
      </c>
      <c r="J225" s="10"/>
    </row>
    <row r="226" spans="1:10" hidden="1" x14ac:dyDescent="0.3">
      <c r="A226" s="59" t="s">
        <v>2</v>
      </c>
      <c r="B226" s="58" t="s">
        <v>5</v>
      </c>
      <c r="C226" s="58">
        <v>6</v>
      </c>
      <c r="D226" s="58">
        <v>7</v>
      </c>
      <c r="E226" s="58">
        <v>7.5</v>
      </c>
      <c r="F226" s="58" t="s">
        <v>80</v>
      </c>
      <c r="G226" s="58" t="s">
        <v>104</v>
      </c>
      <c r="H226" s="48">
        <v>8</v>
      </c>
      <c r="I226" s="44">
        <f t="shared" si="3"/>
        <v>51.428571428571431</v>
      </c>
      <c r="J226" s="10"/>
    </row>
    <row r="227" spans="1:10" hidden="1" x14ac:dyDescent="0.3">
      <c r="A227" s="59" t="s">
        <v>2</v>
      </c>
      <c r="B227" s="58" t="s">
        <v>5</v>
      </c>
      <c r="C227" s="58">
        <v>6</v>
      </c>
      <c r="D227" s="58">
        <v>7</v>
      </c>
      <c r="E227" s="58">
        <v>7.5</v>
      </c>
      <c r="F227" s="58" t="s">
        <v>80</v>
      </c>
      <c r="G227" s="58" t="s">
        <v>104</v>
      </c>
      <c r="H227" s="48">
        <v>8</v>
      </c>
      <c r="I227" s="44">
        <f t="shared" si="3"/>
        <v>51.428571428571431</v>
      </c>
      <c r="J227" s="10"/>
    </row>
    <row r="228" spans="1:10" hidden="1" x14ac:dyDescent="0.3">
      <c r="A228" s="59" t="s">
        <v>2</v>
      </c>
      <c r="B228" s="58" t="s">
        <v>5</v>
      </c>
      <c r="C228" s="58">
        <v>6</v>
      </c>
      <c r="D228" s="58">
        <v>7</v>
      </c>
      <c r="E228" s="58">
        <v>7.5</v>
      </c>
      <c r="F228" s="58" t="s">
        <v>80</v>
      </c>
      <c r="G228" s="58" t="s">
        <v>107</v>
      </c>
      <c r="H228" s="48">
        <v>7</v>
      </c>
      <c r="I228" s="44">
        <f t="shared" si="3"/>
        <v>45</v>
      </c>
      <c r="J228" s="10"/>
    </row>
    <row r="229" spans="1:10" hidden="1" x14ac:dyDescent="0.3">
      <c r="A229" s="59" t="s">
        <v>2</v>
      </c>
      <c r="B229" s="58" t="s">
        <v>5</v>
      </c>
      <c r="C229" s="58">
        <v>6</v>
      </c>
      <c r="D229" s="58">
        <v>7</v>
      </c>
      <c r="E229" s="58">
        <v>7.5</v>
      </c>
      <c r="F229" s="58" t="s">
        <v>80</v>
      </c>
      <c r="G229" s="58" t="s">
        <v>107</v>
      </c>
      <c r="H229" s="48">
        <v>7</v>
      </c>
      <c r="I229" s="44">
        <f t="shared" si="3"/>
        <v>45</v>
      </c>
      <c r="J229" s="10"/>
    </row>
    <row r="230" spans="1:10" hidden="1" x14ac:dyDescent="0.3">
      <c r="A230" s="59" t="s">
        <v>2</v>
      </c>
      <c r="B230" s="58" t="s">
        <v>5</v>
      </c>
      <c r="C230" s="58">
        <v>6</v>
      </c>
      <c r="D230" s="58">
        <v>7</v>
      </c>
      <c r="E230" s="58">
        <v>7.5</v>
      </c>
      <c r="F230" s="58" t="s">
        <v>80</v>
      </c>
      <c r="G230" s="58" t="s">
        <v>110</v>
      </c>
      <c r="H230" s="48">
        <v>8</v>
      </c>
      <c r="I230" s="44">
        <f t="shared" si="3"/>
        <v>51.428571428571431</v>
      </c>
      <c r="J230" s="10"/>
    </row>
    <row r="231" spans="1:10" hidden="1" x14ac:dyDescent="0.3">
      <c r="A231" s="59" t="s">
        <v>2</v>
      </c>
      <c r="B231" s="58" t="s">
        <v>5</v>
      </c>
      <c r="C231" s="58">
        <v>6</v>
      </c>
      <c r="D231" s="58">
        <v>7</v>
      </c>
      <c r="E231" s="58">
        <v>7.5</v>
      </c>
      <c r="F231" s="58" t="s">
        <v>80</v>
      </c>
      <c r="G231" s="58" t="s">
        <v>110</v>
      </c>
      <c r="H231" s="48">
        <v>8</v>
      </c>
      <c r="I231" s="44">
        <f t="shared" si="3"/>
        <v>51.428571428571431</v>
      </c>
      <c r="J231" s="10"/>
    </row>
    <row r="232" spans="1:10" hidden="1" x14ac:dyDescent="0.3">
      <c r="A232" s="59" t="s">
        <v>2</v>
      </c>
      <c r="B232" s="60" t="s">
        <v>5</v>
      </c>
      <c r="C232" s="58">
        <v>6</v>
      </c>
      <c r="D232" s="58">
        <v>7</v>
      </c>
      <c r="E232" s="58">
        <v>7.5</v>
      </c>
      <c r="F232" s="58" t="s">
        <v>80</v>
      </c>
      <c r="G232" s="58" t="s">
        <v>113</v>
      </c>
      <c r="H232" s="48">
        <v>7</v>
      </c>
      <c r="I232" s="44">
        <f t="shared" si="3"/>
        <v>45</v>
      </c>
      <c r="J232" s="10"/>
    </row>
    <row r="233" spans="1:10" hidden="1" x14ac:dyDescent="0.3">
      <c r="A233" s="59" t="s">
        <v>2</v>
      </c>
      <c r="B233" s="60" t="s">
        <v>5</v>
      </c>
      <c r="C233" s="58">
        <v>6</v>
      </c>
      <c r="D233" s="58">
        <v>7</v>
      </c>
      <c r="E233" s="58">
        <v>7.5</v>
      </c>
      <c r="F233" s="58" t="s">
        <v>80</v>
      </c>
      <c r="G233" s="58" t="s">
        <v>113</v>
      </c>
      <c r="H233" s="48">
        <v>7</v>
      </c>
      <c r="I233" s="44">
        <f t="shared" si="3"/>
        <v>45</v>
      </c>
      <c r="J233" s="10"/>
    </row>
    <row r="234" spans="1:10" hidden="1" x14ac:dyDescent="0.3">
      <c r="A234" s="59" t="s">
        <v>2</v>
      </c>
      <c r="B234" s="60" t="s">
        <v>5</v>
      </c>
      <c r="C234" s="58">
        <v>6</v>
      </c>
      <c r="D234" s="58">
        <v>7</v>
      </c>
      <c r="E234" s="58">
        <v>7.5</v>
      </c>
      <c r="F234" s="58" t="s">
        <v>80</v>
      </c>
      <c r="G234" s="58" t="s">
        <v>116</v>
      </c>
      <c r="H234" s="48">
        <v>4</v>
      </c>
      <c r="I234" s="44">
        <f t="shared" si="3"/>
        <v>25.714285714285715</v>
      </c>
      <c r="J234" s="10"/>
    </row>
    <row r="235" spans="1:10" hidden="1" x14ac:dyDescent="0.3">
      <c r="A235" s="59" t="s">
        <v>2</v>
      </c>
      <c r="B235" s="60" t="s">
        <v>5</v>
      </c>
      <c r="C235" s="58">
        <v>6</v>
      </c>
      <c r="D235" s="58">
        <v>7</v>
      </c>
      <c r="E235" s="58">
        <v>7.5</v>
      </c>
      <c r="F235" s="58" t="s">
        <v>80</v>
      </c>
      <c r="G235" s="58" t="s">
        <v>116</v>
      </c>
      <c r="H235" s="48">
        <v>4</v>
      </c>
      <c r="I235" s="44">
        <f t="shared" si="3"/>
        <v>25.714285714285715</v>
      </c>
      <c r="J235" s="10"/>
    </row>
    <row r="236" spans="1:10" hidden="1" x14ac:dyDescent="0.3">
      <c r="A236" s="59" t="s">
        <v>2</v>
      </c>
      <c r="B236" s="60" t="s">
        <v>5</v>
      </c>
      <c r="C236" s="58">
        <v>6</v>
      </c>
      <c r="D236" s="58">
        <v>6</v>
      </c>
      <c r="E236" s="58">
        <v>7.5</v>
      </c>
      <c r="F236" s="58" t="s">
        <v>87</v>
      </c>
      <c r="G236" s="58" t="s">
        <v>119</v>
      </c>
      <c r="H236" s="48">
        <v>12</v>
      </c>
      <c r="I236" s="44">
        <f t="shared" si="3"/>
        <v>90</v>
      </c>
      <c r="J236" s="10"/>
    </row>
    <row r="237" spans="1:10" hidden="1" x14ac:dyDescent="0.3">
      <c r="A237" s="61" t="s">
        <v>2</v>
      </c>
      <c r="B237" s="62" t="s">
        <v>5</v>
      </c>
      <c r="C237" s="58">
        <v>7</v>
      </c>
      <c r="D237" s="58">
        <v>6</v>
      </c>
      <c r="E237" s="58">
        <v>7.5</v>
      </c>
      <c r="F237" s="58" t="s">
        <v>87</v>
      </c>
      <c r="G237" s="58" t="s">
        <v>122</v>
      </c>
      <c r="H237" s="48">
        <v>8</v>
      </c>
      <c r="I237" s="44">
        <f t="shared" si="3"/>
        <v>70</v>
      </c>
      <c r="J237" s="10"/>
    </row>
    <row r="238" spans="1:10" hidden="1" x14ac:dyDescent="0.3">
      <c r="A238" s="61" t="s">
        <v>2</v>
      </c>
      <c r="B238" s="69" t="s">
        <v>5</v>
      </c>
      <c r="C238" s="58">
        <v>5</v>
      </c>
      <c r="D238" s="58">
        <v>6</v>
      </c>
      <c r="E238" s="58">
        <v>7.5</v>
      </c>
      <c r="F238" s="58" t="s">
        <v>87</v>
      </c>
      <c r="G238" s="58" t="s">
        <v>125</v>
      </c>
      <c r="H238" s="48">
        <v>8</v>
      </c>
      <c r="I238" s="44">
        <f t="shared" si="3"/>
        <v>50</v>
      </c>
      <c r="J238" s="10"/>
    </row>
    <row r="239" spans="1:10" hidden="1" x14ac:dyDescent="0.3">
      <c r="A239" s="59" t="s">
        <v>2</v>
      </c>
      <c r="B239" s="63" t="s">
        <v>5</v>
      </c>
      <c r="C239" s="58">
        <v>7</v>
      </c>
      <c r="D239" s="58">
        <v>6</v>
      </c>
      <c r="E239" s="58">
        <v>7.5</v>
      </c>
      <c r="F239" s="58" t="s">
        <v>87</v>
      </c>
      <c r="G239" s="58" t="s">
        <v>128</v>
      </c>
      <c r="H239" s="48">
        <v>8</v>
      </c>
      <c r="I239" s="44">
        <f t="shared" si="3"/>
        <v>70</v>
      </c>
      <c r="J239" s="10"/>
    </row>
    <row r="240" spans="1:10" hidden="1" x14ac:dyDescent="0.3">
      <c r="A240" s="59" t="s">
        <v>2</v>
      </c>
      <c r="B240" s="60" t="s">
        <v>5</v>
      </c>
      <c r="C240" s="58">
        <v>5</v>
      </c>
      <c r="D240" s="58">
        <v>6</v>
      </c>
      <c r="E240" s="58">
        <v>7.5</v>
      </c>
      <c r="F240" s="58" t="s">
        <v>87</v>
      </c>
      <c r="G240" s="58" t="s">
        <v>131</v>
      </c>
      <c r="H240" s="48">
        <v>8</v>
      </c>
      <c r="I240" s="44">
        <f t="shared" si="3"/>
        <v>50</v>
      </c>
      <c r="J240" s="10"/>
    </row>
    <row r="241" spans="1:13" hidden="1" x14ac:dyDescent="0.3">
      <c r="A241" s="59" t="s">
        <v>2</v>
      </c>
      <c r="B241" s="60" t="s">
        <v>5</v>
      </c>
      <c r="C241" s="58">
        <v>7</v>
      </c>
      <c r="D241" s="58">
        <v>6</v>
      </c>
      <c r="E241" s="58">
        <v>7.5</v>
      </c>
      <c r="F241" s="58" t="s">
        <v>87</v>
      </c>
      <c r="G241" s="58" t="s">
        <v>134</v>
      </c>
      <c r="H241" s="48">
        <v>3</v>
      </c>
      <c r="I241" s="44">
        <f t="shared" si="3"/>
        <v>26.25</v>
      </c>
      <c r="J241" s="10"/>
    </row>
    <row r="242" spans="1:13" hidden="1" x14ac:dyDescent="0.3">
      <c r="A242" s="58" t="s">
        <v>2</v>
      </c>
      <c r="B242" s="60" t="s">
        <v>5</v>
      </c>
      <c r="C242" s="58">
        <v>7</v>
      </c>
      <c r="D242" s="58">
        <v>5.6</v>
      </c>
      <c r="E242" s="58">
        <v>7.5</v>
      </c>
      <c r="F242" s="58" t="s">
        <v>94</v>
      </c>
      <c r="G242" s="58" t="s">
        <v>137</v>
      </c>
      <c r="H242" s="48">
        <v>12</v>
      </c>
      <c r="I242" s="44">
        <f t="shared" si="3"/>
        <v>112.50000000000001</v>
      </c>
      <c r="J242" s="10"/>
    </row>
    <row r="243" spans="1:13" hidden="1" x14ac:dyDescent="0.3">
      <c r="A243" s="74" t="s">
        <v>2</v>
      </c>
      <c r="B243" s="62" t="s">
        <v>5</v>
      </c>
      <c r="C243" s="58">
        <v>7</v>
      </c>
      <c r="D243" s="58">
        <v>5.6</v>
      </c>
      <c r="E243" s="58">
        <v>7.5</v>
      </c>
      <c r="F243" s="58" t="s">
        <v>94</v>
      </c>
      <c r="G243" s="58" t="s">
        <v>140</v>
      </c>
      <c r="H243" s="48">
        <v>8</v>
      </c>
      <c r="I243" s="44">
        <f t="shared" si="3"/>
        <v>75</v>
      </c>
      <c r="J243" s="10"/>
    </row>
    <row r="244" spans="1:13" hidden="1" x14ac:dyDescent="0.3">
      <c r="A244" s="75" t="s">
        <v>2</v>
      </c>
      <c r="B244" s="55" t="s">
        <v>5</v>
      </c>
      <c r="C244" s="58">
        <v>6</v>
      </c>
      <c r="D244" s="55">
        <v>5.6</v>
      </c>
      <c r="E244" s="55">
        <v>7.5</v>
      </c>
      <c r="F244" s="55" t="s">
        <v>94</v>
      </c>
      <c r="G244" s="55" t="s">
        <v>143</v>
      </c>
      <c r="H244" s="48">
        <v>8</v>
      </c>
      <c r="I244" s="44">
        <f t="shared" si="3"/>
        <v>64.285714285714292</v>
      </c>
      <c r="J244" s="18"/>
    </row>
    <row r="245" spans="1:13" hidden="1" x14ac:dyDescent="0.3">
      <c r="A245" s="75" t="s">
        <v>2</v>
      </c>
      <c r="B245" s="55" t="s">
        <v>5</v>
      </c>
      <c r="C245" s="58">
        <v>6</v>
      </c>
      <c r="D245" s="55">
        <v>5.6</v>
      </c>
      <c r="E245" s="55">
        <v>7.5</v>
      </c>
      <c r="F245" s="55" t="s">
        <v>94</v>
      </c>
      <c r="G245" s="55" t="s">
        <v>146</v>
      </c>
      <c r="H245" s="48">
        <v>6</v>
      </c>
      <c r="I245" s="44">
        <f t="shared" si="3"/>
        <v>48.214285714285715</v>
      </c>
      <c r="J245" s="18"/>
    </row>
    <row r="246" spans="1:13" hidden="1" x14ac:dyDescent="0.3">
      <c r="A246" s="75" t="s">
        <v>2</v>
      </c>
      <c r="B246" s="55" t="s">
        <v>5</v>
      </c>
      <c r="C246" s="58">
        <v>7</v>
      </c>
      <c r="D246" s="55">
        <v>5.6</v>
      </c>
      <c r="E246" s="55">
        <v>7.5</v>
      </c>
      <c r="F246" s="55" t="s">
        <v>94</v>
      </c>
      <c r="G246" s="55" t="s">
        <v>149</v>
      </c>
      <c r="H246" s="48">
        <v>8</v>
      </c>
      <c r="I246" s="44">
        <f t="shared" si="3"/>
        <v>75</v>
      </c>
      <c r="J246" s="18"/>
    </row>
    <row r="247" spans="1:13" hidden="1" x14ac:dyDescent="0.3">
      <c r="A247" s="75" t="s">
        <v>2</v>
      </c>
      <c r="B247" s="55" t="s">
        <v>5</v>
      </c>
      <c r="C247" s="58">
        <v>7</v>
      </c>
      <c r="D247" s="55">
        <v>5.6</v>
      </c>
      <c r="E247" s="55">
        <v>7.5</v>
      </c>
      <c r="F247" s="55" t="s">
        <v>94</v>
      </c>
      <c r="G247" s="55" t="s">
        <v>152</v>
      </c>
      <c r="H247" s="48">
        <v>8</v>
      </c>
      <c r="I247" s="44">
        <f t="shared" si="3"/>
        <v>75</v>
      </c>
      <c r="J247" s="18"/>
    </row>
    <row r="248" spans="1:13" hidden="1" x14ac:dyDescent="0.3">
      <c r="A248" s="64" t="s">
        <v>2</v>
      </c>
      <c r="B248" s="55" t="s">
        <v>34</v>
      </c>
      <c r="C248" s="58">
        <v>7</v>
      </c>
      <c r="D248" s="55">
        <v>8</v>
      </c>
      <c r="E248" s="55">
        <v>7.5</v>
      </c>
      <c r="F248" s="55" t="s">
        <v>73</v>
      </c>
      <c r="G248" s="55" t="s">
        <v>72</v>
      </c>
      <c r="H248" s="48">
        <v>7</v>
      </c>
      <c r="I248" s="44">
        <f t="shared" si="3"/>
        <v>45.9375</v>
      </c>
      <c r="J248" s="18"/>
    </row>
    <row r="249" spans="1:13" hidden="1" x14ac:dyDescent="0.3">
      <c r="A249" s="64" t="s">
        <v>2</v>
      </c>
      <c r="B249" s="55" t="s">
        <v>34</v>
      </c>
      <c r="C249" s="58">
        <v>1</v>
      </c>
      <c r="D249" s="55">
        <v>8</v>
      </c>
      <c r="E249" s="55">
        <v>7.5</v>
      </c>
      <c r="F249" s="55" t="s">
        <v>73</v>
      </c>
      <c r="G249" s="55" t="s">
        <v>72</v>
      </c>
      <c r="H249" s="48">
        <v>7</v>
      </c>
      <c r="I249" s="44">
        <f t="shared" si="3"/>
        <v>6.5625</v>
      </c>
      <c r="J249" s="35"/>
      <c r="K249" s="407"/>
      <c r="L249" s="408"/>
      <c r="M249" s="408"/>
    </row>
    <row r="250" spans="1:13" hidden="1" x14ac:dyDescent="0.3">
      <c r="A250" s="64" t="s">
        <v>2</v>
      </c>
      <c r="B250" s="55" t="s">
        <v>34</v>
      </c>
      <c r="C250" s="58">
        <v>8</v>
      </c>
      <c r="D250" s="55">
        <v>8</v>
      </c>
      <c r="E250" s="55">
        <v>7.5</v>
      </c>
      <c r="F250" s="55" t="s">
        <v>73</v>
      </c>
      <c r="G250" s="55" t="s">
        <v>79</v>
      </c>
      <c r="H250" s="48">
        <v>6</v>
      </c>
      <c r="I250" s="44">
        <f t="shared" si="3"/>
        <v>45</v>
      </c>
      <c r="J250" s="35"/>
      <c r="K250" s="407"/>
      <c r="L250" s="408"/>
      <c r="M250" s="408"/>
    </row>
    <row r="251" spans="1:13" hidden="1" x14ac:dyDescent="0.3">
      <c r="A251" s="64" t="s">
        <v>2</v>
      </c>
      <c r="B251" s="55" t="s">
        <v>34</v>
      </c>
      <c r="C251" s="58">
        <v>6</v>
      </c>
      <c r="D251" s="55">
        <v>8</v>
      </c>
      <c r="E251" s="55">
        <v>7.5</v>
      </c>
      <c r="F251" s="55" t="s">
        <v>73</v>
      </c>
      <c r="G251" s="55" t="s">
        <v>79</v>
      </c>
      <c r="H251" s="48">
        <v>6</v>
      </c>
      <c r="I251" s="44">
        <f t="shared" si="3"/>
        <v>33.75</v>
      </c>
      <c r="J251" s="35"/>
      <c r="K251" s="407"/>
      <c r="L251" s="408"/>
      <c r="M251" s="408"/>
    </row>
    <row r="252" spans="1:13" hidden="1" x14ac:dyDescent="0.3">
      <c r="A252" s="64" t="s">
        <v>2</v>
      </c>
      <c r="B252" s="55" t="s">
        <v>34</v>
      </c>
      <c r="C252" s="58">
        <v>8</v>
      </c>
      <c r="D252" s="55">
        <v>8</v>
      </c>
      <c r="E252" s="55">
        <v>7.5</v>
      </c>
      <c r="F252" s="55" t="s">
        <v>73</v>
      </c>
      <c r="G252" s="55" t="s">
        <v>86</v>
      </c>
      <c r="H252" s="48">
        <v>8</v>
      </c>
      <c r="I252" s="44">
        <f t="shared" si="3"/>
        <v>60</v>
      </c>
      <c r="J252" s="35"/>
      <c r="K252" s="407"/>
      <c r="L252" s="408"/>
      <c r="M252" s="408"/>
    </row>
    <row r="253" spans="1:13" hidden="1" x14ac:dyDescent="0.3">
      <c r="A253" s="64" t="s">
        <v>2</v>
      </c>
      <c r="B253" s="55" t="s">
        <v>34</v>
      </c>
      <c r="C253" s="58">
        <v>5</v>
      </c>
      <c r="D253" s="55">
        <v>8</v>
      </c>
      <c r="E253" s="55">
        <v>7.5</v>
      </c>
      <c r="F253" s="55" t="s">
        <v>73</v>
      </c>
      <c r="G253" s="55" t="s">
        <v>86</v>
      </c>
      <c r="H253" s="48">
        <v>8</v>
      </c>
      <c r="I253" s="44">
        <f t="shared" si="3"/>
        <v>37.5</v>
      </c>
      <c r="J253" s="18"/>
    </row>
    <row r="254" spans="1:13" hidden="1" x14ac:dyDescent="0.3">
      <c r="A254" s="64" t="s">
        <v>2</v>
      </c>
      <c r="B254" s="55" t="s">
        <v>34</v>
      </c>
      <c r="C254" s="58">
        <v>8</v>
      </c>
      <c r="D254" s="55">
        <v>8</v>
      </c>
      <c r="E254" s="55">
        <v>7.5</v>
      </c>
      <c r="F254" s="55" t="s">
        <v>73</v>
      </c>
      <c r="G254" s="55" t="s">
        <v>93</v>
      </c>
      <c r="H254" s="48">
        <v>8</v>
      </c>
      <c r="I254" s="44">
        <f t="shared" si="3"/>
        <v>60</v>
      </c>
      <c r="J254" s="18"/>
    </row>
    <row r="255" spans="1:13" hidden="1" x14ac:dyDescent="0.3">
      <c r="A255" s="64" t="s">
        <v>2</v>
      </c>
      <c r="B255" s="55" t="s">
        <v>34</v>
      </c>
      <c r="C255" s="58">
        <v>6.7</v>
      </c>
      <c r="D255" s="55">
        <v>8</v>
      </c>
      <c r="E255" s="55">
        <v>7.5</v>
      </c>
      <c r="F255" s="55" t="s">
        <v>73</v>
      </c>
      <c r="G255" s="55" t="s">
        <v>93</v>
      </c>
      <c r="H255" s="48">
        <v>8</v>
      </c>
      <c r="I255" s="44">
        <f t="shared" si="3"/>
        <v>50.25</v>
      </c>
      <c r="J255" s="18"/>
    </row>
    <row r="256" spans="1:13" hidden="1" x14ac:dyDescent="0.3">
      <c r="A256" s="64" t="s">
        <v>2</v>
      </c>
      <c r="B256" s="55" t="s">
        <v>34</v>
      </c>
      <c r="C256" s="58">
        <v>8</v>
      </c>
      <c r="D256" s="55">
        <v>8</v>
      </c>
      <c r="E256" s="55">
        <v>7.5</v>
      </c>
      <c r="F256" s="55" t="s">
        <v>73</v>
      </c>
      <c r="G256" s="55" t="s">
        <v>98</v>
      </c>
      <c r="H256" s="48">
        <v>7</v>
      </c>
      <c r="I256" s="44">
        <f t="shared" si="3"/>
        <v>52.5</v>
      </c>
      <c r="J256" s="18"/>
    </row>
    <row r="257" spans="1:10" hidden="1" x14ac:dyDescent="0.3">
      <c r="A257" s="64" t="s">
        <v>2</v>
      </c>
      <c r="B257" s="55" t="s">
        <v>34</v>
      </c>
      <c r="C257" s="58">
        <v>6.5</v>
      </c>
      <c r="D257" s="55">
        <v>8</v>
      </c>
      <c r="E257" s="55">
        <v>7.5</v>
      </c>
      <c r="F257" s="55" t="s">
        <v>73</v>
      </c>
      <c r="G257" s="55" t="s">
        <v>98</v>
      </c>
      <c r="H257" s="48">
        <v>7</v>
      </c>
      <c r="I257" s="44">
        <f t="shared" si="3"/>
        <v>42.65625</v>
      </c>
      <c r="J257" s="18"/>
    </row>
    <row r="258" spans="1:10" hidden="1" x14ac:dyDescent="0.3">
      <c r="A258" s="64" t="s">
        <v>2</v>
      </c>
      <c r="B258" s="55" t="s">
        <v>34</v>
      </c>
      <c r="C258" s="58">
        <v>8</v>
      </c>
      <c r="D258" s="55">
        <v>8</v>
      </c>
      <c r="E258" s="55">
        <v>7.5</v>
      </c>
      <c r="F258" s="55" t="s">
        <v>73</v>
      </c>
      <c r="G258" s="55" t="s">
        <v>101</v>
      </c>
      <c r="H258" s="48">
        <v>3</v>
      </c>
      <c r="I258" s="44">
        <f t="shared" ref="I258:I321" si="4">IF(D258&gt;0,(((H258*E258)*C258)/D258),"")</f>
        <v>22.5</v>
      </c>
      <c r="J258" s="18"/>
    </row>
    <row r="259" spans="1:10" hidden="1" x14ac:dyDescent="0.3">
      <c r="A259" s="64" t="s">
        <v>2</v>
      </c>
      <c r="B259" s="55" t="s">
        <v>34</v>
      </c>
      <c r="C259" s="58">
        <v>7</v>
      </c>
      <c r="D259" s="55">
        <v>8</v>
      </c>
      <c r="E259" s="55">
        <v>7.5</v>
      </c>
      <c r="F259" s="55" t="s">
        <v>73</v>
      </c>
      <c r="G259" s="55" t="s">
        <v>101</v>
      </c>
      <c r="H259" s="48">
        <v>3</v>
      </c>
      <c r="I259" s="44">
        <f t="shared" si="4"/>
        <v>19.6875</v>
      </c>
      <c r="J259" s="18"/>
    </row>
    <row r="260" spans="1:10" hidden="1" x14ac:dyDescent="0.3">
      <c r="A260" s="64" t="s">
        <v>2</v>
      </c>
      <c r="B260" s="55" t="s">
        <v>34</v>
      </c>
      <c r="C260" s="58">
        <v>6</v>
      </c>
      <c r="D260" s="55">
        <v>7</v>
      </c>
      <c r="E260" s="55">
        <v>7.5</v>
      </c>
      <c r="F260" s="55" t="s">
        <v>80</v>
      </c>
      <c r="G260" s="55" t="s">
        <v>104</v>
      </c>
      <c r="H260" s="48">
        <v>8</v>
      </c>
      <c r="I260" s="44">
        <f t="shared" si="4"/>
        <v>51.428571428571431</v>
      </c>
      <c r="J260" s="18"/>
    </row>
    <row r="261" spans="1:10" hidden="1" x14ac:dyDescent="0.3">
      <c r="A261" s="64" t="s">
        <v>2</v>
      </c>
      <c r="B261" s="55" t="s">
        <v>34</v>
      </c>
      <c r="C261" s="58">
        <v>6</v>
      </c>
      <c r="D261" s="55">
        <v>7</v>
      </c>
      <c r="E261" s="55">
        <v>7.5</v>
      </c>
      <c r="F261" s="55" t="s">
        <v>80</v>
      </c>
      <c r="G261" s="55" t="s">
        <v>104</v>
      </c>
      <c r="H261" s="48">
        <v>8</v>
      </c>
      <c r="I261" s="44">
        <f t="shared" si="4"/>
        <v>51.428571428571431</v>
      </c>
      <c r="J261" s="18"/>
    </row>
    <row r="262" spans="1:10" hidden="1" x14ac:dyDescent="0.3">
      <c r="A262" s="64" t="s">
        <v>2</v>
      </c>
      <c r="B262" s="55" t="s">
        <v>34</v>
      </c>
      <c r="C262" s="58">
        <v>6</v>
      </c>
      <c r="D262" s="55">
        <v>7</v>
      </c>
      <c r="E262" s="55">
        <v>7.5</v>
      </c>
      <c r="F262" s="55" t="s">
        <v>80</v>
      </c>
      <c r="G262" s="55" t="s">
        <v>107</v>
      </c>
      <c r="H262" s="48">
        <v>7</v>
      </c>
      <c r="I262" s="44">
        <f t="shared" si="4"/>
        <v>45</v>
      </c>
      <c r="J262" s="18"/>
    </row>
    <row r="263" spans="1:10" hidden="1" x14ac:dyDescent="0.3">
      <c r="A263" s="64" t="s">
        <v>2</v>
      </c>
      <c r="B263" s="55" t="s">
        <v>34</v>
      </c>
      <c r="C263" s="58">
        <v>6</v>
      </c>
      <c r="D263" s="55">
        <v>7</v>
      </c>
      <c r="E263" s="55">
        <v>7.5</v>
      </c>
      <c r="F263" s="55" t="s">
        <v>80</v>
      </c>
      <c r="G263" s="55" t="s">
        <v>107</v>
      </c>
      <c r="H263" s="48">
        <v>7</v>
      </c>
      <c r="I263" s="44">
        <f t="shared" si="4"/>
        <v>45</v>
      </c>
      <c r="J263" s="18"/>
    </row>
    <row r="264" spans="1:10" hidden="1" x14ac:dyDescent="0.3">
      <c r="A264" s="64" t="s">
        <v>2</v>
      </c>
      <c r="B264" s="55" t="s">
        <v>34</v>
      </c>
      <c r="C264" s="58">
        <v>6</v>
      </c>
      <c r="D264" s="55">
        <v>7</v>
      </c>
      <c r="E264" s="55">
        <v>7.5</v>
      </c>
      <c r="F264" s="55" t="s">
        <v>80</v>
      </c>
      <c r="G264" s="55" t="s">
        <v>110</v>
      </c>
      <c r="H264" s="48">
        <v>8</v>
      </c>
      <c r="I264" s="44">
        <f t="shared" si="4"/>
        <v>51.428571428571431</v>
      </c>
      <c r="J264" s="18"/>
    </row>
    <row r="265" spans="1:10" hidden="1" x14ac:dyDescent="0.3">
      <c r="A265" s="64" t="s">
        <v>2</v>
      </c>
      <c r="B265" s="55" t="s">
        <v>34</v>
      </c>
      <c r="C265" s="58">
        <v>6</v>
      </c>
      <c r="D265" s="55">
        <v>7</v>
      </c>
      <c r="E265" s="55">
        <v>7.5</v>
      </c>
      <c r="F265" s="55" t="s">
        <v>80</v>
      </c>
      <c r="G265" s="55" t="s">
        <v>110</v>
      </c>
      <c r="H265" s="48">
        <v>8</v>
      </c>
      <c r="I265" s="44">
        <f t="shared" si="4"/>
        <v>51.428571428571431</v>
      </c>
      <c r="J265" s="18"/>
    </row>
    <row r="266" spans="1:10" hidden="1" x14ac:dyDescent="0.3">
      <c r="A266" s="64" t="s">
        <v>2</v>
      </c>
      <c r="B266" s="55" t="s">
        <v>34</v>
      </c>
      <c r="C266" s="58">
        <v>6</v>
      </c>
      <c r="D266" s="58">
        <v>7</v>
      </c>
      <c r="E266" s="55">
        <v>7.5</v>
      </c>
      <c r="F266" s="55" t="s">
        <v>80</v>
      </c>
      <c r="G266" s="55" t="s">
        <v>113</v>
      </c>
      <c r="H266" s="48">
        <v>7</v>
      </c>
      <c r="I266" s="44">
        <f t="shared" si="4"/>
        <v>45</v>
      </c>
      <c r="J266" s="18"/>
    </row>
    <row r="267" spans="1:10" hidden="1" x14ac:dyDescent="0.3">
      <c r="A267" s="64" t="s">
        <v>2</v>
      </c>
      <c r="B267" s="55" t="s">
        <v>34</v>
      </c>
      <c r="C267" s="58">
        <v>6</v>
      </c>
      <c r="D267" s="58">
        <v>7</v>
      </c>
      <c r="E267" s="55">
        <v>7.5</v>
      </c>
      <c r="F267" s="55" t="s">
        <v>80</v>
      </c>
      <c r="G267" s="55" t="s">
        <v>113</v>
      </c>
      <c r="H267" s="48">
        <v>7</v>
      </c>
      <c r="I267" s="44">
        <f t="shared" si="4"/>
        <v>45</v>
      </c>
      <c r="J267" s="18"/>
    </row>
    <row r="268" spans="1:10" hidden="1" x14ac:dyDescent="0.3">
      <c r="A268" s="64" t="s">
        <v>2</v>
      </c>
      <c r="B268" s="55" t="s">
        <v>34</v>
      </c>
      <c r="C268" s="58">
        <v>6</v>
      </c>
      <c r="D268" s="58">
        <v>7</v>
      </c>
      <c r="E268" s="55">
        <v>7.5</v>
      </c>
      <c r="F268" s="55" t="s">
        <v>80</v>
      </c>
      <c r="G268" s="55" t="s">
        <v>116</v>
      </c>
      <c r="H268" s="48">
        <v>4</v>
      </c>
      <c r="I268" s="44">
        <f t="shared" si="4"/>
        <v>25.714285714285715</v>
      </c>
      <c r="J268" s="18"/>
    </row>
    <row r="269" spans="1:10" hidden="1" x14ac:dyDescent="0.3">
      <c r="A269" s="64" t="s">
        <v>2</v>
      </c>
      <c r="B269" s="55" t="s">
        <v>34</v>
      </c>
      <c r="C269" s="58">
        <v>6</v>
      </c>
      <c r="D269" s="58">
        <v>7</v>
      </c>
      <c r="E269" s="55">
        <v>7.5</v>
      </c>
      <c r="F269" s="55" t="s">
        <v>80</v>
      </c>
      <c r="G269" s="55" t="s">
        <v>116</v>
      </c>
      <c r="H269" s="48">
        <v>4</v>
      </c>
      <c r="I269" s="44">
        <f t="shared" si="4"/>
        <v>25.714285714285715</v>
      </c>
      <c r="J269" s="18"/>
    </row>
    <row r="270" spans="1:10" hidden="1" x14ac:dyDescent="0.3">
      <c r="A270" s="64" t="s">
        <v>2</v>
      </c>
      <c r="B270" s="55" t="s">
        <v>34</v>
      </c>
      <c r="C270" s="58">
        <v>5</v>
      </c>
      <c r="D270" s="58">
        <v>6</v>
      </c>
      <c r="E270" s="55">
        <v>7.5</v>
      </c>
      <c r="F270" s="55" t="s">
        <v>87</v>
      </c>
      <c r="G270" s="55" t="s">
        <v>119</v>
      </c>
      <c r="H270" s="48">
        <f>IF(G270&gt;0,VLOOKUP(G270,Apoio!$O$2:$P$24,2,0),"")</f>
        <v>12</v>
      </c>
      <c r="I270" s="44">
        <f t="shared" si="4"/>
        <v>75</v>
      </c>
      <c r="J270" s="18"/>
    </row>
    <row r="271" spans="1:10" hidden="1" x14ac:dyDescent="0.3">
      <c r="A271" s="64" t="s">
        <v>2</v>
      </c>
      <c r="B271" s="55" t="s">
        <v>34</v>
      </c>
      <c r="C271" s="58">
        <v>5</v>
      </c>
      <c r="D271" s="58">
        <v>6</v>
      </c>
      <c r="E271" s="55">
        <v>7.5</v>
      </c>
      <c r="F271" s="55" t="s">
        <v>87</v>
      </c>
      <c r="G271" s="55" t="s">
        <v>122</v>
      </c>
      <c r="H271" s="48">
        <f>IF(G271&gt;0,VLOOKUP(G271,Apoio!$O$2:$P$24,2,0),"")</f>
        <v>8</v>
      </c>
      <c r="I271" s="44">
        <f t="shared" si="4"/>
        <v>50</v>
      </c>
      <c r="J271" s="18"/>
    </row>
    <row r="272" spans="1:10" hidden="1" x14ac:dyDescent="0.3">
      <c r="A272" s="64" t="s">
        <v>2</v>
      </c>
      <c r="B272" s="55" t="s">
        <v>34</v>
      </c>
      <c r="C272" s="58">
        <v>6</v>
      </c>
      <c r="D272" s="58">
        <v>6</v>
      </c>
      <c r="E272" s="55">
        <v>7.5</v>
      </c>
      <c r="F272" s="55" t="s">
        <v>87</v>
      </c>
      <c r="G272" s="55" t="s">
        <v>125</v>
      </c>
      <c r="H272" s="48">
        <f>IF(G272&gt;0,VLOOKUP(G272,Apoio!$O$2:$P$24,2,0),"")</f>
        <v>8</v>
      </c>
      <c r="I272" s="44">
        <f t="shared" si="4"/>
        <v>60</v>
      </c>
      <c r="J272" s="18"/>
    </row>
    <row r="273" spans="1:10" hidden="1" x14ac:dyDescent="0.3">
      <c r="A273" s="64" t="s">
        <v>2</v>
      </c>
      <c r="B273" s="55" t="s">
        <v>34</v>
      </c>
      <c r="C273" s="58">
        <v>6</v>
      </c>
      <c r="D273" s="58">
        <v>6</v>
      </c>
      <c r="E273" s="55">
        <v>7.5</v>
      </c>
      <c r="F273" s="55" t="s">
        <v>87</v>
      </c>
      <c r="G273" s="55" t="s">
        <v>128</v>
      </c>
      <c r="H273" s="48">
        <f>IF(G273&gt;0,VLOOKUP(G273,Apoio!$O$2:$P$24,2,0),"")</f>
        <v>8</v>
      </c>
      <c r="I273" s="44">
        <f t="shared" si="4"/>
        <v>60</v>
      </c>
      <c r="J273" s="18"/>
    </row>
    <row r="274" spans="1:10" hidden="1" x14ac:dyDescent="0.3">
      <c r="A274" s="64" t="s">
        <v>2</v>
      </c>
      <c r="B274" s="55" t="s">
        <v>34</v>
      </c>
      <c r="C274" s="58">
        <v>7</v>
      </c>
      <c r="D274" s="58">
        <v>6</v>
      </c>
      <c r="E274" s="55">
        <v>7.5</v>
      </c>
      <c r="F274" s="55" t="s">
        <v>87</v>
      </c>
      <c r="G274" s="55" t="s">
        <v>131</v>
      </c>
      <c r="H274" s="48">
        <f>IF(G274&gt;0,VLOOKUP(G274,Apoio!$O$2:$P$24,2,0),"")</f>
        <v>8</v>
      </c>
      <c r="I274" s="44">
        <f t="shared" si="4"/>
        <v>70</v>
      </c>
      <c r="J274" s="18"/>
    </row>
    <row r="275" spans="1:10" hidden="1" x14ac:dyDescent="0.3">
      <c r="A275" s="64" t="s">
        <v>2</v>
      </c>
      <c r="B275" s="55" t="s">
        <v>34</v>
      </c>
      <c r="C275" s="58">
        <v>7</v>
      </c>
      <c r="D275" s="58">
        <v>6</v>
      </c>
      <c r="E275" s="55">
        <v>7.5</v>
      </c>
      <c r="F275" s="55" t="s">
        <v>87</v>
      </c>
      <c r="G275" s="55" t="s">
        <v>134</v>
      </c>
      <c r="H275" s="48">
        <f>IF(G275&gt;0,VLOOKUP(G275,Apoio!$O$2:$P$24,2,0),"")</f>
        <v>3</v>
      </c>
      <c r="I275" s="44">
        <f t="shared" si="4"/>
        <v>26.25</v>
      </c>
      <c r="J275" s="18"/>
    </row>
    <row r="276" spans="1:10" hidden="1" x14ac:dyDescent="0.3">
      <c r="A276" s="75" t="s">
        <v>2</v>
      </c>
      <c r="B276" s="55" t="s">
        <v>34</v>
      </c>
      <c r="C276" s="58">
        <v>7</v>
      </c>
      <c r="D276" s="58">
        <v>5.5</v>
      </c>
      <c r="E276" s="55">
        <v>7.5</v>
      </c>
      <c r="F276" s="55" t="s">
        <v>94</v>
      </c>
      <c r="G276" s="55" t="s">
        <v>137</v>
      </c>
      <c r="H276" s="48">
        <v>12</v>
      </c>
      <c r="I276" s="44">
        <f t="shared" si="4"/>
        <v>114.54545454545455</v>
      </c>
      <c r="J276" s="18"/>
    </row>
    <row r="277" spans="1:10" hidden="1" x14ac:dyDescent="0.3">
      <c r="A277" s="75" t="s">
        <v>2</v>
      </c>
      <c r="B277" s="55" t="s">
        <v>34</v>
      </c>
      <c r="C277" s="58">
        <v>7</v>
      </c>
      <c r="D277" s="58">
        <v>5.5</v>
      </c>
      <c r="E277" s="55">
        <v>7.5</v>
      </c>
      <c r="F277" s="55" t="s">
        <v>94</v>
      </c>
      <c r="G277" s="55" t="s">
        <v>140</v>
      </c>
      <c r="H277" s="48">
        <v>8</v>
      </c>
      <c r="I277" s="44">
        <f t="shared" si="4"/>
        <v>76.36363636363636</v>
      </c>
      <c r="J277" s="18"/>
    </row>
    <row r="278" spans="1:10" hidden="1" x14ac:dyDescent="0.3">
      <c r="A278" s="75" t="s">
        <v>2</v>
      </c>
      <c r="B278" s="55" t="s">
        <v>34</v>
      </c>
      <c r="C278" s="58">
        <v>7</v>
      </c>
      <c r="D278" s="55">
        <v>5.5</v>
      </c>
      <c r="E278" s="55">
        <v>7.5</v>
      </c>
      <c r="F278" s="55" t="s">
        <v>94</v>
      </c>
      <c r="G278" s="55" t="s">
        <v>143</v>
      </c>
      <c r="H278" s="48">
        <v>8</v>
      </c>
      <c r="I278" s="44">
        <f t="shared" si="4"/>
        <v>76.36363636363636</v>
      </c>
      <c r="J278" s="18"/>
    </row>
    <row r="279" spans="1:10" hidden="1" x14ac:dyDescent="0.3">
      <c r="A279" s="75" t="s">
        <v>2</v>
      </c>
      <c r="B279" s="55" t="s">
        <v>34</v>
      </c>
      <c r="C279" s="58">
        <v>7</v>
      </c>
      <c r="D279" s="55">
        <v>5.5</v>
      </c>
      <c r="E279" s="55">
        <v>7.5</v>
      </c>
      <c r="F279" s="55" t="s">
        <v>94</v>
      </c>
      <c r="G279" s="55" t="s">
        <v>146</v>
      </c>
      <c r="H279" s="48">
        <v>6</v>
      </c>
      <c r="I279" s="44">
        <f t="shared" si="4"/>
        <v>57.272727272727273</v>
      </c>
      <c r="J279" s="18"/>
    </row>
    <row r="280" spans="1:10" hidden="1" x14ac:dyDescent="0.3">
      <c r="A280" s="75" t="s">
        <v>2</v>
      </c>
      <c r="B280" s="55" t="s">
        <v>34</v>
      </c>
      <c r="C280" s="58">
        <v>7</v>
      </c>
      <c r="D280" s="55">
        <v>5.5</v>
      </c>
      <c r="E280" s="55">
        <v>7.5</v>
      </c>
      <c r="F280" s="55" t="s">
        <v>94</v>
      </c>
      <c r="G280" s="55" t="s">
        <v>149</v>
      </c>
      <c r="H280" s="48">
        <v>8</v>
      </c>
      <c r="I280" s="44">
        <f t="shared" si="4"/>
        <v>76.36363636363636</v>
      </c>
      <c r="J280" s="18"/>
    </row>
    <row r="281" spans="1:10" hidden="1" x14ac:dyDescent="0.3">
      <c r="A281" s="75" t="s">
        <v>2</v>
      </c>
      <c r="B281" s="55" t="s">
        <v>34</v>
      </c>
      <c r="C281" s="58">
        <v>7</v>
      </c>
      <c r="D281" s="55">
        <v>5.5</v>
      </c>
      <c r="E281" s="55">
        <v>7.5</v>
      </c>
      <c r="F281" s="55" t="s">
        <v>94</v>
      </c>
      <c r="G281" s="55" t="s">
        <v>152</v>
      </c>
      <c r="H281" s="48">
        <v>8</v>
      </c>
      <c r="I281" s="44">
        <f t="shared" si="4"/>
        <v>76.36363636363636</v>
      </c>
      <c r="J281" s="18"/>
    </row>
    <row r="282" spans="1:10" hidden="1" x14ac:dyDescent="0.3">
      <c r="A282" s="64" t="s">
        <v>2</v>
      </c>
      <c r="B282" s="55" t="s">
        <v>14</v>
      </c>
      <c r="C282" s="58">
        <v>5</v>
      </c>
      <c r="D282" s="55">
        <v>7.6</v>
      </c>
      <c r="E282" s="55">
        <v>7.5</v>
      </c>
      <c r="F282" s="55" t="s">
        <v>73</v>
      </c>
      <c r="G282" s="55" t="s">
        <v>72</v>
      </c>
      <c r="H282" s="48">
        <v>7</v>
      </c>
      <c r="I282" s="44">
        <f t="shared" si="4"/>
        <v>34.539473684210527</v>
      </c>
      <c r="J282" s="18"/>
    </row>
    <row r="283" spans="1:10" hidden="1" x14ac:dyDescent="0.3">
      <c r="A283" s="64" t="s">
        <v>2</v>
      </c>
      <c r="B283" s="55" t="s">
        <v>14</v>
      </c>
      <c r="C283" s="58">
        <v>5</v>
      </c>
      <c r="D283" s="55">
        <v>7.6</v>
      </c>
      <c r="E283" s="55">
        <v>7.5</v>
      </c>
      <c r="F283" s="55" t="s">
        <v>73</v>
      </c>
      <c r="G283" s="55" t="s">
        <v>72</v>
      </c>
      <c r="H283" s="48">
        <v>7</v>
      </c>
      <c r="I283" s="44">
        <f t="shared" si="4"/>
        <v>34.539473684210527</v>
      </c>
      <c r="J283" s="18"/>
    </row>
    <row r="284" spans="1:10" hidden="1" x14ac:dyDescent="0.3">
      <c r="A284" s="64" t="s">
        <v>2</v>
      </c>
      <c r="B284" s="55" t="s">
        <v>14</v>
      </c>
      <c r="C284" s="58">
        <v>5</v>
      </c>
      <c r="D284" s="55">
        <v>7.6</v>
      </c>
      <c r="E284" s="55">
        <v>7.5</v>
      </c>
      <c r="F284" s="55" t="s">
        <v>73</v>
      </c>
      <c r="G284" s="55" t="s">
        <v>79</v>
      </c>
      <c r="H284" s="48">
        <v>6</v>
      </c>
      <c r="I284" s="44">
        <f t="shared" si="4"/>
        <v>29.60526315789474</v>
      </c>
      <c r="J284" s="18"/>
    </row>
    <row r="285" spans="1:10" hidden="1" x14ac:dyDescent="0.3">
      <c r="A285" s="64" t="s">
        <v>2</v>
      </c>
      <c r="B285" s="55" t="s">
        <v>14</v>
      </c>
      <c r="C285" s="58">
        <v>5</v>
      </c>
      <c r="D285" s="55">
        <v>7.6</v>
      </c>
      <c r="E285" s="55">
        <v>7.5</v>
      </c>
      <c r="F285" s="55" t="s">
        <v>73</v>
      </c>
      <c r="G285" s="55" t="s">
        <v>79</v>
      </c>
      <c r="H285" s="48">
        <v>6</v>
      </c>
      <c r="I285" s="44">
        <f t="shared" si="4"/>
        <v>29.60526315789474</v>
      </c>
      <c r="J285" s="18"/>
    </row>
    <row r="286" spans="1:10" hidden="1" x14ac:dyDescent="0.3">
      <c r="A286" s="64" t="s">
        <v>2</v>
      </c>
      <c r="B286" s="55" t="s">
        <v>14</v>
      </c>
      <c r="C286" s="58">
        <v>5</v>
      </c>
      <c r="D286" s="55">
        <v>7.6</v>
      </c>
      <c r="E286" s="55">
        <v>7.5</v>
      </c>
      <c r="F286" s="55" t="s">
        <v>73</v>
      </c>
      <c r="G286" s="55" t="s">
        <v>86</v>
      </c>
      <c r="H286" s="48">
        <v>8</v>
      </c>
      <c r="I286" s="44">
        <f t="shared" si="4"/>
        <v>39.473684210526315</v>
      </c>
      <c r="J286" s="18"/>
    </row>
    <row r="287" spans="1:10" hidden="1" x14ac:dyDescent="0.3">
      <c r="A287" s="64" t="s">
        <v>2</v>
      </c>
      <c r="B287" s="55" t="s">
        <v>14</v>
      </c>
      <c r="C287" s="58">
        <v>5</v>
      </c>
      <c r="D287" s="55">
        <v>7.6</v>
      </c>
      <c r="E287" s="55">
        <v>7.5</v>
      </c>
      <c r="F287" s="55" t="s">
        <v>73</v>
      </c>
      <c r="G287" s="55" t="s">
        <v>86</v>
      </c>
      <c r="H287" s="48">
        <v>8</v>
      </c>
      <c r="I287" s="44">
        <f t="shared" si="4"/>
        <v>39.473684210526315</v>
      </c>
      <c r="J287" s="18"/>
    </row>
    <row r="288" spans="1:10" hidden="1" x14ac:dyDescent="0.3">
      <c r="A288" s="64" t="s">
        <v>2</v>
      </c>
      <c r="B288" s="55" t="s">
        <v>14</v>
      </c>
      <c r="C288" s="58">
        <v>5</v>
      </c>
      <c r="D288" s="55">
        <v>7.6</v>
      </c>
      <c r="E288" s="55">
        <v>7.5</v>
      </c>
      <c r="F288" s="55" t="s">
        <v>73</v>
      </c>
      <c r="G288" s="55" t="s">
        <v>93</v>
      </c>
      <c r="H288" s="48">
        <v>8</v>
      </c>
      <c r="I288" s="44">
        <f t="shared" si="4"/>
        <v>39.473684210526315</v>
      </c>
      <c r="J288" s="18"/>
    </row>
    <row r="289" spans="1:10" hidden="1" x14ac:dyDescent="0.3">
      <c r="A289" s="64" t="s">
        <v>2</v>
      </c>
      <c r="B289" s="55" t="s">
        <v>14</v>
      </c>
      <c r="C289" s="58">
        <v>5</v>
      </c>
      <c r="D289" s="55">
        <v>7.6</v>
      </c>
      <c r="E289" s="55">
        <v>7.5</v>
      </c>
      <c r="F289" s="55" t="s">
        <v>73</v>
      </c>
      <c r="G289" s="55" t="s">
        <v>93</v>
      </c>
      <c r="H289" s="48">
        <v>8</v>
      </c>
      <c r="I289" s="44">
        <f t="shared" si="4"/>
        <v>39.473684210526315</v>
      </c>
      <c r="J289" s="18"/>
    </row>
    <row r="290" spans="1:10" hidden="1" x14ac:dyDescent="0.3">
      <c r="A290" s="59" t="s">
        <v>2</v>
      </c>
      <c r="B290" s="58" t="s">
        <v>14</v>
      </c>
      <c r="C290" s="58">
        <v>5</v>
      </c>
      <c r="D290" s="58">
        <v>7.6</v>
      </c>
      <c r="E290" s="58">
        <v>7.5</v>
      </c>
      <c r="F290" s="58" t="s">
        <v>73</v>
      </c>
      <c r="G290" s="58" t="s">
        <v>98</v>
      </c>
      <c r="H290" s="48">
        <v>7</v>
      </c>
      <c r="I290" s="44">
        <f t="shared" si="4"/>
        <v>34.539473684210527</v>
      </c>
      <c r="J290" s="18"/>
    </row>
    <row r="291" spans="1:10" hidden="1" x14ac:dyDescent="0.3">
      <c r="A291" s="59" t="s">
        <v>2</v>
      </c>
      <c r="B291" s="58" t="s">
        <v>14</v>
      </c>
      <c r="C291" s="58">
        <v>5</v>
      </c>
      <c r="D291" s="58">
        <v>7.6</v>
      </c>
      <c r="E291" s="58">
        <v>7.5</v>
      </c>
      <c r="F291" s="58" t="s">
        <v>73</v>
      </c>
      <c r="G291" s="58" t="s">
        <v>98</v>
      </c>
      <c r="H291" s="48">
        <v>7</v>
      </c>
      <c r="I291" s="44">
        <f t="shared" si="4"/>
        <v>34.539473684210527</v>
      </c>
      <c r="J291" s="18"/>
    </row>
    <row r="292" spans="1:10" hidden="1" x14ac:dyDescent="0.3">
      <c r="A292" s="59" t="s">
        <v>2</v>
      </c>
      <c r="B292" s="58" t="s">
        <v>14</v>
      </c>
      <c r="C292" s="58">
        <v>5</v>
      </c>
      <c r="D292" s="58">
        <v>7.6</v>
      </c>
      <c r="E292" s="58">
        <v>7.5</v>
      </c>
      <c r="F292" s="58" t="s">
        <v>73</v>
      </c>
      <c r="G292" s="58" t="s">
        <v>101</v>
      </c>
      <c r="H292" s="48">
        <v>3</v>
      </c>
      <c r="I292" s="44">
        <f t="shared" si="4"/>
        <v>14.80263157894737</v>
      </c>
      <c r="J292" s="18"/>
    </row>
    <row r="293" spans="1:10" hidden="1" x14ac:dyDescent="0.3">
      <c r="A293" s="59" t="s">
        <v>2</v>
      </c>
      <c r="B293" s="58" t="s">
        <v>14</v>
      </c>
      <c r="C293" s="58">
        <v>5</v>
      </c>
      <c r="D293" s="58">
        <v>7.6</v>
      </c>
      <c r="E293" s="58">
        <v>7.5</v>
      </c>
      <c r="F293" s="58" t="s">
        <v>73</v>
      </c>
      <c r="G293" s="58" t="s">
        <v>101</v>
      </c>
      <c r="H293" s="48">
        <v>3</v>
      </c>
      <c r="I293" s="44">
        <f t="shared" si="4"/>
        <v>14.80263157894737</v>
      </c>
      <c r="J293" s="18"/>
    </row>
    <row r="294" spans="1:10" hidden="1" x14ac:dyDescent="0.3">
      <c r="A294" s="59" t="s">
        <v>2</v>
      </c>
      <c r="B294" s="58" t="s">
        <v>14</v>
      </c>
      <c r="C294" s="58">
        <v>5.7</v>
      </c>
      <c r="D294" s="58">
        <v>8</v>
      </c>
      <c r="E294" s="58">
        <v>7.5</v>
      </c>
      <c r="F294" s="58" t="s">
        <v>80</v>
      </c>
      <c r="G294" s="58" t="s">
        <v>104</v>
      </c>
      <c r="H294" s="48">
        <v>8</v>
      </c>
      <c r="I294" s="44">
        <f t="shared" si="4"/>
        <v>42.75</v>
      </c>
      <c r="J294" s="18"/>
    </row>
    <row r="295" spans="1:10" hidden="1" x14ac:dyDescent="0.3">
      <c r="A295" s="59" t="s">
        <v>2</v>
      </c>
      <c r="B295" s="58" t="s">
        <v>14</v>
      </c>
      <c r="C295" s="58">
        <v>5.7</v>
      </c>
      <c r="D295" s="58">
        <v>8</v>
      </c>
      <c r="E295" s="58">
        <v>7.5</v>
      </c>
      <c r="F295" s="58" t="s">
        <v>80</v>
      </c>
      <c r="G295" s="58" t="s">
        <v>104</v>
      </c>
      <c r="H295" s="48">
        <v>8</v>
      </c>
      <c r="I295" s="44">
        <f t="shared" si="4"/>
        <v>42.75</v>
      </c>
      <c r="J295" s="18"/>
    </row>
    <row r="296" spans="1:10" hidden="1" x14ac:dyDescent="0.3">
      <c r="A296" s="59" t="s">
        <v>2</v>
      </c>
      <c r="B296" s="58" t="s">
        <v>14</v>
      </c>
      <c r="C296" s="58">
        <v>5.5</v>
      </c>
      <c r="D296" s="58">
        <v>8</v>
      </c>
      <c r="E296" s="58">
        <v>7.5</v>
      </c>
      <c r="F296" s="58" t="s">
        <v>80</v>
      </c>
      <c r="G296" s="58" t="s">
        <v>107</v>
      </c>
      <c r="H296" s="48">
        <v>7</v>
      </c>
      <c r="I296" s="44">
        <f t="shared" si="4"/>
        <v>36.09375</v>
      </c>
      <c r="J296" s="18"/>
    </row>
    <row r="297" spans="1:10" hidden="1" x14ac:dyDescent="0.3">
      <c r="A297" s="59" t="s">
        <v>2</v>
      </c>
      <c r="B297" s="58" t="s">
        <v>14</v>
      </c>
      <c r="C297" s="58">
        <v>5.5</v>
      </c>
      <c r="D297" s="58">
        <v>8</v>
      </c>
      <c r="E297" s="58">
        <v>7.5</v>
      </c>
      <c r="F297" s="58" t="s">
        <v>80</v>
      </c>
      <c r="G297" s="58" t="s">
        <v>107</v>
      </c>
      <c r="H297" s="48">
        <v>7</v>
      </c>
      <c r="I297" s="44">
        <f t="shared" si="4"/>
        <v>36.09375</v>
      </c>
      <c r="J297" s="18"/>
    </row>
    <row r="298" spans="1:10" hidden="1" x14ac:dyDescent="0.3">
      <c r="A298" s="59" t="s">
        <v>2</v>
      </c>
      <c r="B298" s="58" t="s">
        <v>14</v>
      </c>
      <c r="C298" s="58">
        <v>5</v>
      </c>
      <c r="D298" s="58">
        <v>8</v>
      </c>
      <c r="E298" s="58">
        <v>7.5</v>
      </c>
      <c r="F298" s="58" t="s">
        <v>80</v>
      </c>
      <c r="G298" s="58" t="s">
        <v>110</v>
      </c>
      <c r="H298" s="48">
        <v>8</v>
      </c>
      <c r="I298" s="44">
        <f t="shared" si="4"/>
        <v>37.5</v>
      </c>
      <c r="J298" s="18"/>
    </row>
    <row r="299" spans="1:10" hidden="1" x14ac:dyDescent="0.3">
      <c r="A299" s="59" t="s">
        <v>2</v>
      </c>
      <c r="B299" s="58" t="s">
        <v>14</v>
      </c>
      <c r="C299" s="58">
        <v>5</v>
      </c>
      <c r="D299" s="58">
        <v>8</v>
      </c>
      <c r="E299" s="58">
        <v>7.5</v>
      </c>
      <c r="F299" s="58" t="s">
        <v>80</v>
      </c>
      <c r="G299" s="58" t="s">
        <v>110</v>
      </c>
      <c r="H299" s="48">
        <v>8</v>
      </c>
      <c r="I299" s="44">
        <f t="shared" si="4"/>
        <v>37.5</v>
      </c>
      <c r="J299" s="18"/>
    </row>
    <row r="300" spans="1:10" hidden="1" x14ac:dyDescent="0.3">
      <c r="A300" s="59" t="s">
        <v>2</v>
      </c>
      <c r="B300" s="58" t="s">
        <v>14</v>
      </c>
      <c r="C300" s="58">
        <v>6</v>
      </c>
      <c r="D300" s="58">
        <v>8</v>
      </c>
      <c r="E300" s="58">
        <v>7.5</v>
      </c>
      <c r="F300" s="58" t="s">
        <v>80</v>
      </c>
      <c r="G300" s="58" t="s">
        <v>113</v>
      </c>
      <c r="H300" s="48">
        <v>7</v>
      </c>
      <c r="I300" s="44">
        <f t="shared" si="4"/>
        <v>39.375</v>
      </c>
      <c r="J300" s="18"/>
    </row>
    <row r="301" spans="1:10" hidden="1" x14ac:dyDescent="0.3">
      <c r="A301" s="59" t="s">
        <v>2</v>
      </c>
      <c r="B301" s="58" t="s">
        <v>14</v>
      </c>
      <c r="C301" s="58">
        <v>6</v>
      </c>
      <c r="D301" s="58">
        <v>8</v>
      </c>
      <c r="E301" s="58">
        <v>7.5</v>
      </c>
      <c r="F301" s="58" t="s">
        <v>80</v>
      </c>
      <c r="G301" s="58" t="s">
        <v>113</v>
      </c>
      <c r="H301" s="48">
        <v>7</v>
      </c>
      <c r="I301" s="44">
        <f t="shared" si="4"/>
        <v>39.375</v>
      </c>
      <c r="J301" s="18"/>
    </row>
    <row r="302" spans="1:10" hidden="1" x14ac:dyDescent="0.3">
      <c r="A302" s="59" t="s">
        <v>2</v>
      </c>
      <c r="B302" s="58" t="s">
        <v>14</v>
      </c>
      <c r="C302" s="58">
        <v>6</v>
      </c>
      <c r="D302" s="58">
        <v>8</v>
      </c>
      <c r="E302" s="58">
        <v>7.5</v>
      </c>
      <c r="F302" s="58" t="s">
        <v>80</v>
      </c>
      <c r="G302" s="58" t="s">
        <v>116</v>
      </c>
      <c r="H302" s="48">
        <v>4</v>
      </c>
      <c r="I302" s="44">
        <f t="shared" si="4"/>
        <v>22.5</v>
      </c>
      <c r="J302" s="18"/>
    </row>
    <row r="303" spans="1:10" hidden="1" x14ac:dyDescent="0.3">
      <c r="A303" s="59" t="s">
        <v>2</v>
      </c>
      <c r="B303" s="58" t="s">
        <v>14</v>
      </c>
      <c r="C303" s="58">
        <v>6</v>
      </c>
      <c r="D303" s="58">
        <v>8</v>
      </c>
      <c r="E303" s="58">
        <v>7.5</v>
      </c>
      <c r="F303" s="58" t="s">
        <v>80</v>
      </c>
      <c r="G303" s="58" t="s">
        <v>116</v>
      </c>
      <c r="H303" s="48">
        <v>4</v>
      </c>
      <c r="I303" s="44">
        <f t="shared" si="4"/>
        <v>22.5</v>
      </c>
      <c r="J303" s="18"/>
    </row>
    <row r="304" spans="1:10" hidden="1" x14ac:dyDescent="0.3">
      <c r="A304" s="59" t="s">
        <v>2</v>
      </c>
      <c r="B304" s="58" t="s">
        <v>14</v>
      </c>
      <c r="C304" s="58">
        <v>4.2</v>
      </c>
      <c r="D304" s="58">
        <v>4.3</v>
      </c>
      <c r="E304" s="58">
        <v>7.5</v>
      </c>
      <c r="F304" s="58" t="s">
        <v>87</v>
      </c>
      <c r="G304" s="58" t="s">
        <v>119</v>
      </c>
      <c r="H304" s="48">
        <f>IF(G304&gt;0,VLOOKUP(G304,Apoio!$O$2:$P$24,2,0),"")</f>
        <v>12</v>
      </c>
      <c r="I304" s="44">
        <f t="shared" si="4"/>
        <v>87.906976744186053</v>
      </c>
      <c r="J304" s="18"/>
    </row>
    <row r="305" spans="1:10" hidden="1" x14ac:dyDescent="0.3">
      <c r="A305" s="59" t="s">
        <v>2</v>
      </c>
      <c r="B305" s="58" t="s">
        <v>14</v>
      </c>
      <c r="C305" s="58">
        <v>4</v>
      </c>
      <c r="D305" s="58">
        <v>4.3</v>
      </c>
      <c r="E305" s="58">
        <v>7.5</v>
      </c>
      <c r="F305" s="58" t="s">
        <v>87</v>
      </c>
      <c r="G305" s="58" t="s">
        <v>122</v>
      </c>
      <c r="H305" s="48">
        <f>IF(G305&gt;0,VLOOKUP(G305,Apoio!$O$2:$P$24,2,0),"")</f>
        <v>8</v>
      </c>
      <c r="I305" s="44">
        <f t="shared" si="4"/>
        <v>55.813953488372093</v>
      </c>
      <c r="J305" s="18"/>
    </row>
    <row r="306" spans="1:10" hidden="1" x14ac:dyDescent="0.3">
      <c r="A306" s="59" t="s">
        <v>2</v>
      </c>
      <c r="B306" s="58" t="s">
        <v>14</v>
      </c>
      <c r="C306" s="58">
        <v>3</v>
      </c>
      <c r="D306" s="58">
        <v>4.3</v>
      </c>
      <c r="E306" s="58">
        <v>7.5</v>
      </c>
      <c r="F306" s="58" t="s">
        <v>87</v>
      </c>
      <c r="G306" s="58" t="s">
        <v>125</v>
      </c>
      <c r="H306" s="48">
        <f>IF(G306&gt;0,VLOOKUP(G306,Apoio!$O$2:$P$24,2,0),"")</f>
        <v>8</v>
      </c>
      <c r="I306" s="44">
        <f t="shared" si="4"/>
        <v>41.860465116279073</v>
      </c>
      <c r="J306" s="18"/>
    </row>
    <row r="307" spans="1:10" hidden="1" x14ac:dyDescent="0.3">
      <c r="A307" s="59" t="s">
        <v>2</v>
      </c>
      <c r="B307" s="58" t="s">
        <v>14</v>
      </c>
      <c r="C307" s="58">
        <v>5</v>
      </c>
      <c r="D307" s="58">
        <v>4.3</v>
      </c>
      <c r="E307" s="58">
        <v>7.5</v>
      </c>
      <c r="F307" s="58" t="s">
        <v>87</v>
      </c>
      <c r="G307" s="58" t="s">
        <v>128</v>
      </c>
      <c r="H307" s="48">
        <v>8</v>
      </c>
      <c r="I307" s="44">
        <f t="shared" si="4"/>
        <v>69.767441860465112</v>
      </c>
      <c r="J307" s="18"/>
    </row>
    <row r="308" spans="1:10" hidden="1" x14ac:dyDescent="0.3">
      <c r="A308" s="59" t="s">
        <v>2</v>
      </c>
      <c r="B308" s="58" t="s">
        <v>14</v>
      </c>
      <c r="C308" s="58">
        <v>6</v>
      </c>
      <c r="D308" s="58">
        <v>4.3</v>
      </c>
      <c r="E308" s="58">
        <v>7.5</v>
      </c>
      <c r="F308" s="58" t="s">
        <v>87</v>
      </c>
      <c r="G308" s="58" t="s">
        <v>131</v>
      </c>
      <c r="H308" s="48">
        <v>8</v>
      </c>
      <c r="I308" s="44">
        <f t="shared" si="4"/>
        <v>83.720930232558146</v>
      </c>
      <c r="J308" s="18"/>
    </row>
    <row r="309" spans="1:10" hidden="1" x14ac:dyDescent="0.3">
      <c r="A309" s="59" t="s">
        <v>2</v>
      </c>
      <c r="B309" s="58" t="s">
        <v>14</v>
      </c>
      <c r="C309" s="58">
        <v>5</v>
      </c>
      <c r="D309" s="58">
        <v>4.3</v>
      </c>
      <c r="E309" s="58">
        <v>7.5</v>
      </c>
      <c r="F309" s="58" t="s">
        <v>87</v>
      </c>
      <c r="G309" s="58" t="s">
        <v>134</v>
      </c>
      <c r="H309" s="48">
        <v>3</v>
      </c>
      <c r="I309" s="44">
        <f t="shared" si="4"/>
        <v>26.162790697674421</v>
      </c>
      <c r="J309" s="18"/>
    </row>
    <row r="310" spans="1:10" hidden="1" x14ac:dyDescent="0.3">
      <c r="A310" s="58" t="s">
        <v>2</v>
      </c>
      <c r="B310" s="58" t="s">
        <v>14</v>
      </c>
      <c r="C310" s="58">
        <v>4.5</v>
      </c>
      <c r="D310" s="58">
        <v>5.6</v>
      </c>
      <c r="E310" s="58">
        <v>7.5</v>
      </c>
      <c r="F310" s="58" t="s">
        <v>94</v>
      </c>
      <c r="G310" s="58" t="s">
        <v>137</v>
      </c>
      <c r="H310" s="48">
        <v>12</v>
      </c>
      <c r="I310" s="44">
        <f t="shared" si="4"/>
        <v>72.321428571428569</v>
      </c>
      <c r="J310" s="18"/>
    </row>
    <row r="311" spans="1:10" hidden="1" x14ac:dyDescent="0.3">
      <c r="A311" s="58" t="s">
        <v>2</v>
      </c>
      <c r="B311" s="58" t="s">
        <v>14</v>
      </c>
      <c r="C311" s="58">
        <v>3.5</v>
      </c>
      <c r="D311" s="58">
        <v>5.6</v>
      </c>
      <c r="E311" s="58">
        <v>7.5</v>
      </c>
      <c r="F311" s="58" t="s">
        <v>94</v>
      </c>
      <c r="G311" s="58" t="s">
        <v>140</v>
      </c>
      <c r="H311" s="48">
        <v>8</v>
      </c>
      <c r="I311" s="44">
        <f t="shared" si="4"/>
        <v>37.5</v>
      </c>
      <c r="J311" s="18"/>
    </row>
    <row r="312" spans="1:10" hidden="1" x14ac:dyDescent="0.3">
      <c r="A312" s="58" t="s">
        <v>2</v>
      </c>
      <c r="B312" s="58" t="s">
        <v>14</v>
      </c>
      <c r="C312" s="58">
        <v>5</v>
      </c>
      <c r="D312" s="58">
        <v>5.6</v>
      </c>
      <c r="E312" s="58">
        <v>7.5</v>
      </c>
      <c r="F312" s="58" t="s">
        <v>94</v>
      </c>
      <c r="G312" s="58" t="s">
        <v>143</v>
      </c>
      <c r="H312" s="48">
        <v>8</v>
      </c>
      <c r="I312" s="44">
        <f t="shared" si="4"/>
        <v>53.571428571428577</v>
      </c>
      <c r="J312" s="18"/>
    </row>
    <row r="313" spans="1:10" hidden="1" x14ac:dyDescent="0.3">
      <c r="A313" s="58" t="s">
        <v>2</v>
      </c>
      <c r="B313" s="58" t="s">
        <v>14</v>
      </c>
      <c r="C313" s="58">
        <v>5</v>
      </c>
      <c r="D313" s="58">
        <v>5.6</v>
      </c>
      <c r="E313" s="58">
        <v>7.5</v>
      </c>
      <c r="F313" s="58" t="s">
        <v>94</v>
      </c>
      <c r="G313" s="58" t="s">
        <v>146</v>
      </c>
      <c r="H313" s="48">
        <v>6</v>
      </c>
      <c r="I313" s="44">
        <f t="shared" si="4"/>
        <v>40.178571428571431</v>
      </c>
      <c r="J313" s="18"/>
    </row>
    <row r="314" spans="1:10" hidden="1" x14ac:dyDescent="0.3">
      <c r="A314" s="58" t="s">
        <v>2</v>
      </c>
      <c r="B314" s="58" t="s">
        <v>14</v>
      </c>
      <c r="C314" s="58">
        <v>5</v>
      </c>
      <c r="D314" s="58">
        <v>5.6</v>
      </c>
      <c r="E314" s="58">
        <v>7.5</v>
      </c>
      <c r="F314" s="58" t="s">
        <v>94</v>
      </c>
      <c r="G314" s="58" t="s">
        <v>149</v>
      </c>
      <c r="H314" s="48">
        <v>8</v>
      </c>
      <c r="I314" s="44">
        <f t="shared" si="4"/>
        <v>53.571428571428577</v>
      </c>
      <c r="J314" s="18"/>
    </row>
    <row r="315" spans="1:10" hidden="1" x14ac:dyDescent="0.3">
      <c r="A315" s="58" t="s">
        <v>2</v>
      </c>
      <c r="B315" s="58" t="s">
        <v>14</v>
      </c>
      <c r="C315" s="58">
        <v>5</v>
      </c>
      <c r="D315" s="58">
        <v>5.6</v>
      </c>
      <c r="E315" s="58">
        <v>7.5</v>
      </c>
      <c r="F315" s="58" t="s">
        <v>94</v>
      </c>
      <c r="G315" s="58" t="s">
        <v>152</v>
      </c>
      <c r="H315" s="48">
        <v>8</v>
      </c>
      <c r="I315" s="44">
        <f t="shared" si="4"/>
        <v>53.571428571428577</v>
      </c>
      <c r="J315" s="18"/>
    </row>
    <row r="316" spans="1:10" hidden="1" x14ac:dyDescent="0.3">
      <c r="A316" s="59" t="s">
        <v>2</v>
      </c>
      <c r="B316" s="58" t="s">
        <v>6</v>
      </c>
      <c r="C316" s="58">
        <v>5.2</v>
      </c>
      <c r="D316" s="58">
        <v>4.8</v>
      </c>
      <c r="E316" s="58">
        <v>7.5</v>
      </c>
      <c r="F316" s="58" t="s">
        <v>87</v>
      </c>
      <c r="G316" s="58" t="s">
        <v>119</v>
      </c>
      <c r="H316" s="48">
        <f>IF(G316&gt;0,VLOOKUP(G316,Apoio!$O$2:$P$24,2,0),"")</f>
        <v>12</v>
      </c>
      <c r="I316" s="44">
        <f t="shared" si="4"/>
        <v>97.5</v>
      </c>
      <c r="J316" s="18"/>
    </row>
    <row r="317" spans="1:10" hidden="1" x14ac:dyDescent="0.3">
      <c r="A317" s="59" t="s">
        <v>2</v>
      </c>
      <c r="B317" s="58" t="s">
        <v>6</v>
      </c>
      <c r="C317" s="58">
        <v>7.2</v>
      </c>
      <c r="D317" s="58">
        <v>4.8</v>
      </c>
      <c r="E317" s="58">
        <v>7.5</v>
      </c>
      <c r="F317" s="58" t="s">
        <v>87</v>
      </c>
      <c r="G317" s="58" t="s">
        <v>122</v>
      </c>
      <c r="H317" s="48">
        <f>IF(G317&gt;0,VLOOKUP(G317,Apoio!$O$2:$P$24,2,0),"")</f>
        <v>8</v>
      </c>
      <c r="I317" s="44">
        <f t="shared" si="4"/>
        <v>90</v>
      </c>
      <c r="J317" s="18"/>
    </row>
    <row r="318" spans="1:10" hidden="1" x14ac:dyDescent="0.3">
      <c r="A318" s="59" t="s">
        <v>2</v>
      </c>
      <c r="B318" s="58" t="s">
        <v>6</v>
      </c>
      <c r="C318" s="58">
        <v>7</v>
      </c>
      <c r="D318" s="58">
        <v>4.8</v>
      </c>
      <c r="E318" s="58">
        <v>7.5</v>
      </c>
      <c r="F318" s="58" t="s">
        <v>87</v>
      </c>
      <c r="G318" s="58" t="s">
        <v>125</v>
      </c>
      <c r="H318" s="48">
        <f>IF(G318&gt;0,VLOOKUP(G318,Apoio!$O$2:$P$24,2,0),"")</f>
        <v>8</v>
      </c>
      <c r="I318" s="44">
        <f t="shared" si="4"/>
        <v>87.5</v>
      </c>
      <c r="J318" s="18"/>
    </row>
    <row r="319" spans="1:10" hidden="1" x14ac:dyDescent="0.3">
      <c r="A319" s="59" t="s">
        <v>2</v>
      </c>
      <c r="B319" s="58" t="s">
        <v>6</v>
      </c>
      <c r="C319" s="58">
        <v>6</v>
      </c>
      <c r="D319" s="58">
        <v>4.8</v>
      </c>
      <c r="E319" s="58">
        <v>7.5</v>
      </c>
      <c r="F319" s="58" t="s">
        <v>87</v>
      </c>
      <c r="G319" s="58" t="s">
        <v>128</v>
      </c>
      <c r="H319" s="48">
        <f>IF(G319&gt;0,VLOOKUP(G319,Apoio!$O$2:$P$24,2,0),"")</f>
        <v>8</v>
      </c>
      <c r="I319" s="44">
        <f t="shared" si="4"/>
        <v>75</v>
      </c>
      <c r="J319" s="18"/>
    </row>
    <row r="320" spans="1:10" hidden="1" x14ac:dyDescent="0.3">
      <c r="A320" s="59" t="s">
        <v>2</v>
      </c>
      <c r="B320" s="58" t="s">
        <v>6</v>
      </c>
      <c r="C320" s="58">
        <v>6.5</v>
      </c>
      <c r="D320" s="58">
        <v>4.8</v>
      </c>
      <c r="E320" s="58">
        <v>7.5</v>
      </c>
      <c r="F320" s="58" t="s">
        <v>87</v>
      </c>
      <c r="G320" s="58" t="s">
        <v>131</v>
      </c>
      <c r="H320" s="48">
        <f>IF(G320&gt;0,VLOOKUP(G320,Apoio!$O$2:$P$24,2,0),"")</f>
        <v>8</v>
      </c>
      <c r="I320" s="44">
        <f t="shared" si="4"/>
        <v>81.25</v>
      </c>
      <c r="J320" s="18"/>
    </row>
    <row r="321" spans="1:10" hidden="1" x14ac:dyDescent="0.3">
      <c r="A321" s="59" t="s">
        <v>2</v>
      </c>
      <c r="B321" s="58" t="s">
        <v>6</v>
      </c>
      <c r="C321" s="58">
        <v>5</v>
      </c>
      <c r="D321" s="58">
        <v>4.8</v>
      </c>
      <c r="E321" s="58">
        <v>7.5</v>
      </c>
      <c r="F321" s="58" t="s">
        <v>87</v>
      </c>
      <c r="G321" s="58" t="s">
        <v>134</v>
      </c>
      <c r="H321" s="48">
        <f>IF(G321&gt;0,VLOOKUP(G321,Apoio!$O$2:$P$24,2,0),"")</f>
        <v>3</v>
      </c>
      <c r="I321" s="44">
        <f t="shared" si="4"/>
        <v>23.4375</v>
      </c>
      <c r="J321" s="18"/>
    </row>
    <row r="322" spans="1:10" hidden="1" x14ac:dyDescent="0.3">
      <c r="A322" s="58" t="s">
        <v>2</v>
      </c>
      <c r="B322" s="58" t="s">
        <v>6</v>
      </c>
      <c r="C322" s="58">
        <v>5</v>
      </c>
      <c r="D322" s="58">
        <v>5.6</v>
      </c>
      <c r="E322" s="58">
        <v>7.5</v>
      </c>
      <c r="F322" s="58" t="s">
        <v>94</v>
      </c>
      <c r="G322" s="58" t="s">
        <v>137</v>
      </c>
      <c r="H322" s="48">
        <v>12</v>
      </c>
      <c r="I322" s="44">
        <f t="shared" ref="I322:I385" si="5">IF(D322&gt;0,(((H322*E322)*C322)/D322),"")</f>
        <v>80.357142857142861</v>
      </c>
      <c r="J322" s="18"/>
    </row>
    <row r="323" spans="1:10" hidden="1" x14ac:dyDescent="0.3">
      <c r="A323" s="58" t="s">
        <v>2</v>
      </c>
      <c r="B323" s="58" t="s">
        <v>6</v>
      </c>
      <c r="C323" s="58">
        <v>6.7</v>
      </c>
      <c r="D323" s="58">
        <v>5.6</v>
      </c>
      <c r="E323" s="58">
        <v>7.5</v>
      </c>
      <c r="F323" s="58" t="s">
        <v>94</v>
      </c>
      <c r="G323" s="58" t="s">
        <v>140</v>
      </c>
      <c r="H323" s="48">
        <v>8</v>
      </c>
      <c r="I323" s="44">
        <f t="shared" si="5"/>
        <v>71.785714285714292</v>
      </c>
      <c r="J323" s="18"/>
    </row>
    <row r="324" spans="1:10" hidden="1" x14ac:dyDescent="0.3">
      <c r="A324" s="58" t="s">
        <v>2</v>
      </c>
      <c r="B324" s="58" t="s">
        <v>6</v>
      </c>
      <c r="C324" s="58">
        <v>6.5</v>
      </c>
      <c r="D324" s="58">
        <v>5.6</v>
      </c>
      <c r="E324" s="58">
        <v>7.5</v>
      </c>
      <c r="F324" s="58" t="s">
        <v>94</v>
      </c>
      <c r="G324" s="58" t="s">
        <v>143</v>
      </c>
      <c r="H324" s="48">
        <v>8</v>
      </c>
      <c r="I324" s="44">
        <f t="shared" si="5"/>
        <v>69.642857142857153</v>
      </c>
      <c r="J324" s="18"/>
    </row>
    <row r="325" spans="1:10" hidden="1" x14ac:dyDescent="0.3">
      <c r="A325" s="58" t="s">
        <v>2</v>
      </c>
      <c r="B325" s="58" t="s">
        <v>6</v>
      </c>
      <c r="C325" s="58">
        <v>7</v>
      </c>
      <c r="D325" s="58">
        <v>5.6</v>
      </c>
      <c r="E325" s="58">
        <v>7.5</v>
      </c>
      <c r="F325" s="58" t="s">
        <v>94</v>
      </c>
      <c r="G325" s="58" t="s">
        <v>146</v>
      </c>
      <c r="H325" s="48">
        <v>6</v>
      </c>
      <c r="I325" s="44">
        <f t="shared" si="5"/>
        <v>56.250000000000007</v>
      </c>
      <c r="J325" s="18"/>
    </row>
    <row r="326" spans="1:10" hidden="1" x14ac:dyDescent="0.3">
      <c r="A326" s="58" t="s">
        <v>2</v>
      </c>
      <c r="B326" s="58" t="s">
        <v>6</v>
      </c>
      <c r="C326" s="58">
        <v>7</v>
      </c>
      <c r="D326" s="58">
        <v>5.6</v>
      </c>
      <c r="E326" s="58">
        <v>7.5</v>
      </c>
      <c r="F326" s="58" t="s">
        <v>94</v>
      </c>
      <c r="G326" s="58" t="s">
        <v>149</v>
      </c>
      <c r="H326" s="48">
        <v>8</v>
      </c>
      <c r="I326" s="44">
        <f t="shared" si="5"/>
        <v>75</v>
      </c>
      <c r="J326" s="18"/>
    </row>
    <row r="327" spans="1:10" hidden="1" x14ac:dyDescent="0.3">
      <c r="A327" s="58" t="s">
        <v>2</v>
      </c>
      <c r="B327" s="58" t="s">
        <v>6</v>
      </c>
      <c r="C327" s="58">
        <v>7</v>
      </c>
      <c r="D327" s="58">
        <v>5.6</v>
      </c>
      <c r="E327" s="58">
        <v>7.5</v>
      </c>
      <c r="F327" s="58" t="s">
        <v>94</v>
      </c>
      <c r="G327" s="58" t="s">
        <v>152</v>
      </c>
      <c r="H327" s="48">
        <v>8</v>
      </c>
      <c r="I327" s="44">
        <f t="shared" si="5"/>
        <v>75</v>
      </c>
      <c r="J327" s="18"/>
    </row>
    <row r="328" spans="1:10" hidden="1" x14ac:dyDescent="0.3">
      <c r="A328" s="59" t="s">
        <v>2</v>
      </c>
      <c r="B328" s="58" t="s">
        <v>7</v>
      </c>
      <c r="C328" s="58">
        <v>5</v>
      </c>
      <c r="D328" s="58">
        <v>8</v>
      </c>
      <c r="E328" s="58">
        <v>7.5</v>
      </c>
      <c r="F328" s="58" t="s">
        <v>73</v>
      </c>
      <c r="G328" s="58" t="s">
        <v>72</v>
      </c>
      <c r="H328" s="48">
        <v>7</v>
      </c>
      <c r="I328" s="44">
        <f t="shared" si="5"/>
        <v>32.8125</v>
      </c>
      <c r="J328" s="18"/>
    </row>
    <row r="329" spans="1:10" hidden="1" x14ac:dyDescent="0.3">
      <c r="A329" s="59" t="s">
        <v>2</v>
      </c>
      <c r="B329" s="58" t="s">
        <v>7</v>
      </c>
      <c r="C329" s="58">
        <v>7</v>
      </c>
      <c r="D329" s="58">
        <v>8</v>
      </c>
      <c r="E329" s="58">
        <v>7.5</v>
      </c>
      <c r="F329" s="58" t="s">
        <v>73</v>
      </c>
      <c r="G329" s="58" t="s">
        <v>72</v>
      </c>
      <c r="H329" s="48">
        <v>7</v>
      </c>
      <c r="I329" s="44">
        <f t="shared" si="5"/>
        <v>45.9375</v>
      </c>
      <c r="J329" s="18"/>
    </row>
    <row r="330" spans="1:10" hidden="1" x14ac:dyDescent="0.3">
      <c r="A330" s="59" t="s">
        <v>2</v>
      </c>
      <c r="B330" s="58" t="s">
        <v>7</v>
      </c>
      <c r="C330" s="58">
        <v>5</v>
      </c>
      <c r="D330" s="58">
        <v>8</v>
      </c>
      <c r="E330" s="58">
        <v>7.5</v>
      </c>
      <c r="F330" s="58" t="s">
        <v>73</v>
      </c>
      <c r="G330" s="58" t="s">
        <v>79</v>
      </c>
      <c r="H330" s="48">
        <v>6</v>
      </c>
      <c r="I330" s="44">
        <f t="shared" si="5"/>
        <v>28.125</v>
      </c>
      <c r="J330" s="18"/>
    </row>
    <row r="331" spans="1:10" hidden="1" x14ac:dyDescent="0.3">
      <c r="A331" s="59" t="s">
        <v>2</v>
      </c>
      <c r="B331" s="58" t="s">
        <v>7</v>
      </c>
      <c r="C331" s="58">
        <v>7</v>
      </c>
      <c r="D331" s="58">
        <v>8</v>
      </c>
      <c r="E331" s="58">
        <v>7.5</v>
      </c>
      <c r="F331" s="58" t="s">
        <v>73</v>
      </c>
      <c r="G331" s="58" t="s">
        <v>79</v>
      </c>
      <c r="H331" s="48">
        <v>6</v>
      </c>
      <c r="I331" s="44">
        <f t="shared" si="5"/>
        <v>39.375</v>
      </c>
      <c r="J331" s="18"/>
    </row>
    <row r="332" spans="1:10" hidden="1" x14ac:dyDescent="0.3">
      <c r="A332" s="59" t="s">
        <v>2</v>
      </c>
      <c r="B332" s="58" t="s">
        <v>7</v>
      </c>
      <c r="C332" s="58">
        <v>7</v>
      </c>
      <c r="D332" s="58">
        <v>8</v>
      </c>
      <c r="E332" s="58">
        <v>7.5</v>
      </c>
      <c r="F332" s="58" t="s">
        <v>73</v>
      </c>
      <c r="G332" s="58" t="s">
        <v>86</v>
      </c>
      <c r="H332" s="48">
        <v>8</v>
      </c>
      <c r="I332" s="44">
        <f t="shared" si="5"/>
        <v>52.5</v>
      </c>
      <c r="J332" s="18"/>
    </row>
    <row r="333" spans="1:10" hidden="1" x14ac:dyDescent="0.3">
      <c r="A333" s="59" t="s">
        <v>2</v>
      </c>
      <c r="B333" s="58" t="s">
        <v>7</v>
      </c>
      <c r="C333" s="58">
        <v>1</v>
      </c>
      <c r="D333" s="58">
        <v>8</v>
      </c>
      <c r="E333" s="58">
        <v>7.5</v>
      </c>
      <c r="F333" s="58" t="s">
        <v>73</v>
      </c>
      <c r="G333" s="58" t="s">
        <v>86</v>
      </c>
      <c r="H333" s="48">
        <v>8</v>
      </c>
      <c r="I333" s="44">
        <f t="shared" si="5"/>
        <v>7.5</v>
      </c>
      <c r="J333" s="18"/>
    </row>
    <row r="334" spans="1:10" hidden="1" x14ac:dyDescent="0.3">
      <c r="A334" s="59" t="s">
        <v>2</v>
      </c>
      <c r="B334" s="58" t="s">
        <v>7</v>
      </c>
      <c r="C334" s="58">
        <v>7</v>
      </c>
      <c r="D334" s="58">
        <v>8</v>
      </c>
      <c r="E334" s="58">
        <v>7.5</v>
      </c>
      <c r="F334" s="58" t="s">
        <v>73</v>
      </c>
      <c r="G334" s="58" t="s">
        <v>93</v>
      </c>
      <c r="H334" s="48">
        <v>8</v>
      </c>
      <c r="I334" s="44">
        <f t="shared" si="5"/>
        <v>52.5</v>
      </c>
      <c r="J334" s="18"/>
    </row>
    <row r="335" spans="1:10" hidden="1" x14ac:dyDescent="0.3">
      <c r="A335" s="59" t="s">
        <v>2</v>
      </c>
      <c r="B335" s="58" t="s">
        <v>7</v>
      </c>
      <c r="C335" s="58">
        <v>6</v>
      </c>
      <c r="D335" s="58">
        <v>8</v>
      </c>
      <c r="E335" s="58">
        <v>7.5</v>
      </c>
      <c r="F335" s="58" t="s">
        <v>73</v>
      </c>
      <c r="G335" s="58" t="s">
        <v>93</v>
      </c>
      <c r="H335" s="48">
        <v>8</v>
      </c>
      <c r="I335" s="44">
        <f t="shared" si="5"/>
        <v>45</v>
      </c>
      <c r="J335" s="18"/>
    </row>
    <row r="336" spans="1:10" hidden="1" x14ac:dyDescent="0.3">
      <c r="A336" s="59" t="s">
        <v>2</v>
      </c>
      <c r="B336" s="58" t="s">
        <v>7</v>
      </c>
      <c r="C336" s="58">
        <v>7</v>
      </c>
      <c r="D336" s="58">
        <v>8</v>
      </c>
      <c r="E336" s="58">
        <v>7.5</v>
      </c>
      <c r="F336" s="58" t="s">
        <v>73</v>
      </c>
      <c r="G336" s="58" t="s">
        <v>98</v>
      </c>
      <c r="H336" s="48">
        <v>7</v>
      </c>
      <c r="I336" s="44">
        <f t="shared" si="5"/>
        <v>45.9375</v>
      </c>
      <c r="J336" s="18"/>
    </row>
    <row r="337" spans="1:10" hidden="1" x14ac:dyDescent="0.3">
      <c r="A337" s="59" t="s">
        <v>2</v>
      </c>
      <c r="B337" s="58" t="s">
        <v>7</v>
      </c>
      <c r="C337" s="58">
        <v>7</v>
      </c>
      <c r="D337" s="58">
        <v>8</v>
      </c>
      <c r="E337" s="58">
        <v>7.5</v>
      </c>
      <c r="F337" s="58" t="s">
        <v>73</v>
      </c>
      <c r="G337" s="58" t="s">
        <v>98</v>
      </c>
      <c r="H337" s="48">
        <v>7</v>
      </c>
      <c r="I337" s="44">
        <f t="shared" si="5"/>
        <v>45.9375</v>
      </c>
      <c r="J337" s="18"/>
    </row>
    <row r="338" spans="1:10" hidden="1" x14ac:dyDescent="0.3">
      <c r="A338" s="59" t="s">
        <v>2</v>
      </c>
      <c r="B338" s="58" t="s">
        <v>7</v>
      </c>
      <c r="C338" s="58">
        <v>7</v>
      </c>
      <c r="D338" s="58">
        <v>8</v>
      </c>
      <c r="E338" s="58">
        <v>7.5</v>
      </c>
      <c r="F338" s="58" t="s">
        <v>73</v>
      </c>
      <c r="G338" s="58" t="s">
        <v>101</v>
      </c>
      <c r="H338" s="48">
        <v>3</v>
      </c>
      <c r="I338" s="44">
        <f t="shared" si="5"/>
        <v>19.6875</v>
      </c>
      <c r="J338" s="18"/>
    </row>
    <row r="339" spans="1:10" hidden="1" x14ac:dyDescent="0.3">
      <c r="A339" s="59" t="s">
        <v>2</v>
      </c>
      <c r="B339" s="58" t="s">
        <v>7</v>
      </c>
      <c r="C339" s="58">
        <v>7</v>
      </c>
      <c r="D339" s="58">
        <v>8</v>
      </c>
      <c r="E339" s="58">
        <v>7.5</v>
      </c>
      <c r="F339" s="58" t="s">
        <v>73</v>
      </c>
      <c r="G339" s="58" t="s">
        <v>101</v>
      </c>
      <c r="H339" s="48">
        <v>3</v>
      </c>
      <c r="I339" s="44">
        <f t="shared" si="5"/>
        <v>19.6875</v>
      </c>
      <c r="J339" s="18"/>
    </row>
    <row r="340" spans="1:10" hidden="1" x14ac:dyDescent="0.3">
      <c r="A340" s="59" t="s">
        <v>2</v>
      </c>
      <c r="B340" s="58" t="s">
        <v>7</v>
      </c>
      <c r="C340" s="58">
        <v>6</v>
      </c>
      <c r="D340" s="58">
        <v>5</v>
      </c>
      <c r="E340" s="58">
        <v>7.5</v>
      </c>
      <c r="F340" s="58" t="s">
        <v>80</v>
      </c>
      <c r="G340" s="58" t="s">
        <v>104</v>
      </c>
      <c r="H340" s="48">
        <v>8</v>
      </c>
      <c r="I340" s="44">
        <f t="shared" si="5"/>
        <v>72</v>
      </c>
      <c r="J340" s="18"/>
    </row>
    <row r="341" spans="1:10" hidden="1" x14ac:dyDescent="0.3">
      <c r="A341" s="59" t="s">
        <v>2</v>
      </c>
      <c r="B341" s="58" t="s">
        <v>7</v>
      </c>
      <c r="C341" s="58">
        <v>6</v>
      </c>
      <c r="D341" s="58">
        <v>5</v>
      </c>
      <c r="E341" s="58">
        <v>7.5</v>
      </c>
      <c r="F341" s="58" t="s">
        <v>80</v>
      </c>
      <c r="G341" s="58" t="s">
        <v>104</v>
      </c>
      <c r="H341" s="48">
        <v>8</v>
      </c>
      <c r="I341" s="44">
        <f t="shared" si="5"/>
        <v>72</v>
      </c>
      <c r="J341" s="18"/>
    </row>
    <row r="342" spans="1:10" hidden="1" x14ac:dyDescent="0.3">
      <c r="A342" s="59" t="s">
        <v>2</v>
      </c>
      <c r="B342" s="58" t="s">
        <v>7</v>
      </c>
      <c r="C342" s="58">
        <v>6</v>
      </c>
      <c r="D342" s="58">
        <v>5</v>
      </c>
      <c r="E342" s="58">
        <v>7.5</v>
      </c>
      <c r="F342" s="58" t="s">
        <v>80</v>
      </c>
      <c r="G342" s="58" t="s">
        <v>107</v>
      </c>
      <c r="H342" s="48">
        <v>7</v>
      </c>
      <c r="I342" s="44">
        <f t="shared" si="5"/>
        <v>63</v>
      </c>
      <c r="J342" s="18"/>
    </row>
    <row r="343" spans="1:10" hidden="1" x14ac:dyDescent="0.3">
      <c r="A343" s="59" t="s">
        <v>2</v>
      </c>
      <c r="B343" s="58" t="s">
        <v>7</v>
      </c>
      <c r="C343" s="58">
        <v>6</v>
      </c>
      <c r="D343" s="58">
        <v>5</v>
      </c>
      <c r="E343" s="58">
        <v>7.5</v>
      </c>
      <c r="F343" s="58" t="s">
        <v>80</v>
      </c>
      <c r="G343" s="58" t="s">
        <v>107</v>
      </c>
      <c r="H343" s="48">
        <v>7</v>
      </c>
      <c r="I343" s="44">
        <f t="shared" si="5"/>
        <v>63</v>
      </c>
      <c r="J343" s="18"/>
    </row>
    <row r="344" spans="1:10" hidden="1" x14ac:dyDescent="0.3">
      <c r="A344" s="59" t="s">
        <v>2</v>
      </c>
      <c r="B344" s="58" t="s">
        <v>7</v>
      </c>
      <c r="C344" s="58">
        <v>6</v>
      </c>
      <c r="D344" s="58">
        <v>5</v>
      </c>
      <c r="E344" s="58">
        <v>7.5</v>
      </c>
      <c r="F344" s="58" t="s">
        <v>80</v>
      </c>
      <c r="G344" s="58" t="s">
        <v>110</v>
      </c>
      <c r="H344" s="48">
        <v>8</v>
      </c>
      <c r="I344" s="44">
        <f t="shared" si="5"/>
        <v>72</v>
      </c>
      <c r="J344" s="18"/>
    </row>
    <row r="345" spans="1:10" hidden="1" x14ac:dyDescent="0.3">
      <c r="A345" s="59" t="s">
        <v>2</v>
      </c>
      <c r="B345" s="58" t="s">
        <v>7</v>
      </c>
      <c r="C345" s="58">
        <v>6</v>
      </c>
      <c r="D345" s="58">
        <v>5</v>
      </c>
      <c r="E345" s="58">
        <v>7.5</v>
      </c>
      <c r="F345" s="58" t="s">
        <v>80</v>
      </c>
      <c r="G345" s="58" t="s">
        <v>110</v>
      </c>
      <c r="H345" s="48">
        <v>8</v>
      </c>
      <c r="I345" s="44">
        <f t="shared" si="5"/>
        <v>72</v>
      </c>
      <c r="J345" s="18"/>
    </row>
    <row r="346" spans="1:10" hidden="1" x14ac:dyDescent="0.3">
      <c r="A346" s="59" t="s">
        <v>2</v>
      </c>
      <c r="B346" s="58" t="s">
        <v>7</v>
      </c>
      <c r="C346" s="58">
        <v>6</v>
      </c>
      <c r="D346" s="58">
        <v>5</v>
      </c>
      <c r="E346" s="58">
        <v>7.5</v>
      </c>
      <c r="F346" s="58" t="s">
        <v>80</v>
      </c>
      <c r="G346" s="58" t="s">
        <v>113</v>
      </c>
      <c r="H346" s="48">
        <v>7</v>
      </c>
      <c r="I346" s="44">
        <f t="shared" si="5"/>
        <v>63</v>
      </c>
      <c r="J346" s="18"/>
    </row>
    <row r="347" spans="1:10" hidden="1" x14ac:dyDescent="0.3">
      <c r="A347" s="59" t="s">
        <v>2</v>
      </c>
      <c r="B347" s="58" t="s">
        <v>7</v>
      </c>
      <c r="C347" s="58">
        <v>6</v>
      </c>
      <c r="D347" s="58">
        <v>5</v>
      </c>
      <c r="E347" s="58">
        <v>7.5</v>
      </c>
      <c r="F347" s="58" t="s">
        <v>80</v>
      </c>
      <c r="G347" s="58" t="s">
        <v>113</v>
      </c>
      <c r="H347" s="48">
        <v>7</v>
      </c>
      <c r="I347" s="44">
        <f t="shared" si="5"/>
        <v>63</v>
      </c>
      <c r="J347" s="18"/>
    </row>
    <row r="348" spans="1:10" hidden="1" x14ac:dyDescent="0.3">
      <c r="A348" s="59" t="s">
        <v>2</v>
      </c>
      <c r="B348" s="58" t="s">
        <v>7</v>
      </c>
      <c r="C348" s="58">
        <v>6</v>
      </c>
      <c r="D348" s="58">
        <v>5</v>
      </c>
      <c r="E348" s="58">
        <v>7.5</v>
      </c>
      <c r="F348" s="58" t="s">
        <v>80</v>
      </c>
      <c r="G348" s="58" t="s">
        <v>116</v>
      </c>
      <c r="H348" s="48">
        <v>4</v>
      </c>
      <c r="I348" s="44">
        <f t="shared" si="5"/>
        <v>36</v>
      </c>
      <c r="J348" s="18"/>
    </row>
    <row r="349" spans="1:10" hidden="1" x14ac:dyDescent="0.3">
      <c r="A349" s="59" t="s">
        <v>2</v>
      </c>
      <c r="B349" s="58" t="s">
        <v>7</v>
      </c>
      <c r="C349" s="58">
        <v>6</v>
      </c>
      <c r="D349" s="58">
        <v>5</v>
      </c>
      <c r="E349" s="58">
        <v>7.5</v>
      </c>
      <c r="F349" s="58" t="s">
        <v>80</v>
      </c>
      <c r="G349" s="58" t="s">
        <v>116</v>
      </c>
      <c r="H349" s="48">
        <v>4</v>
      </c>
      <c r="I349" s="44">
        <f t="shared" si="5"/>
        <v>36</v>
      </c>
      <c r="J349" s="18"/>
    </row>
    <row r="350" spans="1:10" hidden="1" x14ac:dyDescent="0.3">
      <c r="A350" s="59" t="s">
        <v>2</v>
      </c>
      <c r="B350" s="58" t="s">
        <v>7</v>
      </c>
      <c r="C350" s="58">
        <v>1</v>
      </c>
      <c r="D350" s="58">
        <v>6</v>
      </c>
      <c r="E350" s="58">
        <v>7.5</v>
      </c>
      <c r="F350" s="58" t="s">
        <v>87</v>
      </c>
      <c r="G350" s="58" t="s">
        <v>119</v>
      </c>
      <c r="H350" s="48">
        <v>12</v>
      </c>
      <c r="I350" s="44">
        <f t="shared" si="5"/>
        <v>15</v>
      </c>
      <c r="J350" s="18"/>
    </row>
    <row r="351" spans="1:10" hidden="1" x14ac:dyDescent="0.3">
      <c r="A351" s="59" t="s">
        <v>2</v>
      </c>
      <c r="B351" s="58" t="s">
        <v>7</v>
      </c>
      <c r="C351" s="58">
        <v>1</v>
      </c>
      <c r="D351" s="58">
        <v>6</v>
      </c>
      <c r="E351" s="58">
        <v>7.5</v>
      </c>
      <c r="F351" s="58" t="s">
        <v>87</v>
      </c>
      <c r="G351" s="58" t="s">
        <v>122</v>
      </c>
      <c r="H351" s="48">
        <v>8</v>
      </c>
      <c r="I351" s="44">
        <f t="shared" si="5"/>
        <v>10</v>
      </c>
      <c r="J351" s="18"/>
    </row>
    <row r="352" spans="1:10" hidden="1" x14ac:dyDescent="0.3">
      <c r="A352" s="59" t="s">
        <v>2</v>
      </c>
      <c r="B352" s="58" t="s">
        <v>7</v>
      </c>
      <c r="C352" s="58">
        <v>1</v>
      </c>
      <c r="D352" s="58">
        <v>6</v>
      </c>
      <c r="E352" s="58">
        <v>7.5</v>
      </c>
      <c r="F352" s="58" t="s">
        <v>87</v>
      </c>
      <c r="G352" s="58" t="s">
        <v>125</v>
      </c>
      <c r="H352" s="48">
        <v>8</v>
      </c>
      <c r="I352" s="44">
        <f t="shared" si="5"/>
        <v>10</v>
      </c>
      <c r="J352" s="18"/>
    </row>
    <row r="353" spans="1:10" hidden="1" x14ac:dyDescent="0.3">
      <c r="A353" s="59" t="s">
        <v>2</v>
      </c>
      <c r="B353" s="58" t="s">
        <v>7</v>
      </c>
      <c r="C353" s="58">
        <v>1</v>
      </c>
      <c r="D353" s="58">
        <v>6</v>
      </c>
      <c r="E353" s="58">
        <v>7.5</v>
      </c>
      <c r="F353" s="58" t="s">
        <v>87</v>
      </c>
      <c r="G353" s="58" t="s">
        <v>128</v>
      </c>
      <c r="H353" s="48">
        <v>8</v>
      </c>
      <c r="I353" s="44">
        <f t="shared" si="5"/>
        <v>10</v>
      </c>
      <c r="J353" s="18"/>
    </row>
    <row r="354" spans="1:10" hidden="1" x14ac:dyDescent="0.3">
      <c r="A354" s="59" t="s">
        <v>2</v>
      </c>
      <c r="B354" s="58" t="s">
        <v>7</v>
      </c>
      <c r="C354" s="58">
        <v>1</v>
      </c>
      <c r="D354" s="58">
        <v>6</v>
      </c>
      <c r="E354" s="58">
        <v>7.5</v>
      </c>
      <c r="F354" s="58" t="s">
        <v>87</v>
      </c>
      <c r="G354" s="58" t="s">
        <v>131</v>
      </c>
      <c r="H354" s="48">
        <v>8</v>
      </c>
      <c r="I354" s="44">
        <f t="shared" si="5"/>
        <v>10</v>
      </c>
      <c r="J354" s="18"/>
    </row>
    <row r="355" spans="1:10" hidden="1" x14ac:dyDescent="0.3">
      <c r="A355" s="59" t="s">
        <v>2</v>
      </c>
      <c r="B355" s="58" t="s">
        <v>7</v>
      </c>
      <c r="C355" s="58">
        <v>1</v>
      </c>
      <c r="D355" s="58">
        <v>6</v>
      </c>
      <c r="E355" s="58">
        <v>7.5</v>
      </c>
      <c r="F355" s="58" t="s">
        <v>87</v>
      </c>
      <c r="G355" s="58" t="s">
        <v>134</v>
      </c>
      <c r="H355" s="48">
        <v>3</v>
      </c>
      <c r="I355" s="44">
        <f t="shared" si="5"/>
        <v>3.75</v>
      </c>
      <c r="J355" s="18"/>
    </row>
    <row r="356" spans="1:10" hidden="1" x14ac:dyDescent="0.3">
      <c r="A356" s="58" t="s">
        <v>2</v>
      </c>
      <c r="B356" s="58" t="s">
        <v>7</v>
      </c>
      <c r="C356" s="58">
        <v>2</v>
      </c>
      <c r="D356" s="58">
        <v>5.5</v>
      </c>
      <c r="E356" s="58">
        <v>7.5</v>
      </c>
      <c r="F356" s="58" t="s">
        <v>94</v>
      </c>
      <c r="G356" s="58" t="s">
        <v>137</v>
      </c>
      <c r="H356" s="48">
        <v>12</v>
      </c>
      <c r="I356" s="44">
        <f t="shared" si="5"/>
        <v>32.727272727272727</v>
      </c>
      <c r="J356" s="18"/>
    </row>
    <row r="357" spans="1:10" hidden="1" x14ac:dyDescent="0.3">
      <c r="A357" s="58" t="s">
        <v>2</v>
      </c>
      <c r="B357" s="58" t="s">
        <v>7</v>
      </c>
      <c r="C357" s="58">
        <v>2</v>
      </c>
      <c r="D357" s="58">
        <v>5.5</v>
      </c>
      <c r="E357" s="58">
        <v>7.5</v>
      </c>
      <c r="F357" s="58" t="s">
        <v>94</v>
      </c>
      <c r="G357" s="58" t="s">
        <v>140</v>
      </c>
      <c r="H357" s="48">
        <v>8</v>
      </c>
      <c r="I357" s="44">
        <f t="shared" si="5"/>
        <v>21.818181818181817</v>
      </c>
      <c r="J357" s="18"/>
    </row>
    <row r="358" spans="1:10" hidden="1" x14ac:dyDescent="0.3">
      <c r="A358" s="58" t="s">
        <v>2</v>
      </c>
      <c r="B358" s="58" t="s">
        <v>7</v>
      </c>
      <c r="C358" s="58">
        <v>2</v>
      </c>
      <c r="D358" s="58">
        <v>5.5</v>
      </c>
      <c r="E358" s="58">
        <v>7.5</v>
      </c>
      <c r="F358" s="58" t="s">
        <v>94</v>
      </c>
      <c r="G358" s="58" t="s">
        <v>143</v>
      </c>
      <c r="H358" s="48">
        <v>8</v>
      </c>
      <c r="I358" s="44">
        <f t="shared" si="5"/>
        <v>21.818181818181817</v>
      </c>
      <c r="J358" s="18"/>
    </row>
    <row r="359" spans="1:10" hidden="1" x14ac:dyDescent="0.3">
      <c r="A359" s="58" t="s">
        <v>2</v>
      </c>
      <c r="B359" s="58" t="s">
        <v>7</v>
      </c>
      <c r="C359" s="58">
        <v>2</v>
      </c>
      <c r="D359" s="58">
        <v>5.5</v>
      </c>
      <c r="E359" s="58">
        <v>7.5</v>
      </c>
      <c r="F359" s="58" t="s">
        <v>94</v>
      </c>
      <c r="G359" s="58" t="s">
        <v>146</v>
      </c>
      <c r="H359" s="48">
        <v>6</v>
      </c>
      <c r="I359" s="44">
        <f t="shared" si="5"/>
        <v>16.363636363636363</v>
      </c>
      <c r="J359" s="18"/>
    </row>
    <row r="360" spans="1:10" hidden="1" x14ac:dyDescent="0.3">
      <c r="A360" s="58" t="s">
        <v>2</v>
      </c>
      <c r="B360" s="58" t="s">
        <v>7</v>
      </c>
      <c r="C360" s="58">
        <v>2</v>
      </c>
      <c r="D360" s="58">
        <v>5.6</v>
      </c>
      <c r="E360" s="58">
        <v>7.5</v>
      </c>
      <c r="F360" s="58" t="s">
        <v>94</v>
      </c>
      <c r="G360" s="58" t="s">
        <v>149</v>
      </c>
      <c r="H360" s="48">
        <v>8</v>
      </c>
      <c r="I360" s="44">
        <f t="shared" si="5"/>
        <v>21.428571428571431</v>
      </c>
      <c r="J360" s="18"/>
    </row>
    <row r="361" spans="1:10" hidden="1" x14ac:dyDescent="0.3">
      <c r="A361" s="58" t="s">
        <v>2</v>
      </c>
      <c r="B361" s="58" t="s">
        <v>7</v>
      </c>
      <c r="C361" s="58">
        <v>2</v>
      </c>
      <c r="D361" s="58">
        <v>5.6</v>
      </c>
      <c r="E361" s="58">
        <v>7.5</v>
      </c>
      <c r="F361" s="58" t="s">
        <v>94</v>
      </c>
      <c r="G361" s="58" t="s">
        <v>152</v>
      </c>
      <c r="H361" s="48">
        <v>8</v>
      </c>
      <c r="I361" s="44">
        <f t="shared" si="5"/>
        <v>21.428571428571431</v>
      </c>
      <c r="J361" s="18"/>
    </row>
    <row r="362" spans="1:10" hidden="1" x14ac:dyDescent="0.3">
      <c r="A362" s="59" t="s">
        <v>2</v>
      </c>
      <c r="B362" s="58" t="s">
        <v>194</v>
      </c>
      <c r="C362" s="58">
        <v>6</v>
      </c>
      <c r="D362" s="58">
        <v>8</v>
      </c>
      <c r="E362" s="58">
        <v>7.5</v>
      </c>
      <c r="F362" s="58" t="s">
        <v>73</v>
      </c>
      <c r="G362" s="58" t="s">
        <v>72</v>
      </c>
      <c r="H362" s="48">
        <v>7</v>
      </c>
      <c r="I362" s="44">
        <f t="shared" si="5"/>
        <v>39.375</v>
      </c>
      <c r="J362" s="18"/>
    </row>
    <row r="363" spans="1:10" hidden="1" x14ac:dyDescent="0.3">
      <c r="A363" s="59" t="s">
        <v>2</v>
      </c>
      <c r="B363" s="58" t="s">
        <v>194</v>
      </c>
      <c r="C363" s="58">
        <v>6</v>
      </c>
      <c r="D363" s="58">
        <v>8</v>
      </c>
      <c r="E363" s="58">
        <v>7.5</v>
      </c>
      <c r="F363" s="58" t="s">
        <v>73</v>
      </c>
      <c r="G363" s="58" t="s">
        <v>72</v>
      </c>
      <c r="H363" s="48">
        <v>7</v>
      </c>
      <c r="I363" s="44">
        <f t="shared" si="5"/>
        <v>39.375</v>
      </c>
      <c r="J363" s="18"/>
    </row>
    <row r="364" spans="1:10" hidden="1" x14ac:dyDescent="0.3">
      <c r="A364" s="59" t="s">
        <v>2</v>
      </c>
      <c r="B364" s="58" t="s">
        <v>194</v>
      </c>
      <c r="C364" s="58">
        <v>6.5</v>
      </c>
      <c r="D364" s="58">
        <v>8</v>
      </c>
      <c r="E364" s="58">
        <v>7.5</v>
      </c>
      <c r="F364" s="58" t="s">
        <v>73</v>
      </c>
      <c r="G364" s="58" t="s">
        <v>79</v>
      </c>
      <c r="H364" s="48">
        <v>6</v>
      </c>
      <c r="I364" s="44">
        <f t="shared" si="5"/>
        <v>36.5625</v>
      </c>
      <c r="J364" s="18"/>
    </row>
    <row r="365" spans="1:10" hidden="1" x14ac:dyDescent="0.3">
      <c r="A365" s="59" t="s">
        <v>2</v>
      </c>
      <c r="B365" s="58" t="s">
        <v>194</v>
      </c>
      <c r="C365" s="58">
        <v>6.5</v>
      </c>
      <c r="D365" s="58">
        <v>8</v>
      </c>
      <c r="E365" s="58">
        <v>7.5</v>
      </c>
      <c r="F365" s="58" t="s">
        <v>73</v>
      </c>
      <c r="G365" s="58" t="s">
        <v>79</v>
      </c>
      <c r="H365" s="48">
        <v>6</v>
      </c>
      <c r="I365" s="44">
        <f t="shared" si="5"/>
        <v>36.5625</v>
      </c>
      <c r="J365" s="18"/>
    </row>
    <row r="366" spans="1:10" hidden="1" x14ac:dyDescent="0.3">
      <c r="A366" s="59" t="s">
        <v>2</v>
      </c>
      <c r="B366" s="58" t="s">
        <v>194</v>
      </c>
      <c r="C366" s="58">
        <v>6</v>
      </c>
      <c r="D366" s="58">
        <v>8</v>
      </c>
      <c r="E366" s="58">
        <v>7.5</v>
      </c>
      <c r="F366" s="58" t="s">
        <v>73</v>
      </c>
      <c r="G366" s="58" t="s">
        <v>86</v>
      </c>
      <c r="H366" s="48">
        <v>8</v>
      </c>
      <c r="I366" s="44">
        <f t="shared" si="5"/>
        <v>45</v>
      </c>
      <c r="J366" s="18"/>
    </row>
    <row r="367" spans="1:10" hidden="1" x14ac:dyDescent="0.3">
      <c r="A367" s="59" t="s">
        <v>2</v>
      </c>
      <c r="B367" s="58" t="s">
        <v>194</v>
      </c>
      <c r="C367" s="58">
        <v>6</v>
      </c>
      <c r="D367" s="58">
        <v>8</v>
      </c>
      <c r="E367" s="58">
        <v>7.5</v>
      </c>
      <c r="F367" s="58" t="s">
        <v>73</v>
      </c>
      <c r="G367" s="58" t="s">
        <v>86</v>
      </c>
      <c r="H367" s="48">
        <v>8</v>
      </c>
      <c r="I367" s="44">
        <f t="shared" si="5"/>
        <v>45</v>
      </c>
      <c r="J367" s="18"/>
    </row>
    <row r="368" spans="1:10" hidden="1" x14ac:dyDescent="0.3">
      <c r="A368" s="59" t="s">
        <v>2</v>
      </c>
      <c r="B368" s="58" t="s">
        <v>194</v>
      </c>
      <c r="C368" s="58">
        <v>6.5</v>
      </c>
      <c r="D368" s="58">
        <v>8</v>
      </c>
      <c r="E368" s="58">
        <v>7.5</v>
      </c>
      <c r="F368" s="58" t="s">
        <v>73</v>
      </c>
      <c r="G368" s="58" t="s">
        <v>93</v>
      </c>
      <c r="H368" s="48">
        <v>8</v>
      </c>
      <c r="I368" s="44">
        <f t="shared" si="5"/>
        <v>48.75</v>
      </c>
      <c r="J368" s="18"/>
    </row>
    <row r="369" spans="1:10" hidden="1" x14ac:dyDescent="0.3">
      <c r="A369" s="59" t="s">
        <v>2</v>
      </c>
      <c r="B369" s="58" t="s">
        <v>194</v>
      </c>
      <c r="C369" s="58">
        <v>6.5</v>
      </c>
      <c r="D369" s="58">
        <v>8</v>
      </c>
      <c r="E369" s="58">
        <v>7.5</v>
      </c>
      <c r="F369" s="58" t="s">
        <v>73</v>
      </c>
      <c r="G369" s="58" t="s">
        <v>93</v>
      </c>
      <c r="H369" s="48">
        <v>8</v>
      </c>
      <c r="I369" s="44">
        <f t="shared" si="5"/>
        <v>48.75</v>
      </c>
      <c r="J369" s="18"/>
    </row>
    <row r="370" spans="1:10" hidden="1" x14ac:dyDescent="0.3">
      <c r="A370" s="59" t="s">
        <v>2</v>
      </c>
      <c r="B370" s="58" t="s">
        <v>194</v>
      </c>
      <c r="C370" s="58">
        <v>7</v>
      </c>
      <c r="D370" s="58">
        <v>8</v>
      </c>
      <c r="E370" s="58">
        <v>7.5</v>
      </c>
      <c r="F370" s="58" t="s">
        <v>73</v>
      </c>
      <c r="G370" s="58" t="s">
        <v>98</v>
      </c>
      <c r="H370" s="48">
        <v>7</v>
      </c>
      <c r="I370" s="44">
        <f t="shared" si="5"/>
        <v>45.9375</v>
      </c>
      <c r="J370" s="18"/>
    </row>
    <row r="371" spans="1:10" hidden="1" x14ac:dyDescent="0.3">
      <c r="A371" s="59" t="s">
        <v>2</v>
      </c>
      <c r="B371" s="58" t="s">
        <v>194</v>
      </c>
      <c r="C371" s="58">
        <v>7</v>
      </c>
      <c r="D371" s="58">
        <v>8</v>
      </c>
      <c r="E371" s="58">
        <v>7.5</v>
      </c>
      <c r="F371" s="58" t="s">
        <v>73</v>
      </c>
      <c r="G371" s="58" t="s">
        <v>98</v>
      </c>
      <c r="H371" s="48">
        <v>7</v>
      </c>
      <c r="I371" s="44">
        <f t="shared" si="5"/>
        <v>45.9375</v>
      </c>
      <c r="J371" s="18"/>
    </row>
    <row r="372" spans="1:10" hidden="1" x14ac:dyDescent="0.3">
      <c r="A372" s="59" t="s">
        <v>2</v>
      </c>
      <c r="B372" s="58" t="s">
        <v>194</v>
      </c>
      <c r="C372" s="58">
        <v>4</v>
      </c>
      <c r="D372" s="58">
        <v>8</v>
      </c>
      <c r="E372" s="58">
        <v>7.5</v>
      </c>
      <c r="F372" s="58" t="s">
        <v>73</v>
      </c>
      <c r="G372" s="58" t="s">
        <v>101</v>
      </c>
      <c r="H372" s="48">
        <v>3</v>
      </c>
      <c r="I372" s="44">
        <f t="shared" si="5"/>
        <v>11.25</v>
      </c>
      <c r="J372" s="18"/>
    </row>
    <row r="373" spans="1:10" hidden="1" x14ac:dyDescent="0.3">
      <c r="A373" s="59" t="s">
        <v>2</v>
      </c>
      <c r="B373" s="58" t="s">
        <v>194</v>
      </c>
      <c r="C373" s="58">
        <v>4</v>
      </c>
      <c r="D373" s="58">
        <v>8</v>
      </c>
      <c r="E373" s="58">
        <v>7.5</v>
      </c>
      <c r="F373" s="58" t="s">
        <v>73</v>
      </c>
      <c r="G373" s="58" t="s">
        <v>101</v>
      </c>
      <c r="H373" s="48">
        <v>3</v>
      </c>
      <c r="I373" s="44">
        <f t="shared" si="5"/>
        <v>11.25</v>
      </c>
      <c r="J373" s="18"/>
    </row>
    <row r="374" spans="1:10" hidden="1" x14ac:dyDescent="0.3">
      <c r="A374" s="59" t="s">
        <v>2</v>
      </c>
      <c r="B374" s="58" t="s">
        <v>194</v>
      </c>
      <c r="C374" s="58">
        <v>6</v>
      </c>
      <c r="D374" s="58">
        <v>7</v>
      </c>
      <c r="E374" s="58">
        <v>7.5</v>
      </c>
      <c r="F374" s="58" t="s">
        <v>80</v>
      </c>
      <c r="G374" s="58" t="s">
        <v>104</v>
      </c>
      <c r="H374" s="48">
        <v>8</v>
      </c>
      <c r="I374" s="44">
        <f t="shared" si="5"/>
        <v>51.428571428571431</v>
      </c>
      <c r="J374" s="18"/>
    </row>
    <row r="375" spans="1:10" hidden="1" x14ac:dyDescent="0.3">
      <c r="A375" s="59" t="s">
        <v>2</v>
      </c>
      <c r="B375" s="58" t="s">
        <v>194</v>
      </c>
      <c r="C375" s="58">
        <v>6</v>
      </c>
      <c r="D375" s="58">
        <v>7</v>
      </c>
      <c r="E375" s="58">
        <v>7.5</v>
      </c>
      <c r="F375" s="58" t="s">
        <v>80</v>
      </c>
      <c r="G375" s="58" t="s">
        <v>104</v>
      </c>
      <c r="H375" s="48">
        <v>8</v>
      </c>
      <c r="I375" s="44">
        <f t="shared" si="5"/>
        <v>51.428571428571431</v>
      </c>
      <c r="J375" s="18"/>
    </row>
    <row r="376" spans="1:10" hidden="1" x14ac:dyDescent="0.3">
      <c r="A376" s="59" t="s">
        <v>2</v>
      </c>
      <c r="B376" s="58" t="s">
        <v>194</v>
      </c>
      <c r="C376" s="58">
        <v>6</v>
      </c>
      <c r="D376" s="58">
        <v>7</v>
      </c>
      <c r="E376" s="58">
        <v>7.5</v>
      </c>
      <c r="F376" s="58" t="s">
        <v>80</v>
      </c>
      <c r="G376" s="58" t="s">
        <v>107</v>
      </c>
      <c r="H376" s="48">
        <v>7</v>
      </c>
      <c r="I376" s="44">
        <f t="shared" si="5"/>
        <v>45</v>
      </c>
      <c r="J376" s="18"/>
    </row>
    <row r="377" spans="1:10" hidden="1" x14ac:dyDescent="0.3">
      <c r="A377" s="59" t="s">
        <v>2</v>
      </c>
      <c r="B377" s="58" t="s">
        <v>194</v>
      </c>
      <c r="C377" s="58">
        <v>6</v>
      </c>
      <c r="D377" s="58">
        <v>7</v>
      </c>
      <c r="E377" s="58">
        <v>7.5</v>
      </c>
      <c r="F377" s="58" t="s">
        <v>80</v>
      </c>
      <c r="G377" s="58" t="s">
        <v>107</v>
      </c>
      <c r="H377" s="48">
        <v>7</v>
      </c>
      <c r="I377" s="44">
        <f t="shared" si="5"/>
        <v>45</v>
      </c>
      <c r="J377" s="18"/>
    </row>
    <row r="378" spans="1:10" hidden="1" x14ac:dyDescent="0.3">
      <c r="A378" s="59" t="s">
        <v>2</v>
      </c>
      <c r="B378" s="58" t="s">
        <v>194</v>
      </c>
      <c r="C378" s="58">
        <v>6</v>
      </c>
      <c r="D378" s="58">
        <v>7</v>
      </c>
      <c r="E378" s="58">
        <v>7.5</v>
      </c>
      <c r="F378" s="58" t="s">
        <v>80</v>
      </c>
      <c r="G378" s="58" t="s">
        <v>110</v>
      </c>
      <c r="H378" s="48">
        <v>8</v>
      </c>
      <c r="I378" s="44">
        <f t="shared" si="5"/>
        <v>51.428571428571431</v>
      </c>
      <c r="J378" s="18"/>
    </row>
    <row r="379" spans="1:10" hidden="1" x14ac:dyDescent="0.3">
      <c r="A379" s="59" t="s">
        <v>2</v>
      </c>
      <c r="B379" s="58" t="s">
        <v>194</v>
      </c>
      <c r="C379" s="58">
        <v>6</v>
      </c>
      <c r="D379" s="58">
        <v>7</v>
      </c>
      <c r="E379" s="58">
        <v>7.5</v>
      </c>
      <c r="F379" s="58" t="s">
        <v>80</v>
      </c>
      <c r="G379" s="58" t="s">
        <v>110</v>
      </c>
      <c r="H379" s="48">
        <v>8</v>
      </c>
      <c r="I379" s="44">
        <f t="shared" si="5"/>
        <v>51.428571428571431</v>
      </c>
      <c r="J379" s="18"/>
    </row>
    <row r="380" spans="1:10" hidden="1" x14ac:dyDescent="0.3">
      <c r="A380" s="59" t="s">
        <v>2</v>
      </c>
      <c r="B380" s="58" t="s">
        <v>194</v>
      </c>
      <c r="C380" s="58">
        <v>6</v>
      </c>
      <c r="D380" s="58">
        <v>7</v>
      </c>
      <c r="E380" s="58">
        <v>7.5</v>
      </c>
      <c r="F380" s="58" t="s">
        <v>80</v>
      </c>
      <c r="G380" s="58" t="s">
        <v>113</v>
      </c>
      <c r="H380" s="48">
        <v>7</v>
      </c>
      <c r="I380" s="44">
        <f t="shared" si="5"/>
        <v>45</v>
      </c>
      <c r="J380" s="18"/>
    </row>
    <row r="381" spans="1:10" hidden="1" x14ac:dyDescent="0.3">
      <c r="A381" s="59" t="s">
        <v>2</v>
      </c>
      <c r="B381" s="58" t="s">
        <v>194</v>
      </c>
      <c r="C381" s="58">
        <v>6</v>
      </c>
      <c r="D381" s="58">
        <v>7</v>
      </c>
      <c r="E381" s="58">
        <v>7.5</v>
      </c>
      <c r="F381" s="58" t="s">
        <v>80</v>
      </c>
      <c r="G381" s="58" t="s">
        <v>113</v>
      </c>
      <c r="H381" s="48">
        <v>7</v>
      </c>
      <c r="I381" s="44">
        <f t="shared" si="5"/>
        <v>45</v>
      </c>
      <c r="J381" s="18"/>
    </row>
    <row r="382" spans="1:10" hidden="1" x14ac:dyDescent="0.3">
      <c r="A382" s="59" t="s">
        <v>2</v>
      </c>
      <c r="B382" s="58" t="s">
        <v>194</v>
      </c>
      <c r="C382" s="58">
        <v>6</v>
      </c>
      <c r="D382" s="58">
        <v>7</v>
      </c>
      <c r="E382" s="58">
        <v>7.5</v>
      </c>
      <c r="F382" s="58" t="s">
        <v>80</v>
      </c>
      <c r="G382" s="58" t="s">
        <v>116</v>
      </c>
      <c r="H382" s="48">
        <v>4</v>
      </c>
      <c r="I382" s="44">
        <f t="shared" si="5"/>
        <v>25.714285714285715</v>
      </c>
      <c r="J382" s="18"/>
    </row>
    <row r="383" spans="1:10" hidden="1" x14ac:dyDescent="0.3">
      <c r="A383" s="59" t="s">
        <v>2</v>
      </c>
      <c r="B383" s="58" t="s">
        <v>194</v>
      </c>
      <c r="C383" s="58">
        <v>6</v>
      </c>
      <c r="D383" s="58">
        <v>7</v>
      </c>
      <c r="E383" s="58">
        <v>7.5</v>
      </c>
      <c r="F383" s="58" t="s">
        <v>80</v>
      </c>
      <c r="G383" s="58" t="s">
        <v>116</v>
      </c>
      <c r="H383" s="48">
        <v>4</v>
      </c>
      <c r="I383" s="44">
        <f t="shared" si="5"/>
        <v>25.714285714285715</v>
      </c>
      <c r="J383" s="18"/>
    </row>
    <row r="384" spans="1:10" hidden="1" x14ac:dyDescent="0.3">
      <c r="A384" s="59" t="s">
        <v>2</v>
      </c>
      <c r="B384" s="58" t="s">
        <v>194</v>
      </c>
      <c r="C384" s="58">
        <v>6</v>
      </c>
      <c r="D384" s="58">
        <v>6</v>
      </c>
      <c r="E384" s="58">
        <v>7.5</v>
      </c>
      <c r="F384" s="58" t="s">
        <v>87</v>
      </c>
      <c r="G384" s="58" t="s">
        <v>119</v>
      </c>
      <c r="H384" s="48">
        <v>12</v>
      </c>
      <c r="I384" s="44">
        <f t="shared" si="5"/>
        <v>90</v>
      </c>
      <c r="J384" s="18"/>
    </row>
    <row r="385" spans="1:10" hidden="1" x14ac:dyDescent="0.3">
      <c r="A385" s="59" t="s">
        <v>2</v>
      </c>
      <c r="B385" s="58" t="s">
        <v>194</v>
      </c>
      <c r="C385" s="58">
        <v>6</v>
      </c>
      <c r="D385" s="58">
        <v>6</v>
      </c>
      <c r="E385" s="58">
        <v>7.5</v>
      </c>
      <c r="F385" s="58" t="s">
        <v>87</v>
      </c>
      <c r="G385" s="58" t="s">
        <v>122</v>
      </c>
      <c r="H385" s="48">
        <v>8</v>
      </c>
      <c r="I385" s="44">
        <f t="shared" si="5"/>
        <v>60</v>
      </c>
      <c r="J385" s="18"/>
    </row>
    <row r="386" spans="1:10" hidden="1" x14ac:dyDescent="0.3">
      <c r="A386" s="59" t="s">
        <v>2</v>
      </c>
      <c r="B386" s="58" t="s">
        <v>194</v>
      </c>
      <c r="C386" s="58">
        <v>5</v>
      </c>
      <c r="D386" s="58">
        <v>6</v>
      </c>
      <c r="E386" s="58">
        <v>7.5</v>
      </c>
      <c r="F386" s="58" t="s">
        <v>87</v>
      </c>
      <c r="G386" s="58" t="s">
        <v>125</v>
      </c>
      <c r="H386" s="48">
        <v>8</v>
      </c>
      <c r="I386" s="44">
        <f t="shared" ref="I386:I449" si="6">IF(D386&gt;0,(((H386*E386)*C386)/D386),"")</f>
        <v>50</v>
      </c>
      <c r="J386" s="18"/>
    </row>
    <row r="387" spans="1:10" hidden="1" x14ac:dyDescent="0.3">
      <c r="A387" s="59" t="s">
        <v>2</v>
      </c>
      <c r="B387" s="58" t="s">
        <v>194</v>
      </c>
      <c r="C387" s="58">
        <v>5</v>
      </c>
      <c r="D387" s="58">
        <v>6</v>
      </c>
      <c r="E387" s="58">
        <v>7.5</v>
      </c>
      <c r="F387" s="58" t="s">
        <v>87</v>
      </c>
      <c r="G387" s="58" t="s">
        <v>128</v>
      </c>
      <c r="H387" s="48">
        <v>8</v>
      </c>
      <c r="I387" s="44">
        <f t="shared" si="6"/>
        <v>50</v>
      </c>
      <c r="J387" s="18"/>
    </row>
    <row r="388" spans="1:10" hidden="1" x14ac:dyDescent="0.3">
      <c r="A388" s="59" t="s">
        <v>2</v>
      </c>
      <c r="B388" s="58" t="s">
        <v>194</v>
      </c>
      <c r="C388" s="58">
        <v>6</v>
      </c>
      <c r="D388" s="58">
        <v>6</v>
      </c>
      <c r="E388" s="58">
        <v>7.5</v>
      </c>
      <c r="F388" s="58" t="s">
        <v>87</v>
      </c>
      <c r="G388" s="58" t="s">
        <v>131</v>
      </c>
      <c r="H388" s="48">
        <v>8</v>
      </c>
      <c r="I388" s="44">
        <f t="shared" si="6"/>
        <v>60</v>
      </c>
      <c r="J388" s="18"/>
    </row>
    <row r="389" spans="1:10" hidden="1" x14ac:dyDescent="0.3">
      <c r="A389" s="59" t="s">
        <v>2</v>
      </c>
      <c r="B389" s="58" t="s">
        <v>194</v>
      </c>
      <c r="C389" s="58">
        <v>6</v>
      </c>
      <c r="D389" s="58">
        <v>6</v>
      </c>
      <c r="E389" s="58">
        <v>7.5</v>
      </c>
      <c r="F389" s="58" t="s">
        <v>87</v>
      </c>
      <c r="G389" s="58" t="s">
        <v>134</v>
      </c>
      <c r="H389" s="48">
        <v>3</v>
      </c>
      <c r="I389" s="44">
        <f t="shared" si="6"/>
        <v>22.5</v>
      </c>
      <c r="J389" s="18"/>
    </row>
    <row r="390" spans="1:10" hidden="1" x14ac:dyDescent="0.3">
      <c r="A390" s="58" t="s">
        <v>2</v>
      </c>
      <c r="B390" s="58" t="s">
        <v>194</v>
      </c>
      <c r="C390" s="58">
        <v>5</v>
      </c>
      <c r="D390" s="58">
        <v>5.6</v>
      </c>
      <c r="E390" s="58">
        <v>7.5</v>
      </c>
      <c r="F390" s="58" t="s">
        <v>94</v>
      </c>
      <c r="G390" s="58" t="s">
        <v>137</v>
      </c>
      <c r="H390" s="48">
        <v>12</v>
      </c>
      <c r="I390" s="44">
        <f t="shared" si="6"/>
        <v>80.357142857142861</v>
      </c>
      <c r="J390" s="18"/>
    </row>
    <row r="391" spans="1:10" hidden="1" x14ac:dyDescent="0.3">
      <c r="A391" s="58" t="s">
        <v>2</v>
      </c>
      <c r="B391" s="58" t="s">
        <v>194</v>
      </c>
      <c r="C391" s="58">
        <v>6</v>
      </c>
      <c r="D391" s="58">
        <v>5.6</v>
      </c>
      <c r="E391" s="58">
        <v>7.5</v>
      </c>
      <c r="F391" s="58" t="s">
        <v>94</v>
      </c>
      <c r="G391" s="58" t="s">
        <v>140</v>
      </c>
      <c r="H391" s="48">
        <v>8</v>
      </c>
      <c r="I391" s="44">
        <f t="shared" si="6"/>
        <v>64.285714285714292</v>
      </c>
      <c r="J391" s="18"/>
    </row>
    <row r="392" spans="1:10" hidden="1" x14ac:dyDescent="0.3">
      <c r="A392" s="58" t="s">
        <v>2</v>
      </c>
      <c r="B392" s="58" t="s">
        <v>194</v>
      </c>
      <c r="C392" s="58">
        <v>6</v>
      </c>
      <c r="D392" s="58">
        <v>5.6</v>
      </c>
      <c r="E392" s="58">
        <v>7.5</v>
      </c>
      <c r="F392" s="58" t="s">
        <v>94</v>
      </c>
      <c r="G392" s="58" t="s">
        <v>143</v>
      </c>
      <c r="H392" s="48">
        <v>8</v>
      </c>
      <c r="I392" s="44">
        <f t="shared" si="6"/>
        <v>64.285714285714292</v>
      </c>
      <c r="J392" s="18"/>
    </row>
    <row r="393" spans="1:10" hidden="1" x14ac:dyDescent="0.3">
      <c r="A393" s="58" t="s">
        <v>2</v>
      </c>
      <c r="B393" s="58" t="s">
        <v>194</v>
      </c>
      <c r="C393" s="58">
        <v>6</v>
      </c>
      <c r="D393" s="58">
        <v>5.6</v>
      </c>
      <c r="E393" s="58">
        <v>7.5</v>
      </c>
      <c r="F393" s="58" t="s">
        <v>94</v>
      </c>
      <c r="G393" s="58" t="s">
        <v>146</v>
      </c>
      <c r="H393" s="48">
        <v>6</v>
      </c>
      <c r="I393" s="44">
        <f t="shared" si="6"/>
        <v>48.214285714285715</v>
      </c>
      <c r="J393" s="18"/>
    </row>
    <row r="394" spans="1:10" hidden="1" x14ac:dyDescent="0.3">
      <c r="A394" s="58" t="s">
        <v>2</v>
      </c>
      <c r="B394" s="58" t="s">
        <v>194</v>
      </c>
      <c r="C394" s="58">
        <v>6</v>
      </c>
      <c r="D394" s="58">
        <v>5.6</v>
      </c>
      <c r="E394" s="58">
        <v>7.5</v>
      </c>
      <c r="F394" s="58" t="s">
        <v>94</v>
      </c>
      <c r="G394" s="58" t="s">
        <v>149</v>
      </c>
      <c r="H394" s="48">
        <v>8</v>
      </c>
      <c r="I394" s="44">
        <f t="shared" si="6"/>
        <v>64.285714285714292</v>
      </c>
      <c r="J394" s="18"/>
    </row>
    <row r="395" spans="1:10" hidden="1" x14ac:dyDescent="0.3">
      <c r="A395" s="58" t="s">
        <v>2</v>
      </c>
      <c r="B395" s="58" t="s">
        <v>194</v>
      </c>
      <c r="C395" s="58">
        <v>2</v>
      </c>
      <c r="D395" s="58">
        <v>5.6</v>
      </c>
      <c r="E395" s="58">
        <v>7.5</v>
      </c>
      <c r="F395" s="58" t="s">
        <v>94</v>
      </c>
      <c r="G395" s="58" t="s">
        <v>152</v>
      </c>
      <c r="H395" s="48">
        <v>8</v>
      </c>
      <c r="I395" s="44">
        <f t="shared" si="6"/>
        <v>21.428571428571431</v>
      </c>
      <c r="J395" s="18"/>
    </row>
    <row r="396" spans="1:10" hidden="1" x14ac:dyDescent="0.3">
      <c r="A396" s="4" t="s">
        <v>14</v>
      </c>
      <c r="B396" s="4" t="s">
        <v>15</v>
      </c>
      <c r="C396" s="58">
        <v>4</v>
      </c>
      <c r="D396" s="51">
        <v>5.8</v>
      </c>
      <c r="E396" s="51">
        <v>7.5</v>
      </c>
      <c r="F396" s="4" t="s">
        <v>73</v>
      </c>
      <c r="G396" s="4" t="s">
        <v>72</v>
      </c>
      <c r="H396" s="48">
        <f>IF(G396&gt;0,VLOOKUP(G396,Apoio!$O$2:$P$24,2,0),"")</f>
        <v>8</v>
      </c>
      <c r="I396" s="44">
        <f t="shared" si="6"/>
        <v>41.379310344827587</v>
      </c>
      <c r="J396" s="18"/>
    </row>
    <row r="397" spans="1:10" hidden="1" x14ac:dyDescent="0.3">
      <c r="A397" s="4" t="s">
        <v>14</v>
      </c>
      <c r="B397" s="4" t="s">
        <v>15</v>
      </c>
      <c r="C397" s="58">
        <v>3.5</v>
      </c>
      <c r="D397" s="51">
        <v>5.8</v>
      </c>
      <c r="E397" s="51">
        <v>7.5</v>
      </c>
      <c r="F397" s="4" t="s">
        <v>73</v>
      </c>
      <c r="G397" s="4" t="s">
        <v>79</v>
      </c>
      <c r="H397" s="48">
        <f>IF(G397&gt;0,VLOOKUP(G397,Apoio!$O$2:$P$24,2,0),"")</f>
        <v>6</v>
      </c>
      <c r="I397" s="44">
        <f t="shared" si="6"/>
        <v>27.155172413793103</v>
      </c>
      <c r="J397" s="18"/>
    </row>
    <row r="398" spans="1:10" hidden="1" x14ac:dyDescent="0.3">
      <c r="A398" s="4" t="s">
        <v>14</v>
      </c>
      <c r="B398" s="4" t="s">
        <v>15</v>
      </c>
      <c r="C398" s="58">
        <v>3.5</v>
      </c>
      <c r="D398" s="51">
        <v>5.8</v>
      </c>
      <c r="E398" s="51">
        <v>7.5</v>
      </c>
      <c r="F398" s="4" t="s">
        <v>73</v>
      </c>
      <c r="G398" s="4" t="s">
        <v>86</v>
      </c>
      <c r="H398" s="48">
        <f>IF(G398&gt;0,VLOOKUP(G398,Apoio!$O$2:$P$24,2,0),"")</f>
        <v>8</v>
      </c>
      <c r="I398" s="44">
        <f t="shared" si="6"/>
        <v>36.206896551724142</v>
      </c>
      <c r="J398" s="18"/>
    </row>
    <row r="399" spans="1:10" hidden="1" x14ac:dyDescent="0.3">
      <c r="A399" s="4" t="s">
        <v>14</v>
      </c>
      <c r="B399" s="4" t="s">
        <v>15</v>
      </c>
      <c r="C399" s="58">
        <v>4</v>
      </c>
      <c r="D399" s="51">
        <v>5.8</v>
      </c>
      <c r="E399" s="51">
        <v>7.5</v>
      </c>
      <c r="F399" s="4" t="s">
        <v>73</v>
      </c>
      <c r="G399" s="4" t="s">
        <v>93</v>
      </c>
      <c r="H399" s="48">
        <f>IF(G399&gt;0,VLOOKUP(G399,Apoio!$O$2:$P$24,2,0),"")</f>
        <v>8</v>
      </c>
      <c r="I399" s="44">
        <f t="shared" si="6"/>
        <v>41.379310344827587</v>
      </c>
      <c r="J399" s="18"/>
    </row>
    <row r="400" spans="1:10" hidden="1" x14ac:dyDescent="0.3">
      <c r="A400" s="4" t="s">
        <v>14</v>
      </c>
      <c r="B400" s="4" t="s">
        <v>15</v>
      </c>
      <c r="C400" s="58">
        <v>4</v>
      </c>
      <c r="D400" s="51">
        <v>5.8</v>
      </c>
      <c r="E400" s="51">
        <v>7.5</v>
      </c>
      <c r="F400" s="4" t="s">
        <v>73</v>
      </c>
      <c r="G400" s="4" t="s">
        <v>98</v>
      </c>
      <c r="H400" s="48">
        <f>IF(G400&gt;0,VLOOKUP(G400,Apoio!$O$2:$P$24,2,0),"")</f>
        <v>7</v>
      </c>
      <c r="I400" s="44">
        <f t="shared" si="6"/>
        <v>36.206896551724142</v>
      </c>
      <c r="J400" s="18"/>
    </row>
    <row r="401" spans="1:10" hidden="1" x14ac:dyDescent="0.3">
      <c r="A401" s="4" t="s">
        <v>14</v>
      </c>
      <c r="B401" s="4" t="s">
        <v>15</v>
      </c>
      <c r="C401" s="58">
        <v>4</v>
      </c>
      <c r="D401" s="51">
        <v>5.8</v>
      </c>
      <c r="E401" s="51">
        <v>7.5</v>
      </c>
      <c r="F401" s="4" t="s">
        <v>73</v>
      </c>
      <c r="G401" s="4" t="s">
        <v>101</v>
      </c>
      <c r="H401" s="48">
        <f>IF(G401&gt;0,VLOOKUP(G401,Apoio!$O$2:$P$24,2,0),"")</f>
        <v>3</v>
      </c>
      <c r="I401" s="44">
        <f t="shared" si="6"/>
        <v>15.517241379310345</v>
      </c>
      <c r="J401" s="18"/>
    </row>
    <row r="402" spans="1:10" hidden="1" x14ac:dyDescent="0.3">
      <c r="A402" s="4" t="s">
        <v>14</v>
      </c>
      <c r="B402" s="4" t="s">
        <v>15</v>
      </c>
      <c r="C402" s="58">
        <v>4</v>
      </c>
      <c r="D402" s="51">
        <v>8</v>
      </c>
      <c r="E402" s="51">
        <v>7.5</v>
      </c>
      <c r="F402" s="4" t="s">
        <v>80</v>
      </c>
      <c r="G402" s="4" t="s">
        <v>104</v>
      </c>
      <c r="H402" s="48">
        <f>IF(G402&gt;0,VLOOKUP(G402,Apoio!$O$2:$P$24,2,0),"")</f>
        <v>8</v>
      </c>
      <c r="I402" s="44">
        <f t="shared" si="6"/>
        <v>30</v>
      </c>
      <c r="J402" s="18"/>
    </row>
    <row r="403" spans="1:10" hidden="1" x14ac:dyDescent="0.3">
      <c r="A403" s="4" t="s">
        <v>14</v>
      </c>
      <c r="B403" s="4" t="s">
        <v>15</v>
      </c>
      <c r="C403" s="58">
        <v>4</v>
      </c>
      <c r="D403" s="51">
        <v>8</v>
      </c>
      <c r="E403" s="51">
        <v>7.5</v>
      </c>
      <c r="F403" s="4" t="s">
        <v>80</v>
      </c>
      <c r="G403" s="4" t="s">
        <v>107</v>
      </c>
      <c r="H403" s="48">
        <f>IF(G403&gt;0,VLOOKUP(G403,Apoio!$O$2:$P$24,2,0),"")</f>
        <v>7</v>
      </c>
      <c r="I403" s="44">
        <f t="shared" si="6"/>
        <v>26.25</v>
      </c>
      <c r="J403" s="18"/>
    </row>
    <row r="404" spans="1:10" hidden="1" x14ac:dyDescent="0.3">
      <c r="A404" s="4" t="s">
        <v>14</v>
      </c>
      <c r="B404" s="4" t="s">
        <v>15</v>
      </c>
      <c r="C404" s="58">
        <v>4</v>
      </c>
      <c r="D404" s="51">
        <v>8</v>
      </c>
      <c r="E404" s="51">
        <v>7.5</v>
      </c>
      <c r="F404" s="4" t="s">
        <v>80</v>
      </c>
      <c r="G404" s="4" t="s">
        <v>110</v>
      </c>
      <c r="H404" s="48">
        <f>IF(G404&gt;0,VLOOKUP(G404,Apoio!$O$2:$P$24,2,0),"")</f>
        <v>8</v>
      </c>
      <c r="I404" s="44">
        <f t="shared" si="6"/>
        <v>30</v>
      </c>
      <c r="J404" s="18"/>
    </row>
    <row r="405" spans="1:10" hidden="1" x14ac:dyDescent="0.3">
      <c r="A405" s="4" t="s">
        <v>14</v>
      </c>
      <c r="B405" s="4" t="s">
        <v>15</v>
      </c>
      <c r="C405" s="58">
        <v>4</v>
      </c>
      <c r="D405" s="51">
        <v>8</v>
      </c>
      <c r="E405" s="51">
        <v>7.5</v>
      </c>
      <c r="F405" s="4" t="s">
        <v>80</v>
      </c>
      <c r="G405" s="4" t="s">
        <v>113</v>
      </c>
      <c r="H405" s="48">
        <f>IF(G405&gt;0,VLOOKUP(G405,Apoio!$O$2:$P$24,2,0),"")</f>
        <v>7</v>
      </c>
      <c r="I405" s="44">
        <f t="shared" si="6"/>
        <v>26.25</v>
      </c>
      <c r="J405" s="18"/>
    </row>
    <row r="406" spans="1:10" hidden="1" x14ac:dyDescent="0.3">
      <c r="A406" s="4" t="s">
        <v>14</v>
      </c>
      <c r="B406" s="4" t="s">
        <v>15</v>
      </c>
      <c r="C406" s="58">
        <v>4</v>
      </c>
      <c r="D406" s="51">
        <v>8</v>
      </c>
      <c r="E406" s="51">
        <v>7.5</v>
      </c>
      <c r="F406" s="4" t="s">
        <v>80</v>
      </c>
      <c r="G406" s="4" t="s">
        <v>116</v>
      </c>
      <c r="H406" s="48">
        <f>IF(G406&gt;0,VLOOKUP(G406,Apoio!$O$2:$P$24,2,0),"")</f>
        <v>4</v>
      </c>
      <c r="I406" s="44">
        <f t="shared" si="6"/>
        <v>15</v>
      </c>
      <c r="J406" s="18"/>
    </row>
    <row r="407" spans="1:10" hidden="1" x14ac:dyDescent="0.3">
      <c r="A407" s="4" t="s">
        <v>14</v>
      </c>
      <c r="B407" s="4" t="s">
        <v>15</v>
      </c>
      <c r="C407" s="58">
        <v>3.5</v>
      </c>
      <c r="D407" s="51">
        <v>6.9</v>
      </c>
      <c r="E407" s="51">
        <v>7.5</v>
      </c>
      <c r="F407" s="4" t="s">
        <v>87</v>
      </c>
      <c r="G407" s="4" t="s">
        <v>119</v>
      </c>
      <c r="H407" s="48">
        <f>IF(G407&gt;0,VLOOKUP(G407,Apoio!$O$2:$P$24,2,0),"")</f>
        <v>12</v>
      </c>
      <c r="I407" s="44">
        <f t="shared" si="6"/>
        <v>45.652173913043477</v>
      </c>
      <c r="J407" s="18"/>
    </row>
    <row r="408" spans="1:10" hidden="1" x14ac:dyDescent="0.3">
      <c r="A408" s="4" t="s">
        <v>14</v>
      </c>
      <c r="B408" s="4" t="s">
        <v>15</v>
      </c>
      <c r="C408" s="58">
        <v>3</v>
      </c>
      <c r="D408" s="51">
        <v>6.9</v>
      </c>
      <c r="E408" s="51">
        <v>7.5</v>
      </c>
      <c r="F408" s="4" t="s">
        <v>87</v>
      </c>
      <c r="G408" s="4" t="s">
        <v>122</v>
      </c>
      <c r="H408" s="48">
        <f>IF(G408&gt;0,VLOOKUP(G408,Apoio!$O$2:$P$24,2,0),"")</f>
        <v>8</v>
      </c>
      <c r="I408" s="44">
        <f t="shared" si="6"/>
        <v>26.086956521739129</v>
      </c>
      <c r="J408" s="18"/>
    </row>
    <row r="409" spans="1:10" hidden="1" x14ac:dyDescent="0.3">
      <c r="A409" s="4" t="s">
        <v>14</v>
      </c>
      <c r="B409" s="4" t="s">
        <v>15</v>
      </c>
      <c r="C409" s="58">
        <v>3</v>
      </c>
      <c r="D409" s="51">
        <v>6.9</v>
      </c>
      <c r="E409" s="51">
        <v>7.5</v>
      </c>
      <c r="F409" s="4" t="s">
        <v>87</v>
      </c>
      <c r="G409" s="4" t="s">
        <v>125</v>
      </c>
      <c r="H409" s="48">
        <f>IF(G409&gt;0,VLOOKUP(G409,Apoio!$O$2:$P$24,2,0),"")</f>
        <v>8</v>
      </c>
      <c r="I409" s="44">
        <f t="shared" si="6"/>
        <v>26.086956521739129</v>
      </c>
      <c r="J409" s="18"/>
    </row>
    <row r="410" spans="1:10" hidden="1" x14ac:dyDescent="0.3">
      <c r="A410" s="4" t="s">
        <v>14</v>
      </c>
      <c r="B410" s="4" t="s">
        <v>15</v>
      </c>
      <c r="C410" s="58">
        <v>4</v>
      </c>
      <c r="D410" s="51">
        <v>6.9</v>
      </c>
      <c r="E410" s="51">
        <v>7.5</v>
      </c>
      <c r="F410" s="4" t="s">
        <v>87</v>
      </c>
      <c r="G410" s="4" t="s">
        <v>128</v>
      </c>
      <c r="H410" s="48">
        <f>IF(G410&gt;0,VLOOKUP(G410,Apoio!$O$2:$P$24,2,0),"")</f>
        <v>8</v>
      </c>
      <c r="I410" s="44">
        <f t="shared" si="6"/>
        <v>34.782608695652172</v>
      </c>
      <c r="J410" s="18"/>
    </row>
    <row r="411" spans="1:10" hidden="1" x14ac:dyDescent="0.3">
      <c r="A411" s="4" t="s">
        <v>14</v>
      </c>
      <c r="B411" s="4" t="s">
        <v>15</v>
      </c>
      <c r="C411" s="58">
        <v>4</v>
      </c>
      <c r="D411" s="51">
        <v>6.9</v>
      </c>
      <c r="E411" s="51">
        <v>7.5</v>
      </c>
      <c r="F411" s="4" t="s">
        <v>87</v>
      </c>
      <c r="G411" s="4" t="s">
        <v>131</v>
      </c>
      <c r="H411" s="48">
        <f>IF(G411&gt;0,VLOOKUP(G411,Apoio!$O$2:$P$24,2,0),"")</f>
        <v>8</v>
      </c>
      <c r="I411" s="44">
        <f t="shared" si="6"/>
        <v>34.782608695652172</v>
      </c>
      <c r="J411" s="18"/>
    </row>
    <row r="412" spans="1:10" hidden="1" x14ac:dyDescent="0.3">
      <c r="A412" s="4" t="s">
        <v>14</v>
      </c>
      <c r="B412" s="4" t="s">
        <v>15</v>
      </c>
      <c r="C412" s="58">
        <v>4</v>
      </c>
      <c r="D412" s="51">
        <v>6.9</v>
      </c>
      <c r="E412" s="51">
        <v>7.5</v>
      </c>
      <c r="F412" s="4" t="s">
        <v>87</v>
      </c>
      <c r="G412" s="4" t="s">
        <v>134</v>
      </c>
      <c r="H412" s="48">
        <f>IF(G412&gt;0,VLOOKUP(G412,Apoio!$O$2:$P$24,2,0),"")</f>
        <v>3</v>
      </c>
      <c r="I412" s="44">
        <f t="shared" si="6"/>
        <v>13.043478260869565</v>
      </c>
      <c r="J412" s="18"/>
    </row>
    <row r="413" spans="1:10" hidden="1" x14ac:dyDescent="0.3">
      <c r="A413" s="4" t="s">
        <v>14</v>
      </c>
      <c r="B413" s="4" t="s">
        <v>15</v>
      </c>
      <c r="C413" s="58">
        <v>4</v>
      </c>
      <c r="D413" s="51">
        <v>6.5</v>
      </c>
      <c r="E413" s="51">
        <v>7.5</v>
      </c>
      <c r="F413" s="4" t="s">
        <v>94</v>
      </c>
      <c r="G413" s="4" t="s">
        <v>137</v>
      </c>
      <c r="H413" s="48">
        <f>IF(G413&gt;0,VLOOKUP(G413,Apoio!$O$2:$P$24,2,0),"")</f>
        <v>13</v>
      </c>
      <c r="I413" s="44">
        <f t="shared" si="6"/>
        <v>60</v>
      </c>
      <c r="J413" s="18"/>
    </row>
    <row r="414" spans="1:10" hidden="1" x14ac:dyDescent="0.3">
      <c r="A414" s="4" t="s">
        <v>14</v>
      </c>
      <c r="B414" s="4" t="s">
        <v>15</v>
      </c>
      <c r="C414" s="58">
        <v>3</v>
      </c>
      <c r="D414" s="51">
        <v>6.5</v>
      </c>
      <c r="E414" s="51">
        <v>7.5</v>
      </c>
      <c r="F414" s="4" t="s">
        <v>94</v>
      </c>
      <c r="G414" s="4" t="s">
        <v>140</v>
      </c>
      <c r="H414" s="48">
        <f>IF(G414&gt;0,VLOOKUP(G414,Apoio!$O$2:$P$24,2,0),"")</f>
        <v>8</v>
      </c>
      <c r="I414" s="44">
        <f t="shared" si="6"/>
        <v>27.692307692307693</v>
      </c>
      <c r="J414" s="18"/>
    </row>
    <row r="415" spans="1:10" hidden="1" x14ac:dyDescent="0.3">
      <c r="A415" s="4" t="s">
        <v>14</v>
      </c>
      <c r="B415" s="4" t="s">
        <v>15</v>
      </c>
      <c r="C415" s="58">
        <v>3.5</v>
      </c>
      <c r="D415" s="51">
        <v>6.5</v>
      </c>
      <c r="E415" s="51">
        <v>7.5</v>
      </c>
      <c r="F415" s="4" t="s">
        <v>94</v>
      </c>
      <c r="G415" s="4" t="s">
        <v>143</v>
      </c>
      <c r="H415" s="48">
        <f>IF(G415&gt;0,VLOOKUP(G415,Apoio!$O$2:$P$24,2,0),"")</f>
        <v>8</v>
      </c>
      <c r="I415" s="44">
        <f t="shared" si="6"/>
        <v>32.307692307692307</v>
      </c>
      <c r="J415" s="18"/>
    </row>
    <row r="416" spans="1:10" hidden="1" x14ac:dyDescent="0.3">
      <c r="A416" s="4" t="s">
        <v>14</v>
      </c>
      <c r="B416" s="4" t="s">
        <v>15</v>
      </c>
      <c r="C416" s="58">
        <v>3.5</v>
      </c>
      <c r="D416" s="51">
        <v>6.5</v>
      </c>
      <c r="E416" s="51">
        <v>7.5</v>
      </c>
      <c r="F416" s="4" t="s">
        <v>94</v>
      </c>
      <c r="G416" s="4" t="s">
        <v>146</v>
      </c>
      <c r="H416" s="48">
        <f>IF(G416&gt;0,VLOOKUP(G416,Apoio!$O$2:$P$24,2,0),"")</f>
        <v>6</v>
      </c>
      <c r="I416" s="44">
        <f t="shared" si="6"/>
        <v>24.23076923076923</v>
      </c>
      <c r="J416" s="18"/>
    </row>
    <row r="417" spans="1:10" hidden="1" x14ac:dyDescent="0.3">
      <c r="A417" s="4" t="s">
        <v>14</v>
      </c>
      <c r="B417" s="4" t="s">
        <v>15</v>
      </c>
      <c r="C417" s="58">
        <v>4</v>
      </c>
      <c r="D417" s="51">
        <v>6.5</v>
      </c>
      <c r="E417" s="51">
        <v>7.5</v>
      </c>
      <c r="F417" s="4" t="s">
        <v>94</v>
      </c>
      <c r="G417" s="4" t="s">
        <v>149</v>
      </c>
      <c r="H417" s="48">
        <f>IF(G417&gt;0,VLOOKUP(G417,Apoio!$O$2:$P$24,2,0),"")</f>
        <v>8</v>
      </c>
      <c r="I417" s="44">
        <f t="shared" si="6"/>
        <v>36.92307692307692</v>
      </c>
      <c r="J417" s="18"/>
    </row>
    <row r="418" spans="1:10" hidden="1" x14ac:dyDescent="0.3">
      <c r="A418" s="4" t="s">
        <v>14</v>
      </c>
      <c r="B418" s="4" t="s">
        <v>15</v>
      </c>
      <c r="C418" s="58">
        <v>4</v>
      </c>
      <c r="D418" s="51">
        <v>6.5</v>
      </c>
      <c r="E418" s="51">
        <v>7.5</v>
      </c>
      <c r="F418" s="4" t="s">
        <v>94</v>
      </c>
      <c r="G418" s="4" t="s">
        <v>152</v>
      </c>
      <c r="H418" s="48">
        <f>IF(G418&gt;0,VLOOKUP(G418,Apoio!$O$2:$P$24,2,0),"")</f>
        <v>8</v>
      </c>
      <c r="I418" s="44">
        <f t="shared" si="6"/>
        <v>36.92307692307692</v>
      </c>
      <c r="J418" s="18"/>
    </row>
    <row r="419" spans="1:10" hidden="1" x14ac:dyDescent="0.3">
      <c r="A419" s="4" t="s">
        <v>14</v>
      </c>
      <c r="B419" s="4" t="s">
        <v>16</v>
      </c>
      <c r="C419" s="58">
        <v>3</v>
      </c>
      <c r="D419" s="51">
        <v>6.7</v>
      </c>
      <c r="E419" s="51">
        <v>7.5</v>
      </c>
      <c r="F419" s="4" t="s">
        <v>73</v>
      </c>
      <c r="G419" s="4" t="s">
        <v>72</v>
      </c>
      <c r="H419" s="48">
        <f>IF(G419&gt;0,VLOOKUP(G419,Apoio!$O$2:$P$24,2,0),"")</f>
        <v>8</v>
      </c>
      <c r="I419" s="44">
        <f t="shared" si="6"/>
        <v>26.865671641791042</v>
      </c>
      <c r="J419" s="18"/>
    </row>
    <row r="420" spans="1:10" hidden="1" x14ac:dyDescent="0.3">
      <c r="A420" s="4" t="s">
        <v>14</v>
      </c>
      <c r="B420" s="4" t="s">
        <v>16</v>
      </c>
      <c r="C420" s="58">
        <v>3</v>
      </c>
      <c r="D420" s="51">
        <v>6.7</v>
      </c>
      <c r="E420" s="51">
        <v>7.5</v>
      </c>
      <c r="F420" s="4" t="s">
        <v>73</v>
      </c>
      <c r="G420" s="4" t="s">
        <v>79</v>
      </c>
      <c r="H420" s="48">
        <f>IF(G420&gt;0,VLOOKUP(G420,Apoio!$O$2:$P$24,2,0),"")</f>
        <v>6</v>
      </c>
      <c r="I420" s="44">
        <f t="shared" si="6"/>
        <v>20.149253731343283</v>
      </c>
      <c r="J420" s="18"/>
    </row>
    <row r="421" spans="1:10" hidden="1" x14ac:dyDescent="0.3">
      <c r="A421" s="4" t="s">
        <v>14</v>
      </c>
      <c r="B421" s="4" t="s">
        <v>16</v>
      </c>
      <c r="C421" s="58">
        <v>3</v>
      </c>
      <c r="D421" s="51">
        <v>6.7</v>
      </c>
      <c r="E421" s="51">
        <v>7.5</v>
      </c>
      <c r="F421" s="4" t="s">
        <v>73</v>
      </c>
      <c r="G421" s="4" t="s">
        <v>86</v>
      </c>
      <c r="H421" s="48">
        <f>IF(G421&gt;0,VLOOKUP(G421,Apoio!$O$2:$P$24,2,0),"")</f>
        <v>8</v>
      </c>
      <c r="I421" s="44">
        <f t="shared" si="6"/>
        <v>26.865671641791042</v>
      </c>
      <c r="J421" s="18"/>
    </row>
    <row r="422" spans="1:10" hidden="1" x14ac:dyDescent="0.3">
      <c r="A422" s="4" t="s">
        <v>14</v>
      </c>
      <c r="B422" s="4" t="s">
        <v>16</v>
      </c>
      <c r="C422" s="58">
        <v>3</v>
      </c>
      <c r="D422" s="51">
        <v>6.7</v>
      </c>
      <c r="E422" s="51">
        <v>7.5</v>
      </c>
      <c r="F422" s="4" t="s">
        <v>73</v>
      </c>
      <c r="G422" s="4" t="s">
        <v>93</v>
      </c>
      <c r="H422" s="48">
        <f>IF(G422&gt;0,VLOOKUP(G422,Apoio!$O$2:$P$24,2,0),"")</f>
        <v>8</v>
      </c>
      <c r="I422" s="44">
        <f t="shared" si="6"/>
        <v>26.865671641791042</v>
      </c>
      <c r="J422" s="18"/>
    </row>
    <row r="423" spans="1:10" hidden="1" x14ac:dyDescent="0.3">
      <c r="A423" s="4" t="s">
        <v>14</v>
      </c>
      <c r="B423" s="4" t="s">
        <v>16</v>
      </c>
      <c r="C423" s="58">
        <v>4</v>
      </c>
      <c r="D423" s="51">
        <v>6.7</v>
      </c>
      <c r="E423" s="51">
        <v>7.5</v>
      </c>
      <c r="F423" s="4" t="s">
        <v>73</v>
      </c>
      <c r="G423" s="4" t="s">
        <v>98</v>
      </c>
      <c r="H423" s="48">
        <f>IF(G423&gt;0,VLOOKUP(G423,Apoio!$O$2:$P$24,2,0),"")</f>
        <v>7</v>
      </c>
      <c r="I423" s="44">
        <f t="shared" si="6"/>
        <v>31.343283582089551</v>
      </c>
      <c r="J423" s="18"/>
    </row>
    <row r="424" spans="1:10" hidden="1" x14ac:dyDescent="0.3">
      <c r="A424" s="4" t="s">
        <v>14</v>
      </c>
      <c r="B424" s="4" t="s">
        <v>16</v>
      </c>
      <c r="C424" s="58">
        <v>4</v>
      </c>
      <c r="D424" s="51">
        <v>6.7</v>
      </c>
      <c r="E424" s="51">
        <v>7.5</v>
      </c>
      <c r="F424" s="4" t="s">
        <v>73</v>
      </c>
      <c r="G424" s="4" t="s">
        <v>101</v>
      </c>
      <c r="H424" s="48">
        <f>IF(G424&gt;0,VLOOKUP(G424,Apoio!$O$2:$P$24,2,0),"")</f>
        <v>3</v>
      </c>
      <c r="I424" s="44">
        <f t="shared" si="6"/>
        <v>13.432835820895521</v>
      </c>
      <c r="J424" s="18"/>
    </row>
    <row r="425" spans="1:10" hidden="1" x14ac:dyDescent="0.3">
      <c r="A425" s="4" t="s">
        <v>14</v>
      </c>
      <c r="B425" s="4" t="s">
        <v>16</v>
      </c>
      <c r="C425" s="58">
        <v>4</v>
      </c>
      <c r="D425" s="51">
        <v>6.7</v>
      </c>
      <c r="E425" s="51">
        <v>7.5</v>
      </c>
      <c r="F425" s="4" t="s">
        <v>80</v>
      </c>
      <c r="G425" s="4" t="s">
        <v>104</v>
      </c>
      <c r="H425" s="48">
        <f>IF(G425&gt;0,VLOOKUP(G425,Apoio!$O$2:$P$24,2,0),"")</f>
        <v>8</v>
      </c>
      <c r="I425" s="44">
        <f t="shared" si="6"/>
        <v>35.820895522388057</v>
      </c>
      <c r="J425" s="18"/>
    </row>
    <row r="426" spans="1:10" hidden="1" x14ac:dyDescent="0.3">
      <c r="A426" s="4" t="s">
        <v>14</v>
      </c>
      <c r="B426" s="4" t="s">
        <v>16</v>
      </c>
      <c r="C426" s="58">
        <v>3.7</v>
      </c>
      <c r="D426" s="51">
        <v>6.7</v>
      </c>
      <c r="E426" s="51">
        <v>7.5</v>
      </c>
      <c r="F426" s="4" t="s">
        <v>80</v>
      </c>
      <c r="G426" s="4" t="s">
        <v>107</v>
      </c>
      <c r="H426" s="48">
        <f>IF(G426&gt;0,VLOOKUP(G426,Apoio!$O$2:$P$24,2,0),"")</f>
        <v>7</v>
      </c>
      <c r="I426" s="44">
        <f t="shared" si="6"/>
        <v>28.992537313432834</v>
      </c>
      <c r="J426" s="18"/>
    </row>
    <row r="427" spans="1:10" hidden="1" x14ac:dyDescent="0.3">
      <c r="A427" s="4" t="s">
        <v>14</v>
      </c>
      <c r="B427" s="4" t="s">
        <v>16</v>
      </c>
      <c r="C427" s="58">
        <v>4</v>
      </c>
      <c r="D427" s="51">
        <v>6.7</v>
      </c>
      <c r="E427" s="51">
        <v>7.5</v>
      </c>
      <c r="F427" s="4" t="s">
        <v>80</v>
      </c>
      <c r="G427" s="4" t="s">
        <v>110</v>
      </c>
      <c r="H427" s="48">
        <f>IF(G427&gt;0,VLOOKUP(G427,Apoio!$O$2:$P$24,2,0),"")</f>
        <v>8</v>
      </c>
      <c r="I427" s="44">
        <f t="shared" si="6"/>
        <v>35.820895522388057</v>
      </c>
      <c r="J427" s="18"/>
    </row>
    <row r="428" spans="1:10" hidden="1" x14ac:dyDescent="0.3">
      <c r="A428" s="4" t="s">
        <v>14</v>
      </c>
      <c r="B428" s="4" t="s">
        <v>16</v>
      </c>
      <c r="C428" s="58">
        <v>3.8</v>
      </c>
      <c r="D428" s="51">
        <v>6.7</v>
      </c>
      <c r="E428" s="51">
        <v>7.5</v>
      </c>
      <c r="F428" s="4" t="s">
        <v>80</v>
      </c>
      <c r="G428" s="4" t="s">
        <v>113</v>
      </c>
      <c r="H428" s="48">
        <f>IF(G428&gt;0,VLOOKUP(G428,Apoio!$O$2:$P$24,2,0),"")</f>
        <v>7</v>
      </c>
      <c r="I428" s="44">
        <f t="shared" si="6"/>
        <v>29.776119402985074</v>
      </c>
      <c r="J428" s="18"/>
    </row>
    <row r="429" spans="1:10" hidden="1" x14ac:dyDescent="0.3">
      <c r="A429" s="4" t="s">
        <v>14</v>
      </c>
      <c r="B429" s="4" t="s">
        <v>16</v>
      </c>
      <c r="C429" s="58">
        <v>3.5</v>
      </c>
      <c r="D429" s="51">
        <v>6.7</v>
      </c>
      <c r="E429" s="51">
        <v>7.5</v>
      </c>
      <c r="F429" s="4" t="s">
        <v>80</v>
      </c>
      <c r="G429" s="4" t="s">
        <v>116</v>
      </c>
      <c r="H429" s="48">
        <f>IF(G429&gt;0,VLOOKUP(G429,Apoio!$O$2:$P$24,2,0),"")</f>
        <v>4</v>
      </c>
      <c r="I429" s="44">
        <f t="shared" si="6"/>
        <v>15.671641791044776</v>
      </c>
      <c r="J429" s="18"/>
    </row>
    <row r="430" spans="1:10" hidden="1" x14ac:dyDescent="0.3">
      <c r="A430" s="4" t="s">
        <v>14</v>
      </c>
      <c r="B430" s="4" t="s">
        <v>16</v>
      </c>
      <c r="C430" s="58">
        <v>2.5</v>
      </c>
      <c r="D430" s="51">
        <v>6.2</v>
      </c>
      <c r="E430" s="51">
        <v>7.5</v>
      </c>
      <c r="F430" s="4" t="s">
        <v>87</v>
      </c>
      <c r="G430" s="4" t="s">
        <v>119</v>
      </c>
      <c r="H430" s="48">
        <f>IF(G430&gt;0,VLOOKUP(G430,Apoio!$O$2:$P$24,2,0),"")</f>
        <v>12</v>
      </c>
      <c r="I430" s="44">
        <f t="shared" si="6"/>
        <v>36.29032258064516</v>
      </c>
      <c r="J430" s="18"/>
    </row>
    <row r="431" spans="1:10" hidden="1" x14ac:dyDescent="0.3">
      <c r="A431" s="4" t="s">
        <v>14</v>
      </c>
      <c r="B431" s="4" t="s">
        <v>16</v>
      </c>
      <c r="C431" s="58">
        <v>2</v>
      </c>
      <c r="D431" s="51">
        <v>6.2</v>
      </c>
      <c r="E431" s="51">
        <v>7.5</v>
      </c>
      <c r="F431" s="4" t="s">
        <v>87</v>
      </c>
      <c r="G431" s="4" t="s">
        <v>122</v>
      </c>
      <c r="H431" s="48">
        <f>IF(G431&gt;0,VLOOKUP(G431,Apoio!$O$2:$P$24,2,0),"")</f>
        <v>8</v>
      </c>
      <c r="I431" s="44">
        <f t="shared" si="6"/>
        <v>19.35483870967742</v>
      </c>
      <c r="J431" s="18"/>
    </row>
    <row r="432" spans="1:10" hidden="1" x14ac:dyDescent="0.3">
      <c r="A432" s="4" t="s">
        <v>14</v>
      </c>
      <c r="B432" s="4" t="s">
        <v>16</v>
      </c>
      <c r="C432" s="58">
        <v>4</v>
      </c>
      <c r="D432" s="51">
        <v>6.2</v>
      </c>
      <c r="E432" s="51">
        <v>7.5</v>
      </c>
      <c r="F432" s="4" t="s">
        <v>87</v>
      </c>
      <c r="G432" s="4" t="s">
        <v>125</v>
      </c>
      <c r="H432" s="48">
        <f>IF(G432&gt;0,VLOOKUP(G432,Apoio!$O$2:$P$24,2,0),"")</f>
        <v>8</v>
      </c>
      <c r="I432" s="44">
        <f t="shared" si="6"/>
        <v>38.70967741935484</v>
      </c>
      <c r="J432" s="18"/>
    </row>
    <row r="433" spans="1:10" hidden="1" x14ac:dyDescent="0.3">
      <c r="A433" s="4" t="s">
        <v>14</v>
      </c>
      <c r="B433" s="4" t="s">
        <v>16</v>
      </c>
      <c r="C433" s="58">
        <v>4</v>
      </c>
      <c r="D433" s="51">
        <v>6.2</v>
      </c>
      <c r="E433" s="51">
        <v>7.5</v>
      </c>
      <c r="F433" s="4" t="s">
        <v>87</v>
      </c>
      <c r="G433" s="4" t="s">
        <v>128</v>
      </c>
      <c r="H433" s="48">
        <f>IF(G433&gt;0,VLOOKUP(G433,Apoio!$O$2:$P$24,2,0),"")</f>
        <v>8</v>
      </c>
      <c r="I433" s="44">
        <f t="shared" si="6"/>
        <v>38.70967741935484</v>
      </c>
      <c r="J433" s="18"/>
    </row>
    <row r="434" spans="1:10" hidden="1" x14ac:dyDescent="0.3">
      <c r="A434" s="4" t="s">
        <v>14</v>
      </c>
      <c r="B434" s="4" t="s">
        <v>16</v>
      </c>
      <c r="C434" s="58">
        <v>4</v>
      </c>
      <c r="D434" s="51">
        <v>6.2</v>
      </c>
      <c r="E434" s="51">
        <v>7.5</v>
      </c>
      <c r="F434" s="4" t="s">
        <v>87</v>
      </c>
      <c r="G434" s="4" t="s">
        <v>131</v>
      </c>
      <c r="H434" s="48">
        <f>IF(G434&gt;0,VLOOKUP(G434,Apoio!$O$2:$P$24,2,0),"")</f>
        <v>8</v>
      </c>
      <c r="I434" s="44">
        <f t="shared" si="6"/>
        <v>38.70967741935484</v>
      </c>
      <c r="J434" s="18"/>
    </row>
    <row r="435" spans="1:10" hidden="1" x14ac:dyDescent="0.3">
      <c r="A435" s="4" t="s">
        <v>14</v>
      </c>
      <c r="B435" s="4" t="s">
        <v>16</v>
      </c>
      <c r="C435" s="58">
        <v>4</v>
      </c>
      <c r="D435" s="51">
        <v>6.2</v>
      </c>
      <c r="E435" s="51">
        <v>7.5</v>
      </c>
      <c r="F435" s="4" t="s">
        <v>87</v>
      </c>
      <c r="G435" s="4" t="s">
        <v>134</v>
      </c>
      <c r="H435" s="48">
        <f>IF(G435&gt;0,VLOOKUP(G435,Apoio!$O$2:$P$24,2,0),"")</f>
        <v>3</v>
      </c>
      <c r="I435" s="44">
        <f t="shared" si="6"/>
        <v>14.516129032258064</v>
      </c>
      <c r="J435" s="18"/>
    </row>
    <row r="436" spans="1:10" hidden="1" x14ac:dyDescent="0.3">
      <c r="A436" s="4" t="s">
        <v>14</v>
      </c>
      <c r="B436" s="4" t="s">
        <v>16</v>
      </c>
      <c r="C436" s="58">
        <v>4</v>
      </c>
      <c r="D436" s="51">
        <v>6.1</v>
      </c>
      <c r="E436" s="51">
        <v>7.5</v>
      </c>
      <c r="F436" s="4" t="s">
        <v>94</v>
      </c>
      <c r="G436" s="4" t="s">
        <v>137</v>
      </c>
      <c r="H436" s="48">
        <f>IF(G436&gt;0,VLOOKUP(G436,Apoio!$O$2:$P$24,2,0),"")</f>
        <v>13</v>
      </c>
      <c r="I436" s="44">
        <f t="shared" si="6"/>
        <v>63.934426229508198</v>
      </c>
      <c r="J436" s="18"/>
    </row>
    <row r="437" spans="1:10" hidden="1" x14ac:dyDescent="0.3">
      <c r="A437" s="4" t="s">
        <v>14</v>
      </c>
      <c r="B437" s="4" t="s">
        <v>16</v>
      </c>
      <c r="C437" s="58">
        <v>4</v>
      </c>
      <c r="D437" s="51">
        <v>6.1</v>
      </c>
      <c r="E437" s="51">
        <v>7.5</v>
      </c>
      <c r="F437" s="4" t="s">
        <v>94</v>
      </c>
      <c r="G437" s="4" t="s">
        <v>140</v>
      </c>
      <c r="H437" s="48">
        <f>IF(G437&gt;0,VLOOKUP(G437,Apoio!$O$2:$P$24,2,0),"")</f>
        <v>8</v>
      </c>
      <c r="I437" s="44">
        <f t="shared" si="6"/>
        <v>39.344262295081968</v>
      </c>
      <c r="J437" s="18"/>
    </row>
    <row r="438" spans="1:10" hidden="1" x14ac:dyDescent="0.3">
      <c r="A438" s="4" t="s">
        <v>14</v>
      </c>
      <c r="B438" s="4" t="s">
        <v>16</v>
      </c>
      <c r="C438" s="58">
        <v>4</v>
      </c>
      <c r="D438" s="51">
        <v>6.1</v>
      </c>
      <c r="E438" s="51">
        <v>7.5</v>
      </c>
      <c r="F438" s="4" t="s">
        <v>94</v>
      </c>
      <c r="G438" s="4" t="s">
        <v>143</v>
      </c>
      <c r="H438" s="48">
        <f>IF(G438&gt;0,VLOOKUP(G438,Apoio!$O$2:$P$24,2,0),"")</f>
        <v>8</v>
      </c>
      <c r="I438" s="44">
        <f t="shared" si="6"/>
        <v>39.344262295081968</v>
      </c>
      <c r="J438" s="18"/>
    </row>
    <row r="439" spans="1:10" hidden="1" x14ac:dyDescent="0.3">
      <c r="A439" s="4" t="s">
        <v>14</v>
      </c>
      <c r="B439" s="4" t="s">
        <v>16</v>
      </c>
      <c r="C439" s="58">
        <v>4</v>
      </c>
      <c r="D439" s="51">
        <v>6.1</v>
      </c>
      <c r="E439" s="51">
        <v>7.5</v>
      </c>
      <c r="F439" s="4" t="s">
        <v>94</v>
      </c>
      <c r="G439" s="4" t="s">
        <v>146</v>
      </c>
      <c r="H439" s="48">
        <f>IF(G439&gt;0,VLOOKUP(G439,Apoio!$O$2:$P$24,2,0),"")</f>
        <v>6</v>
      </c>
      <c r="I439" s="44">
        <f t="shared" si="6"/>
        <v>29.508196721311478</v>
      </c>
      <c r="J439" s="18"/>
    </row>
    <row r="440" spans="1:10" hidden="1" x14ac:dyDescent="0.3">
      <c r="A440" s="4" t="s">
        <v>14</v>
      </c>
      <c r="B440" s="4" t="s">
        <v>16</v>
      </c>
      <c r="C440" s="58">
        <v>4</v>
      </c>
      <c r="D440" s="51">
        <v>6.1</v>
      </c>
      <c r="E440" s="51">
        <v>7.5</v>
      </c>
      <c r="F440" s="4" t="s">
        <v>94</v>
      </c>
      <c r="G440" s="4" t="s">
        <v>149</v>
      </c>
      <c r="H440" s="48">
        <f>IF(G440&gt;0,VLOOKUP(G440,Apoio!$O$2:$P$24,2,0),"")</f>
        <v>8</v>
      </c>
      <c r="I440" s="44">
        <f t="shared" si="6"/>
        <v>39.344262295081968</v>
      </c>
      <c r="J440" s="18"/>
    </row>
    <row r="441" spans="1:10" hidden="1" x14ac:dyDescent="0.3">
      <c r="A441" s="4" t="s">
        <v>14</v>
      </c>
      <c r="B441" s="4" t="s">
        <v>16</v>
      </c>
      <c r="C441" s="58">
        <v>4</v>
      </c>
      <c r="D441" s="51">
        <v>6.1</v>
      </c>
      <c r="E441" s="51">
        <v>7.5</v>
      </c>
      <c r="F441" s="4" t="s">
        <v>94</v>
      </c>
      <c r="G441" s="4" t="s">
        <v>152</v>
      </c>
      <c r="H441" s="48">
        <f>IF(G441&gt;0,VLOOKUP(G441,Apoio!$O$2:$P$24,2,0),"")</f>
        <v>8</v>
      </c>
      <c r="I441" s="44">
        <f t="shared" si="6"/>
        <v>39.344262295081968</v>
      </c>
      <c r="J441" s="18"/>
    </row>
    <row r="442" spans="1:10" hidden="1" x14ac:dyDescent="0.3">
      <c r="A442" s="4" t="s">
        <v>14</v>
      </c>
      <c r="B442" s="4" t="s">
        <v>17</v>
      </c>
      <c r="C442" s="58">
        <v>2.5</v>
      </c>
      <c r="D442" s="51">
        <v>6.1</v>
      </c>
      <c r="E442" s="51">
        <v>7.5</v>
      </c>
      <c r="F442" s="4" t="s">
        <v>73</v>
      </c>
      <c r="G442" s="4" t="s">
        <v>72</v>
      </c>
      <c r="H442" s="48">
        <f>IF(G442&gt;0,VLOOKUP(G442,Apoio!$O$2:$P$24,2,0),"")</f>
        <v>8</v>
      </c>
      <c r="I442" s="44">
        <f t="shared" si="6"/>
        <v>24.590163934426229</v>
      </c>
      <c r="J442" s="18"/>
    </row>
    <row r="443" spans="1:10" hidden="1" x14ac:dyDescent="0.3">
      <c r="A443" s="4" t="s">
        <v>14</v>
      </c>
      <c r="B443" s="4" t="s">
        <v>17</v>
      </c>
      <c r="C443" s="58">
        <v>3</v>
      </c>
      <c r="D443" s="51">
        <v>6.1</v>
      </c>
      <c r="E443" s="51">
        <v>7.5</v>
      </c>
      <c r="F443" s="4" t="s">
        <v>73</v>
      </c>
      <c r="G443" s="4" t="s">
        <v>79</v>
      </c>
      <c r="H443" s="48">
        <f>IF(G443&gt;0,VLOOKUP(G443,Apoio!$O$2:$P$24,2,0),"")</f>
        <v>6</v>
      </c>
      <c r="I443" s="44">
        <f t="shared" si="6"/>
        <v>22.131147540983608</v>
      </c>
      <c r="J443" s="18"/>
    </row>
    <row r="444" spans="1:10" hidden="1" x14ac:dyDescent="0.3">
      <c r="A444" s="4" t="s">
        <v>14</v>
      </c>
      <c r="B444" s="4" t="s">
        <v>17</v>
      </c>
      <c r="C444" s="58">
        <v>3</v>
      </c>
      <c r="D444" s="51">
        <v>6.1</v>
      </c>
      <c r="E444" s="51">
        <v>7.5</v>
      </c>
      <c r="F444" s="4" t="s">
        <v>73</v>
      </c>
      <c r="G444" s="4" t="s">
        <v>86</v>
      </c>
      <c r="H444" s="48">
        <f>IF(G444&gt;0,VLOOKUP(G444,Apoio!$O$2:$P$24,2,0),"")</f>
        <v>8</v>
      </c>
      <c r="I444" s="44">
        <f t="shared" si="6"/>
        <v>29.508196721311478</v>
      </c>
      <c r="J444" s="18"/>
    </row>
    <row r="445" spans="1:10" hidden="1" x14ac:dyDescent="0.3">
      <c r="A445" s="4" t="s">
        <v>14</v>
      </c>
      <c r="B445" s="4" t="s">
        <v>17</v>
      </c>
      <c r="C445" s="58">
        <v>4</v>
      </c>
      <c r="D445" s="51">
        <v>6.1</v>
      </c>
      <c r="E445" s="51">
        <v>7.5</v>
      </c>
      <c r="F445" s="4" t="s">
        <v>73</v>
      </c>
      <c r="G445" s="4" t="s">
        <v>93</v>
      </c>
      <c r="H445" s="48">
        <f>IF(G445&gt;0,VLOOKUP(G445,Apoio!$O$2:$P$24,2,0),"")</f>
        <v>8</v>
      </c>
      <c r="I445" s="44">
        <f t="shared" si="6"/>
        <v>39.344262295081968</v>
      </c>
      <c r="J445" s="18"/>
    </row>
    <row r="446" spans="1:10" hidden="1" x14ac:dyDescent="0.3">
      <c r="A446" s="4" t="s">
        <v>14</v>
      </c>
      <c r="B446" s="4" t="s">
        <v>17</v>
      </c>
      <c r="C446" s="58">
        <v>4</v>
      </c>
      <c r="D446" s="51">
        <v>6.1</v>
      </c>
      <c r="E446" s="51">
        <v>7.5</v>
      </c>
      <c r="F446" s="4" t="s">
        <v>73</v>
      </c>
      <c r="G446" s="4" t="s">
        <v>98</v>
      </c>
      <c r="H446" s="48">
        <f>IF(G446&gt;0,VLOOKUP(G446,Apoio!$O$2:$P$24,2,0),"")</f>
        <v>7</v>
      </c>
      <c r="I446" s="44">
        <f t="shared" si="6"/>
        <v>34.426229508196727</v>
      </c>
      <c r="J446" s="18"/>
    </row>
    <row r="447" spans="1:10" hidden="1" x14ac:dyDescent="0.3">
      <c r="A447" s="4" t="s">
        <v>14</v>
      </c>
      <c r="B447" s="4" t="s">
        <v>17</v>
      </c>
      <c r="C447" s="58">
        <v>4</v>
      </c>
      <c r="D447" s="51">
        <v>6.1</v>
      </c>
      <c r="E447" s="51">
        <v>7.5</v>
      </c>
      <c r="F447" s="4" t="s">
        <v>73</v>
      </c>
      <c r="G447" s="4" t="s">
        <v>101</v>
      </c>
      <c r="H447" s="48">
        <f>IF(G447&gt;0,VLOOKUP(G447,Apoio!$O$2:$P$24,2,0),"")</f>
        <v>3</v>
      </c>
      <c r="I447" s="44">
        <f t="shared" si="6"/>
        <v>14.754098360655739</v>
      </c>
      <c r="J447" s="18"/>
    </row>
    <row r="448" spans="1:10" hidden="1" x14ac:dyDescent="0.3">
      <c r="A448" s="4" t="s">
        <v>14</v>
      </c>
      <c r="B448" s="4" t="s">
        <v>17</v>
      </c>
      <c r="C448" s="58">
        <v>4.5</v>
      </c>
      <c r="D448" s="51">
        <v>7.4</v>
      </c>
      <c r="E448" s="51">
        <v>7.5</v>
      </c>
      <c r="F448" s="4" t="s">
        <v>80</v>
      </c>
      <c r="G448" s="4" t="s">
        <v>104</v>
      </c>
      <c r="H448" s="48">
        <f>IF(G448&gt;0,VLOOKUP(G448,Apoio!$O$2:$P$24,2,0),"")</f>
        <v>8</v>
      </c>
      <c r="I448" s="44">
        <f t="shared" si="6"/>
        <v>36.486486486486484</v>
      </c>
      <c r="J448" s="18"/>
    </row>
    <row r="449" spans="1:10" hidden="1" x14ac:dyDescent="0.3">
      <c r="A449" s="4" t="s">
        <v>14</v>
      </c>
      <c r="B449" s="4" t="s">
        <v>17</v>
      </c>
      <c r="C449" s="58">
        <v>4.5</v>
      </c>
      <c r="D449" s="51">
        <v>7.4</v>
      </c>
      <c r="E449" s="51">
        <v>7.5</v>
      </c>
      <c r="F449" s="4" t="s">
        <v>80</v>
      </c>
      <c r="G449" s="4" t="s">
        <v>107</v>
      </c>
      <c r="H449" s="48">
        <f>IF(G449&gt;0,VLOOKUP(G449,Apoio!$O$2:$P$24,2,0),"")</f>
        <v>7</v>
      </c>
      <c r="I449" s="44">
        <f t="shared" si="6"/>
        <v>31.925675675675674</v>
      </c>
      <c r="J449" s="18"/>
    </row>
    <row r="450" spans="1:10" hidden="1" x14ac:dyDescent="0.3">
      <c r="A450" s="9" t="s">
        <v>14</v>
      </c>
      <c r="B450" s="9" t="s">
        <v>17</v>
      </c>
      <c r="C450" s="58">
        <v>4.5</v>
      </c>
      <c r="D450" s="51">
        <v>7.4</v>
      </c>
      <c r="E450" s="51">
        <v>7.5</v>
      </c>
      <c r="F450" s="9" t="s">
        <v>80</v>
      </c>
      <c r="G450" s="9" t="s">
        <v>110</v>
      </c>
      <c r="H450" s="48">
        <f>IF(G450&gt;0,VLOOKUP(G450,Apoio!$O$2:$P$24,2,0),"")</f>
        <v>8</v>
      </c>
      <c r="I450" s="44">
        <f t="shared" ref="I450:I513" si="7">IF(D450&gt;0,(((H450*E450)*C450)/D450),"")</f>
        <v>36.486486486486484</v>
      </c>
      <c r="J450" s="18"/>
    </row>
    <row r="451" spans="1:10" hidden="1" x14ac:dyDescent="0.3">
      <c r="A451" s="67" t="s">
        <v>14</v>
      </c>
      <c r="B451" s="4" t="s">
        <v>17</v>
      </c>
      <c r="C451" s="58">
        <v>4.5</v>
      </c>
      <c r="D451" s="51">
        <v>7.4</v>
      </c>
      <c r="E451" s="51">
        <v>7.5</v>
      </c>
      <c r="F451" s="4" t="s">
        <v>80</v>
      </c>
      <c r="G451" s="4" t="s">
        <v>113</v>
      </c>
      <c r="H451" s="48">
        <f>IF(G451&gt;0,VLOOKUP(G451,Apoio!$O$2:$P$24,2,0),"")</f>
        <v>7</v>
      </c>
      <c r="I451" s="44">
        <f t="shared" si="7"/>
        <v>31.925675675675674</v>
      </c>
      <c r="J451" s="18"/>
    </row>
    <row r="452" spans="1:10" hidden="1" x14ac:dyDescent="0.3">
      <c r="A452" s="67" t="s">
        <v>14</v>
      </c>
      <c r="B452" s="4" t="s">
        <v>17</v>
      </c>
      <c r="C452" s="58">
        <v>4.5</v>
      </c>
      <c r="D452" s="51">
        <v>7.4</v>
      </c>
      <c r="E452" s="51">
        <v>7.5</v>
      </c>
      <c r="F452" s="4" t="s">
        <v>80</v>
      </c>
      <c r="G452" s="4" t="s">
        <v>116</v>
      </c>
      <c r="H452" s="48">
        <f>IF(G452&gt;0,VLOOKUP(G452,Apoio!$O$2:$P$24,2,0),"")</f>
        <v>4</v>
      </c>
      <c r="I452" s="44">
        <f t="shared" si="7"/>
        <v>18.243243243243242</v>
      </c>
      <c r="J452" s="18"/>
    </row>
    <row r="453" spans="1:10" hidden="1" x14ac:dyDescent="0.3">
      <c r="A453" s="67" t="s">
        <v>14</v>
      </c>
      <c r="B453" s="4" t="s">
        <v>17</v>
      </c>
      <c r="C453" s="58">
        <v>3.3</v>
      </c>
      <c r="D453" s="51">
        <v>7.4</v>
      </c>
      <c r="E453" s="51">
        <v>7.5</v>
      </c>
      <c r="F453" s="4" t="s">
        <v>87</v>
      </c>
      <c r="G453" s="4" t="s">
        <v>119</v>
      </c>
      <c r="H453" s="48">
        <f>IF(G453&gt;0,VLOOKUP(G453,Apoio!$O$2:$P$24,2,0),"")</f>
        <v>12</v>
      </c>
      <c r="I453" s="44">
        <f t="shared" si="7"/>
        <v>40.13513513513513</v>
      </c>
      <c r="J453" s="18"/>
    </row>
    <row r="454" spans="1:10" hidden="1" x14ac:dyDescent="0.3">
      <c r="A454" s="67" t="s">
        <v>14</v>
      </c>
      <c r="B454" s="4" t="s">
        <v>17</v>
      </c>
      <c r="C454" s="58">
        <v>2.5</v>
      </c>
      <c r="D454" s="51">
        <v>7.4</v>
      </c>
      <c r="E454" s="51">
        <v>7.5</v>
      </c>
      <c r="F454" s="4" t="s">
        <v>87</v>
      </c>
      <c r="G454" s="4" t="s">
        <v>122</v>
      </c>
      <c r="H454" s="48">
        <f>IF(G454&gt;0,VLOOKUP(G454,Apoio!$O$2:$P$24,2,0),"")</f>
        <v>8</v>
      </c>
      <c r="I454" s="44">
        <f t="shared" si="7"/>
        <v>20.27027027027027</v>
      </c>
      <c r="J454" s="18"/>
    </row>
    <row r="455" spans="1:10" hidden="1" x14ac:dyDescent="0.3">
      <c r="A455" s="67" t="s">
        <v>14</v>
      </c>
      <c r="B455" s="4" t="s">
        <v>17</v>
      </c>
      <c r="C455" s="58">
        <v>4.5</v>
      </c>
      <c r="D455" s="51">
        <v>7.4</v>
      </c>
      <c r="E455" s="51">
        <v>7.5</v>
      </c>
      <c r="F455" s="4" t="s">
        <v>87</v>
      </c>
      <c r="G455" s="4" t="s">
        <v>125</v>
      </c>
      <c r="H455" s="48">
        <f>IF(G455&gt;0,VLOOKUP(G455,Apoio!$O$2:$P$24,2,0),"")</f>
        <v>8</v>
      </c>
      <c r="I455" s="44">
        <f t="shared" si="7"/>
        <v>36.486486486486484</v>
      </c>
      <c r="J455" s="18"/>
    </row>
    <row r="456" spans="1:10" hidden="1" x14ac:dyDescent="0.3">
      <c r="A456" s="67" t="s">
        <v>14</v>
      </c>
      <c r="B456" s="4" t="s">
        <v>17</v>
      </c>
      <c r="C456" s="58">
        <v>5</v>
      </c>
      <c r="D456" s="51">
        <v>7.4</v>
      </c>
      <c r="E456" s="51">
        <v>7.5</v>
      </c>
      <c r="F456" s="4" t="s">
        <v>87</v>
      </c>
      <c r="G456" s="4" t="s">
        <v>128</v>
      </c>
      <c r="H456" s="48">
        <f>IF(G456&gt;0,VLOOKUP(G456,Apoio!$O$2:$P$24,2,0),"")</f>
        <v>8</v>
      </c>
      <c r="I456" s="44">
        <f t="shared" si="7"/>
        <v>40.54054054054054</v>
      </c>
      <c r="J456" s="18"/>
    </row>
    <row r="457" spans="1:10" hidden="1" x14ac:dyDescent="0.3">
      <c r="A457" s="67" t="s">
        <v>14</v>
      </c>
      <c r="B457" s="4" t="s">
        <v>17</v>
      </c>
      <c r="C457" s="58">
        <v>5</v>
      </c>
      <c r="D457" s="51">
        <v>7.4</v>
      </c>
      <c r="E457" s="51">
        <v>7.5</v>
      </c>
      <c r="F457" s="4" t="s">
        <v>87</v>
      </c>
      <c r="G457" s="4" t="s">
        <v>131</v>
      </c>
      <c r="H457" s="48">
        <f>IF(G457&gt;0,VLOOKUP(G457,Apoio!$O$2:$P$24,2,0),"")</f>
        <v>8</v>
      </c>
      <c r="I457" s="44">
        <f t="shared" si="7"/>
        <v>40.54054054054054</v>
      </c>
      <c r="J457" s="18"/>
    </row>
    <row r="458" spans="1:10" hidden="1" x14ac:dyDescent="0.3">
      <c r="A458" s="67" t="s">
        <v>14</v>
      </c>
      <c r="B458" s="4" t="s">
        <v>17</v>
      </c>
      <c r="C458" s="58">
        <v>5</v>
      </c>
      <c r="D458" s="51">
        <v>7.4</v>
      </c>
      <c r="E458" s="51">
        <v>7.5</v>
      </c>
      <c r="F458" s="4" t="s">
        <v>87</v>
      </c>
      <c r="G458" s="4" t="s">
        <v>134</v>
      </c>
      <c r="H458" s="48">
        <f>IF(G458&gt;0,VLOOKUP(G458,Apoio!$O$2:$P$24,2,0),"")</f>
        <v>3</v>
      </c>
      <c r="I458" s="44">
        <f t="shared" si="7"/>
        <v>15.202702702702702</v>
      </c>
      <c r="J458" s="18"/>
    </row>
    <row r="459" spans="1:10" hidden="1" x14ac:dyDescent="0.3">
      <c r="A459" s="67" t="s">
        <v>14</v>
      </c>
      <c r="B459" s="4" t="s">
        <v>17</v>
      </c>
      <c r="C459" s="58">
        <v>4</v>
      </c>
      <c r="D459" s="51">
        <v>9</v>
      </c>
      <c r="E459" s="51">
        <v>7.5</v>
      </c>
      <c r="F459" s="4" t="s">
        <v>94</v>
      </c>
      <c r="G459" s="4" t="s">
        <v>137</v>
      </c>
      <c r="H459" s="48">
        <f>IF(G459&gt;0,VLOOKUP(G459,Apoio!$O$2:$P$24,2,0),"")</f>
        <v>13</v>
      </c>
      <c r="I459" s="44">
        <f t="shared" si="7"/>
        <v>43.333333333333336</v>
      </c>
      <c r="J459" s="18"/>
    </row>
    <row r="460" spans="1:10" hidden="1" x14ac:dyDescent="0.3">
      <c r="A460" s="67" t="s">
        <v>14</v>
      </c>
      <c r="B460" s="4" t="s">
        <v>17</v>
      </c>
      <c r="C460" s="58">
        <v>4</v>
      </c>
      <c r="D460" s="51">
        <v>9</v>
      </c>
      <c r="E460" s="51">
        <v>7.5</v>
      </c>
      <c r="F460" s="4" t="s">
        <v>94</v>
      </c>
      <c r="G460" s="4" t="s">
        <v>140</v>
      </c>
      <c r="H460" s="48">
        <f>IF(G460&gt;0,VLOOKUP(G460,Apoio!$O$2:$P$24,2,0),"")</f>
        <v>8</v>
      </c>
      <c r="I460" s="44">
        <f t="shared" si="7"/>
        <v>26.666666666666668</v>
      </c>
      <c r="J460" s="18"/>
    </row>
    <row r="461" spans="1:10" hidden="1" x14ac:dyDescent="0.3">
      <c r="A461" s="67" t="s">
        <v>14</v>
      </c>
      <c r="B461" s="4" t="s">
        <v>17</v>
      </c>
      <c r="C461" s="58">
        <v>4</v>
      </c>
      <c r="D461" s="51">
        <v>9</v>
      </c>
      <c r="E461" s="51">
        <v>7.5</v>
      </c>
      <c r="F461" s="4" t="s">
        <v>94</v>
      </c>
      <c r="G461" s="4" t="s">
        <v>143</v>
      </c>
      <c r="H461" s="48">
        <f>IF(G461&gt;0,VLOOKUP(G461,Apoio!$O$2:$P$24,2,0),"")</f>
        <v>8</v>
      </c>
      <c r="I461" s="44">
        <f t="shared" si="7"/>
        <v>26.666666666666668</v>
      </c>
      <c r="J461" s="18"/>
    </row>
    <row r="462" spans="1:10" hidden="1" x14ac:dyDescent="0.3">
      <c r="A462" s="67" t="s">
        <v>14</v>
      </c>
      <c r="B462" s="4" t="s">
        <v>17</v>
      </c>
      <c r="C462" s="58">
        <v>4</v>
      </c>
      <c r="D462" s="51">
        <v>9</v>
      </c>
      <c r="E462" s="51">
        <v>7.5</v>
      </c>
      <c r="F462" s="4" t="s">
        <v>94</v>
      </c>
      <c r="G462" s="4" t="s">
        <v>146</v>
      </c>
      <c r="H462" s="48">
        <f>IF(G462&gt;0,VLOOKUP(G462,Apoio!$O$2:$P$24,2,0),"")</f>
        <v>6</v>
      </c>
      <c r="I462" s="44">
        <f t="shared" si="7"/>
        <v>20</v>
      </c>
      <c r="J462" s="18"/>
    </row>
    <row r="463" spans="1:10" hidden="1" x14ac:dyDescent="0.3">
      <c r="A463" s="67" t="s">
        <v>14</v>
      </c>
      <c r="B463" s="4" t="s">
        <v>17</v>
      </c>
      <c r="C463" s="58">
        <v>4</v>
      </c>
      <c r="D463" s="51">
        <v>9</v>
      </c>
      <c r="E463" s="51">
        <v>7.5</v>
      </c>
      <c r="F463" s="4" t="s">
        <v>94</v>
      </c>
      <c r="G463" s="4" t="s">
        <v>149</v>
      </c>
      <c r="H463" s="48">
        <f>IF(G463&gt;0,VLOOKUP(G463,Apoio!$O$2:$P$24,2,0),"")</f>
        <v>8</v>
      </c>
      <c r="I463" s="44">
        <f t="shared" si="7"/>
        <v>26.666666666666668</v>
      </c>
      <c r="J463" s="18"/>
    </row>
    <row r="464" spans="1:10" hidden="1" x14ac:dyDescent="0.3">
      <c r="A464" s="67" t="s">
        <v>14</v>
      </c>
      <c r="B464" s="4" t="s">
        <v>17</v>
      </c>
      <c r="C464" s="58">
        <v>4</v>
      </c>
      <c r="D464" s="51">
        <v>9</v>
      </c>
      <c r="E464" s="51">
        <v>7.5</v>
      </c>
      <c r="F464" s="4" t="s">
        <v>94</v>
      </c>
      <c r="G464" s="4" t="s">
        <v>152</v>
      </c>
      <c r="H464" s="48">
        <f>IF(G464&gt;0,VLOOKUP(G464,Apoio!$O$2:$P$24,2,0),"")</f>
        <v>8</v>
      </c>
      <c r="I464" s="44">
        <f t="shared" si="7"/>
        <v>26.666666666666668</v>
      </c>
      <c r="J464" s="18"/>
    </row>
    <row r="465" spans="1:10" hidden="1" x14ac:dyDescent="0.3">
      <c r="A465" s="67" t="s">
        <v>14</v>
      </c>
      <c r="B465" s="4" t="s">
        <v>18</v>
      </c>
      <c r="C465" s="58">
        <v>3.9</v>
      </c>
      <c r="D465" s="51">
        <v>6.6</v>
      </c>
      <c r="E465" s="51">
        <v>7.5</v>
      </c>
      <c r="F465" s="4" t="s">
        <v>73</v>
      </c>
      <c r="G465" s="4" t="s">
        <v>72</v>
      </c>
      <c r="H465" s="48">
        <f>IF(G465&gt;0,VLOOKUP(G465,Apoio!$O$2:$P$24,2,0),"")</f>
        <v>8</v>
      </c>
      <c r="I465" s="44">
        <f t="shared" si="7"/>
        <v>35.454545454545453</v>
      </c>
      <c r="J465" s="18"/>
    </row>
    <row r="466" spans="1:10" hidden="1" x14ac:dyDescent="0.3">
      <c r="A466" s="67" t="s">
        <v>14</v>
      </c>
      <c r="B466" s="4" t="s">
        <v>18</v>
      </c>
      <c r="C466" s="58">
        <v>4</v>
      </c>
      <c r="D466" s="51">
        <v>6.6</v>
      </c>
      <c r="E466" s="51">
        <v>7.5</v>
      </c>
      <c r="F466" s="4" t="s">
        <v>73</v>
      </c>
      <c r="G466" s="4" t="s">
        <v>79</v>
      </c>
      <c r="H466" s="48">
        <f>IF(G466&gt;0,VLOOKUP(G466,Apoio!$O$2:$P$24,2,0),"")</f>
        <v>6</v>
      </c>
      <c r="I466" s="44">
        <f t="shared" si="7"/>
        <v>27.272727272727273</v>
      </c>
      <c r="J466" s="18"/>
    </row>
    <row r="467" spans="1:10" hidden="1" x14ac:dyDescent="0.3">
      <c r="A467" s="67" t="s">
        <v>14</v>
      </c>
      <c r="B467" s="4" t="s">
        <v>18</v>
      </c>
      <c r="C467" s="58">
        <v>3.5</v>
      </c>
      <c r="D467" s="51">
        <v>6.6</v>
      </c>
      <c r="E467" s="51">
        <v>7.5</v>
      </c>
      <c r="F467" s="4" t="s">
        <v>73</v>
      </c>
      <c r="G467" s="4" t="s">
        <v>86</v>
      </c>
      <c r="H467" s="48">
        <f>IF(G467&gt;0,VLOOKUP(G467,Apoio!$O$2:$P$24,2,0),"")</f>
        <v>8</v>
      </c>
      <c r="I467" s="44">
        <f t="shared" si="7"/>
        <v>31.81818181818182</v>
      </c>
      <c r="J467" s="18"/>
    </row>
    <row r="468" spans="1:10" hidden="1" x14ac:dyDescent="0.3">
      <c r="A468" s="67" t="s">
        <v>14</v>
      </c>
      <c r="B468" s="4" t="s">
        <v>18</v>
      </c>
      <c r="C468" s="58">
        <v>4</v>
      </c>
      <c r="D468" s="51">
        <v>6.6</v>
      </c>
      <c r="E468" s="51">
        <v>7.5</v>
      </c>
      <c r="F468" s="4" t="s">
        <v>73</v>
      </c>
      <c r="G468" s="4" t="s">
        <v>93</v>
      </c>
      <c r="H468" s="48">
        <f>IF(G468&gt;0,VLOOKUP(G468,Apoio!$O$2:$P$24,2,0),"")</f>
        <v>8</v>
      </c>
      <c r="I468" s="44">
        <f t="shared" si="7"/>
        <v>36.363636363636367</v>
      </c>
      <c r="J468" s="18"/>
    </row>
    <row r="469" spans="1:10" hidden="1" x14ac:dyDescent="0.3">
      <c r="A469" s="67" t="s">
        <v>14</v>
      </c>
      <c r="B469" s="4" t="s">
        <v>18</v>
      </c>
      <c r="C469" s="58">
        <v>4.8</v>
      </c>
      <c r="D469" s="51">
        <v>6.6</v>
      </c>
      <c r="E469" s="51">
        <v>7.5</v>
      </c>
      <c r="F469" s="4" t="s">
        <v>73</v>
      </c>
      <c r="G469" s="4" t="s">
        <v>98</v>
      </c>
      <c r="H469" s="48">
        <f>IF(G469&gt;0,VLOOKUP(G469,Apoio!$O$2:$P$24,2,0),"")</f>
        <v>7</v>
      </c>
      <c r="I469" s="44">
        <f t="shared" si="7"/>
        <v>38.181818181818187</v>
      </c>
      <c r="J469" s="18"/>
    </row>
    <row r="470" spans="1:10" hidden="1" x14ac:dyDescent="0.3">
      <c r="A470" s="67" t="s">
        <v>14</v>
      </c>
      <c r="B470" s="4" t="s">
        <v>18</v>
      </c>
      <c r="C470" s="58">
        <v>5</v>
      </c>
      <c r="D470" s="51">
        <v>6.6</v>
      </c>
      <c r="E470" s="51">
        <v>7.5</v>
      </c>
      <c r="F470" s="4" t="s">
        <v>73</v>
      </c>
      <c r="G470" s="4" t="s">
        <v>101</v>
      </c>
      <c r="H470" s="48">
        <f>IF(G470&gt;0,VLOOKUP(G470,Apoio!$O$2:$P$24,2,0),"")</f>
        <v>3</v>
      </c>
      <c r="I470" s="44">
        <f t="shared" si="7"/>
        <v>17.045454545454547</v>
      </c>
      <c r="J470" s="18"/>
    </row>
    <row r="471" spans="1:10" hidden="1" x14ac:dyDescent="0.3">
      <c r="A471" s="67" t="s">
        <v>14</v>
      </c>
      <c r="B471" s="4" t="s">
        <v>18</v>
      </c>
      <c r="C471" s="58">
        <v>5</v>
      </c>
      <c r="D471" s="51">
        <v>8.1999999999999993</v>
      </c>
      <c r="E471" s="51">
        <v>7.5</v>
      </c>
      <c r="F471" s="4" t="s">
        <v>80</v>
      </c>
      <c r="G471" s="4" t="s">
        <v>104</v>
      </c>
      <c r="H471" s="48">
        <f>IF(G471&gt;0,VLOOKUP(G471,Apoio!$O$2:$P$24,2,0),"")</f>
        <v>8</v>
      </c>
      <c r="I471" s="44">
        <f t="shared" si="7"/>
        <v>36.585365853658537</v>
      </c>
      <c r="J471" s="18"/>
    </row>
    <row r="472" spans="1:10" hidden="1" x14ac:dyDescent="0.3">
      <c r="A472" s="67" t="s">
        <v>14</v>
      </c>
      <c r="B472" s="4" t="s">
        <v>18</v>
      </c>
      <c r="C472" s="58">
        <v>5</v>
      </c>
      <c r="D472" s="51">
        <v>8.1999999999999993</v>
      </c>
      <c r="E472" s="51">
        <v>7.5</v>
      </c>
      <c r="F472" s="4" t="s">
        <v>80</v>
      </c>
      <c r="G472" s="4" t="s">
        <v>107</v>
      </c>
      <c r="H472" s="48">
        <f>IF(G472&gt;0,VLOOKUP(G472,Apoio!$O$2:$P$24,2,0),"")</f>
        <v>7</v>
      </c>
      <c r="I472" s="44">
        <f t="shared" si="7"/>
        <v>32.012195121951223</v>
      </c>
      <c r="J472" s="18"/>
    </row>
    <row r="473" spans="1:10" hidden="1" x14ac:dyDescent="0.3">
      <c r="A473" s="67" t="s">
        <v>14</v>
      </c>
      <c r="B473" s="4" t="s">
        <v>18</v>
      </c>
      <c r="C473" s="58">
        <v>5</v>
      </c>
      <c r="D473" s="51">
        <v>8.1999999999999993</v>
      </c>
      <c r="E473" s="51">
        <v>7.5</v>
      </c>
      <c r="F473" s="4" t="s">
        <v>80</v>
      </c>
      <c r="G473" s="4" t="s">
        <v>110</v>
      </c>
      <c r="H473" s="48">
        <f>IF(G473&gt;0,VLOOKUP(G473,Apoio!$O$2:$P$24,2,0),"")</f>
        <v>8</v>
      </c>
      <c r="I473" s="44">
        <f t="shared" si="7"/>
        <v>36.585365853658537</v>
      </c>
      <c r="J473" s="18"/>
    </row>
    <row r="474" spans="1:10" hidden="1" x14ac:dyDescent="0.3">
      <c r="A474" s="67" t="s">
        <v>14</v>
      </c>
      <c r="B474" s="4" t="s">
        <v>18</v>
      </c>
      <c r="C474" s="58">
        <v>5</v>
      </c>
      <c r="D474" s="51">
        <v>8.1999999999999993</v>
      </c>
      <c r="E474" s="51">
        <v>7.5</v>
      </c>
      <c r="F474" s="4" t="s">
        <v>80</v>
      </c>
      <c r="G474" s="4" t="s">
        <v>113</v>
      </c>
      <c r="H474" s="48">
        <f>IF(G474&gt;0,VLOOKUP(G474,Apoio!$O$2:$P$24,2,0),"")</f>
        <v>7</v>
      </c>
      <c r="I474" s="44">
        <f t="shared" si="7"/>
        <v>32.012195121951223</v>
      </c>
      <c r="J474" s="18"/>
    </row>
    <row r="475" spans="1:10" hidden="1" x14ac:dyDescent="0.3">
      <c r="A475" s="67" t="s">
        <v>14</v>
      </c>
      <c r="B475" s="4" t="s">
        <v>18</v>
      </c>
      <c r="C475" s="58">
        <v>5</v>
      </c>
      <c r="D475" s="51">
        <v>8.1999999999999993</v>
      </c>
      <c r="E475" s="51">
        <v>7.5</v>
      </c>
      <c r="F475" s="4" t="s">
        <v>80</v>
      </c>
      <c r="G475" s="4" t="s">
        <v>116</v>
      </c>
      <c r="H475" s="48">
        <f>IF(G475&gt;0,VLOOKUP(G475,Apoio!$O$2:$P$24,2,0),"")</f>
        <v>4</v>
      </c>
      <c r="I475" s="44">
        <f t="shared" si="7"/>
        <v>18.292682926829269</v>
      </c>
      <c r="J475" s="18"/>
    </row>
    <row r="476" spans="1:10" hidden="1" x14ac:dyDescent="0.3">
      <c r="A476" s="67" t="s">
        <v>14</v>
      </c>
      <c r="B476" s="4" t="s">
        <v>18</v>
      </c>
      <c r="C476" s="58">
        <v>3</v>
      </c>
      <c r="D476" s="51">
        <v>8.6</v>
      </c>
      <c r="E476" s="51">
        <v>7.5</v>
      </c>
      <c r="F476" s="4" t="s">
        <v>87</v>
      </c>
      <c r="G476" s="4" t="s">
        <v>119</v>
      </c>
      <c r="H476" s="48">
        <f>IF(G476&gt;0,VLOOKUP(G476,Apoio!$O$2:$P$24,2,0),"")</f>
        <v>12</v>
      </c>
      <c r="I476" s="44">
        <f t="shared" si="7"/>
        <v>31.395348837209305</v>
      </c>
      <c r="J476" s="18"/>
    </row>
    <row r="477" spans="1:10" hidden="1" x14ac:dyDescent="0.3">
      <c r="A477" s="67" t="s">
        <v>14</v>
      </c>
      <c r="B477" s="4" t="s">
        <v>18</v>
      </c>
      <c r="C477" s="58">
        <v>3</v>
      </c>
      <c r="D477" s="51">
        <v>8.6</v>
      </c>
      <c r="E477" s="51">
        <v>7.5</v>
      </c>
      <c r="F477" s="4" t="s">
        <v>87</v>
      </c>
      <c r="G477" s="4" t="s">
        <v>122</v>
      </c>
      <c r="H477" s="48">
        <f>IF(G477&gt;0,VLOOKUP(G477,Apoio!$O$2:$P$24,2,0),"")</f>
        <v>8</v>
      </c>
      <c r="I477" s="44">
        <f t="shared" si="7"/>
        <v>20.930232558139537</v>
      </c>
      <c r="J477" s="18"/>
    </row>
    <row r="478" spans="1:10" hidden="1" x14ac:dyDescent="0.3">
      <c r="A478" s="67" t="s">
        <v>14</v>
      </c>
      <c r="B478" s="4" t="s">
        <v>18</v>
      </c>
      <c r="C478" s="58">
        <v>3</v>
      </c>
      <c r="D478" s="51">
        <v>8.6</v>
      </c>
      <c r="E478" s="51">
        <v>7.5</v>
      </c>
      <c r="F478" s="4" t="s">
        <v>87</v>
      </c>
      <c r="G478" s="4" t="s">
        <v>125</v>
      </c>
      <c r="H478" s="48">
        <f>IF(G478&gt;0,VLOOKUP(G478,Apoio!$O$2:$P$24,2,0),"")</f>
        <v>8</v>
      </c>
      <c r="I478" s="44">
        <f t="shared" si="7"/>
        <v>20.930232558139537</v>
      </c>
      <c r="J478" s="18"/>
    </row>
    <row r="479" spans="1:10" hidden="1" x14ac:dyDescent="0.3">
      <c r="A479" s="67" t="s">
        <v>14</v>
      </c>
      <c r="B479" s="4" t="s">
        <v>18</v>
      </c>
      <c r="C479" s="58">
        <v>3</v>
      </c>
      <c r="D479" s="51">
        <v>8.6</v>
      </c>
      <c r="E479" s="51">
        <v>7.5</v>
      </c>
      <c r="F479" s="4" t="s">
        <v>87</v>
      </c>
      <c r="G479" s="4" t="s">
        <v>128</v>
      </c>
      <c r="H479" s="48">
        <f>IF(G479&gt;0,VLOOKUP(G479,Apoio!$O$2:$P$24,2,0),"")</f>
        <v>8</v>
      </c>
      <c r="I479" s="44">
        <f t="shared" si="7"/>
        <v>20.930232558139537</v>
      </c>
      <c r="J479" s="18"/>
    </row>
    <row r="480" spans="1:10" hidden="1" x14ac:dyDescent="0.3">
      <c r="A480" s="67" t="s">
        <v>14</v>
      </c>
      <c r="B480" s="4" t="s">
        <v>18</v>
      </c>
      <c r="C480" s="58">
        <v>3</v>
      </c>
      <c r="D480" s="51">
        <v>8.6</v>
      </c>
      <c r="E480" s="51">
        <v>7.5</v>
      </c>
      <c r="F480" s="4" t="s">
        <v>87</v>
      </c>
      <c r="G480" s="4" t="s">
        <v>131</v>
      </c>
      <c r="H480" s="48">
        <f>IF(G480&gt;0,VLOOKUP(G480,Apoio!$O$2:$P$24,2,0),"")</f>
        <v>8</v>
      </c>
      <c r="I480" s="44">
        <f t="shared" si="7"/>
        <v>20.930232558139537</v>
      </c>
      <c r="J480" s="18"/>
    </row>
    <row r="481" spans="1:10" hidden="1" x14ac:dyDescent="0.3">
      <c r="A481" s="67" t="s">
        <v>14</v>
      </c>
      <c r="B481" s="4" t="s">
        <v>18</v>
      </c>
      <c r="C481" s="58">
        <v>3</v>
      </c>
      <c r="D481" s="51">
        <v>8.6</v>
      </c>
      <c r="E481" s="51">
        <v>7.5</v>
      </c>
      <c r="F481" s="4" t="s">
        <v>87</v>
      </c>
      <c r="G481" s="4" t="s">
        <v>134</v>
      </c>
      <c r="H481" s="48">
        <f>IF(G481&gt;0,VLOOKUP(G481,Apoio!$O$2:$P$24,2,0),"")</f>
        <v>3</v>
      </c>
      <c r="I481" s="44">
        <f t="shared" si="7"/>
        <v>7.8488372093023262</v>
      </c>
      <c r="J481" s="18"/>
    </row>
    <row r="482" spans="1:10" hidden="1" x14ac:dyDescent="0.3">
      <c r="A482" s="67" t="s">
        <v>14</v>
      </c>
      <c r="B482" s="4" t="s">
        <v>18</v>
      </c>
      <c r="C482" s="58">
        <v>2</v>
      </c>
      <c r="D482" s="51">
        <v>7</v>
      </c>
      <c r="E482" s="51">
        <v>7.5</v>
      </c>
      <c r="F482" s="4" t="s">
        <v>94</v>
      </c>
      <c r="G482" s="4" t="s">
        <v>137</v>
      </c>
      <c r="H482" s="48">
        <f>IF(G482&gt;0,VLOOKUP(G482,Apoio!$O$2:$P$24,2,0),"")</f>
        <v>13</v>
      </c>
      <c r="I482" s="44">
        <f t="shared" si="7"/>
        <v>27.857142857142858</v>
      </c>
      <c r="J482" s="18"/>
    </row>
    <row r="483" spans="1:10" hidden="1" x14ac:dyDescent="0.3">
      <c r="A483" s="67" t="s">
        <v>14</v>
      </c>
      <c r="B483" s="4" t="s">
        <v>18</v>
      </c>
      <c r="C483" s="58">
        <v>2</v>
      </c>
      <c r="D483" s="51">
        <v>7</v>
      </c>
      <c r="E483" s="51">
        <v>7.5</v>
      </c>
      <c r="F483" s="4" t="s">
        <v>94</v>
      </c>
      <c r="G483" s="4" t="s">
        <v>140</v>
      </c>
      <c r="H483" s="48">
        <f>IF(G483&gt;0,VLOOKUP(G483,Apoio!$O$2:$P$24,2,0),"")</f>
        <v>8</v>
      </c>
      <c r="I483" s="44">
        <f t="shared" si="7"/>
        <v>17.142857142857142</v>
      </c>
      <c r="J483" s="18"/>
    </row>
    <row r="484" spans="1:10" hidden="1" x14ac:dyDescent="0.3">
      <c r="A484" s="67" t="s">
        <v>14</v>
      </c>
      <c r="B484" s="4" t="s">
        <v>18</v>
      </c>
      <c r="C484" s="58">
        <v>2</v>
      </c>
      <c r="D484" s="51">
        <v>7</v>
      </c>
      <c r="E484" s="51">
        <v>7.5</v>
      </c>
      <c r="F484" s="4" t="s">
        <v>94</v>
      </c>
      <c r="G484" s="4" t="s">
        <v>143</v>
      </c>
      <c r="H484" s="48">
        <f>IF(G484&gt;0,VLOOKUP(G484,Apoio!$O$2:$P$24,2,0),"")</f>
        <v>8</v>
      </c>
      <c r="I484" s="44">
        <f t="shared" si="7"/>
        <v>17.142857142857142</v>
      </c>
      <c r="J484" s="18"/>
    </row>
    <row r="485" spans="1:10" hidden="1" x14ac:dyDescent="0.3">
      <c r="A485" s="4" t="s">
        <v>14</v>
      </c>
      <c r="B485" s="4" t="s">
        <v>18</v>
      </c>
      <c r="C485" s="58">
        <v>2.5</v>
      </c>
      <c r="D485" s="51">
        <v>7</v>
      </c>
      <c r="E485" s="51">
        <v>7.5</v>
      </c>
      <c r="F485" s="4" t="s">
        <v>94</v>
      </c>
      <c r="G485" s="4" t="s">
        <v>146</v>
      </c>
      <c r="H485" s="48">
        <f>IF(G485&gt;0,VLOOKUP(G485,Apoio!$O$2:$P$24,2,0),"")</f>
        <v>6</v>
      </c>
      <c r="I485" s="44">
        <f t="shared" si="7"/>
        <v>16.071428571428573</v>
      </c>
      <c r="J485" s="18"/>
    </row>
    <row r="486" spans="1:10" hidden="1" x14ac:dyDescent="0.3">
      <c r="A486" s="4" t="s">
        <v>14</v>
      </c>
      <c r="B486" s="4" t="s">
        <v>18</v>
      </c>
      <c r="C486" s="58">
        <v>3</v>
      </c>
      <c r="D486" s="51">
        <v>7</v>
      </c>
      <c r="E486" s="51">
        <v>7.5</v>
      </c>
      <c r="F486" s="4" t="s">
        <v>94</v>
      </c>
      <c r="G486" s="4" t="s">
        <v>149</v>
      </c>
      <c r="H486" s="48">
        <f>IF(G486&gt;0,VLOOKUP(G486,Apoio!$O$2:$P$24,2,0),"")</f>
        <v>8</v>
      </c>
      <c r="I486" s="44">
        <f t="shared" si="7"/>
        <v>25.714285714285715</v>
      </c>
      <c r="J486" s="18"/>
    </row>
    <row r="487" spans="1:10" hidden="1" x14ac:dyDescent="0.3">
      <c r="A487" s="4" t="s">
        <v>14</v>
      </c>
      <c r="B487" s="4" t="s">
        <v>18</v>
      </c>
      <c r="C487" s="58">
        <v>3</v>
      </c>
      <c r="D487" s="51">
        <v>7</v>
      </c>
      <c r="E487" s="51">
        <v>7.5</v>
      </c>
      <c r="F487" s="4" t="s">
        <v>94</v>
      </c>
      <c r="G487" s="4" t="s">
        <v>152</v>
      </c>
      <c r="H487" s="48">
        <f>IF(G487&gt;0,VLOOKUP(G487,Apoio!$O$2:$P$24,2,0),"")</f>
        <v>8</v>
      </c>
      <c r="I487" s="44">
        <f t="shared" si="7"/>
        <v>25.714285714285715</v>
      </c>
      <c r="J487" s="18"/>
    </row>
    <row r="488" spans="1:10" hidden="1" x14ac:dyDescent="0.3">
      <c r="A488" s="4" t="s">
        <v>19</v>
      </c>
      <c r="B488" s="4" t="s">
        <v>210</v>
      </c>
      <c r="C488" s="58">
        <v>3</v>
      </c>
      <c r="D488" s="51">
        <v>7.5</v>
      </c>
      <c r="E488" s="51">
        <v>7.5</v>
      </c>
      <c r="F488" s="4" t="s">
        <v>94</v>
      </c>
      <c r="G488" s="4" t="s">
        <v>137</v>
      </c>
      <c r="H488" s="48">
        <f>IF(G488&gt;0,VLOOKUP(G488,Apoio!$O$2:$P$24,2,0),"")</f>
        <v>13</v>
      </c>
      <c r="I488" s="44">
        <f t="shared" si="7"/>
        <v>39</v>
      </c>
      <c r="J488" s="18"/>
    </row>
    <row r="489" spans="1:10" hidden="1" x14ac:dyDescent="0.3">
      <c r="A489" s="4" t="s">
        <v>19</v>
      </c>
      <c r="B489" s="4" t="s">
        <v>210</v>
      </c>
      <c r="C489" s="58">
        <v>3</v>
      </c>
      <c r="D489" s="51">
        <v>7.5</v>
      </c>
      <c r="E489" s="51">
        <v>7.5</v>
      </c>
      <c r="F489" s="4" t="s">
        <v>94</v>
      </c>
      <c r="G489" s="4" t="s">
        <v>140</v>
      </c>
      <c r="H489" s="48">
        <f>IF(G489&gt;0,VLOOKUP(G489,Apoio!$O$2:$P$24,2,0),"")</f>
        <v>8</v>
      </c>
      <c r="I489" s="44">
        <f t="shared" si="7"/>
        <v>24</v>
      </c>
      <c r="J489" s="18"/>
    </row>
    <row r="490" spans="1:10" hidden="1" x14ac:dyDescent="0.3">
      <c r="A490" s="4" t="s">
        <v>19</v>
      </c>
      <c r="B490" s="4" t="s">
        <v>210</v>
      </c>
      <c r="C490" s="58">
        <v>3</v>
      </c>
      <c r="D490" s="51">
        <v>7.5</v>
      </c>
      <c r="E490" s="51">
        <v>7.5</v>
      </c>
      <c r="F490" s="4" t="s">
        <v>94</v>
      </c>
      <c r="G490" s="4" t="s">
        <v>143</v>
      </c>
      <c r="H490" s="48">
        <f>IF(G490&gt;0,VLOOKUP(G490,Apoio!$O$2:$P$24,2,0),"")</f>
        <v>8</v>
      </c>
      <c r="I490" s="44">
        <f t="shared" si="7"/>
        <v>24</v>
      </c>
      <c r="J490" s="18"/>
    </row>
    <row r="491" spans="1:10" hidden="1" x14ac:dyDescent="0.3">
      <c r="A491" s="4" t="s">
        <v>19</v>
      </c>
      <c r="B491" s="4" t="s">
        <v>210</v>
      </c>
      <c r="C491" s="58">
        <v>3</v>
      </c>
      <c r="D491" s="51">
        <v>7.5</v>
      </c>
      <c r="E491" s="51">
        <v>7.5</v>
      </c>
      <c r="F491" s="4" t="s">
        <v>94</v>
      </c>
      <c r="G491" s="4" t="s">
        <v>146</v>
      </c>
      <c r="H491" s="48">
        <f>IF(G491&gt;0,VLOOKUP(G491,Apoio!$O$2:$P$24,2,0),"")</f>
        <v>6</v>
      </c>
      <c r="I491" s="44">
        <f t="shared" si="7"/>
        <v>18</v>
      </c>
      <c r="J491" s="18"/>
    </row>
    <row r="492" spans="1:10" hidden="1" x14ac:dyDescent="0.3">
      <c r="A492" s="4" t="s">
        <v>19</v>
      </c>
      <c r="B492" s="4" t="s">
        <v>210</v>
      </c>
      <c r="C492" s="58">
        <v>3</v>
      </c>
      <c r="D492" s="51">
        <v>7.5</v>
      </c>
      <c r="E492" s="51">
        <v>7.5</v>
      </c>
      <c r="F492" s="4" t="s">
        <v>94</v>
      </c>
      <c r="G492" s="4" t="s">
        <v>149</v>
      </c>
      <c r="H492" s="48">
        <f>IF(G492&gt;0,VLOOKUP(G492,Apoio!$O$2:$P$24,2,0),"")</f>
        <v>8</v>
      </c>
      <c r="I492" s="44">
        <f t="shared" si="7"/>
        <v>24</v>
      </c>
      <c r="J492" s="18"/>
    </row>
    <row r="493" spans="1:10" hidden="1" x14ac:dyDescent="0.3">
      <c r="A493" s="4" t="s">
        <v>19</v>
      </c>
      <c r="B493" s="4" t="s">
        <v>210</v>
      </c>
      <c r="C493" s="58">
        <v>3</v>
      </c>
      <c r="D493" s="51">
        <v>7.5</v>
      </c>
      <c r="E493" s="51">
        <v>7.5</v>
      </c>
      <c r="F493" s="4" t="s">
        <v>94</v>
      </c>
      <c r="G493" s="4" t="s">
        <v>152</v>
      </c>
      <c r="H493" s="48">
        <f>IF(G493&gt;0,VLOOKUP(G493,Apoio!$O$2:$P$24,2,0),"")</f>
        <v>8</v>
      </c>
      <c r="I493" s="44">
        <f t="shared" si="7"/>
        <v>24</v>
      </c>
      <c r="J493" s="18"/>
    </row>
    <row r="494" spans="1:10" hidden="1" x14ac:dyDescent="0.3">
      <c r="A494" s="4" t="s">
        <v>19</v>
      </c>
      <c r="B494" s="4" t="s">
        <v>211</v>
      </c>
      <c r="C494" s="58">
        <v>3.2</v>
      </c>
      <c r="D494" s="51">
        <v>7.4</v>
      </c>
      <c r="E494" s="51">
        <v>7.5</v>
      </c>
      <c r="F494" s="4" t="s">
        <v>94</v>
      </c>
      <c r="G494" s="4" t="s">
        <v>137</v>
      </c>
      <c r="H494" s="48">
        <f>IF(G494&gt;0,VLOOKUP(G494,Apoio!$O$2:$P$24,2,0),"")</f>
        <v>13</v>
      </c>
      <c r="I494" s="44">
        <f t="shared" si="7"/>
        <v>42.162162162162161</v>
      </c>
      <c r="J494" s="18"/>
    </row>
    <row r="495" spans="1:10" hidden="1" x14ac:dyDescent="0.3">
      <c r="A495" s="4" t="s">
        <v>19</v>
      </c>
      <c r="B495" s="4" t="s">
        <v>211</v>
      </c>
      <c r="C495" s="58">
        <v>4</v>
      </c>
      <c r="D495" s="51">
        <v>7.4</v>
      </c>
      <c r="E495" s="51">
        <v>7.5</v>
      </c>
      <c r="F495" s="4" t="s">
        <v>94</v>
      </c>
      <c r="G495" s="4" t="s">
        <v>140</v>
      </c>
      <c r="H495" s="48">
        <f>IF(G495&gt;0,VLOOKUP(G495,Apoio!$O$2:$P$24,2,0),"")</f>
        <v>8</v>
      </c>
      <c r="I495" s="44">
        <f t="shared" si="7"/>
        <v>32.432432432432428</v>
      </c>
      <c r="J495" s="18"/>
    </row>
    <row r="496" spans="1:10" hidden="1" x14ac:dyDescent="0.3">
      <c r="A496" s="4" t="s">
        <v>19</v>
      </c>
      <c r="B496" s="4" t="s">
        <v>211</v>
      </c>
      <c r="C496" s="58">
        <v>4</v>
      </c>
      <c r="D496" s="51">
        <v>7.4</v>
      </c>
      <c r="E496" s="51">
        <v>7.5</v>
      </c>
      <c r="F496" s="4" t="s">
        <v>94</v>
      </c>
      <c r="G496" s="4" t="s">
        <v>143</v>
      </c>
      <c r="H496" s="48">
        <f>IF(G496&gt;0,VLOOKUP(G496,Apoio!$O$2:$P$24,2,0),"")</f>
        <v>8</v>
      </c>
      <c r="I496" s="44">
        <f t="shared" si="7"/>
        <v>32.432432432432428</v>
      </c>
      <c r="J496" s="18"/>
    </row>
    <row r="497" spans="1:10" hidden="1" x14ac:dyDescent="0.3">
      <c r="A497" s="4" t="s">
        <v>19</v>
      </c>
      <c r="B497" s="4" t="s">
        <v>211</v>
      </c>
      <c r="C497" s="58">
        <v>4</v>
      </c>
      <c r="D497" s="51">
        <v>7.4</v>
      </c>
      <c r="E497" s="51">
        <v>7.5</v>
      </c>
      <c r="F497" s="4" t="s">
        <v>94</v>
      </c>
      <c r="G497" s="4" t="s">
        <v>146</v>
      </c>
      <c r="H497" s="48">
        <f>IF(G497&gt;0,VLOOKUP(G497,Apoio!$O$2:$P$24,2,0),"")</f>
        <v>6</v>
      </c>
      <c r="I497" s="44">
        <f t="shared" si="7"/>
        <v>24.324324324324323</v>
      </c>
      <c r="J497" s="18"/>
    </row>
    <row r="498" spans="1:10" hidden="1" x14ac:dyDescent="0.3">
      <c r="A498" s="4" t="s">
        <v>19</v>
      </c>
      <c r="B498" s="4" t="s">
        <v>211</v>
      </c>
      <c r="C498" s="58">
        <v>4</v>
      </c>
      <c r="D498" s="51">
        <v>7.4</v>
      </c>
      <c r="E498" s="51">
        <v>7.5</v>
      </c>
      <c r="F498" s="4" t="s">
        <v>94</v>
      </c>
      <c r="G498" s="4" t="s">
        <v>149</v>
      </c>
      <c r="H498" s="48">
        <f>IF(G498&gt;0,VLOOKUP(G498,Apoio!$O$2:$P$24,2,0),"")</f>
        <v>8</v>
      </c>
      <c r="I498" s="44">
        <f t="shared" si="7"/>
        <v>32.432432432432428</v>
      </c>
      <c r="J498" s="18"/>
    </row>
    <row r="499" spans="1:10" hidden="1" x14ac:dyDescent="0.3">
      <c r="A499" s="4" t="s">
        <v>19</v>
      </c>
      <c r="B499" s="4" t="s">
        <v>211</v>
      </c>
      <c r="C499" s="58">
        <v>4</v>
      </c>
      <c r="D499" s="51">
        <v>7.4</v>
      </c>
      <c r="E499" s="51">
        <v>7.5</v>
      </c>
      <c r="F499" s="4" t="s">
        <v>94</v>
      </c>
      <c r="G499" s="4" t="s">
        <v>152</v>
      </c>
      <c r="H499" s="48">
        <f>IF(G499&gt;0,VLOOKUP(G499,Apoio!$O$2:$P$24,2,0),"")</f>
        <v>8</v>
      </c>
      <c r="I499" s="44">
        <f t="shared" si="7"/>
        <v>32.432432432432428</v>
      </c>
      <c r="J499" s="18"/>
    </row>
    <row r="500" spans="1:10" hidden="1" x14ac:dyDescent="0.3">
      <c r="A500" s="4" t="s">
        <v>19</v>
      </c>
      <c r="B500" s="4" t="s">
        <v>21</v>
      </c>
      <c r="C500" s="58">
        <v>9</v>
      </c>
      <c r="D500" s="56">
        <v>5</v>
      </c>
      <c r="E500" s="51">
        <v>7.5</v>
      </c>
      <c r="F500" s="4" t="s">
        <v>73</v>
      </c>
      <c r="G500" s="4" t="s">
        <v>72</v>
      </c>
      <c r="H500" s="48">
        <f>IF(G500&gt;0,VLOOKUP(G500,Apoio!$O$2:$P$24,2,0),"")</f>
        <v>8</v>
      </c>
      <c r="I500" s="44">
        <f t="shared" si="7"/>
        <v>108</v>
      </c>
      <c r="J500" s="18"/>
    </row>
    <row r="501" spans="1:10" hidden="1" x14ac:dyDescent="0.3">
      <c r="A501" s="4" t="s">
        <v>19</v>
      </c>
      <c r="B501" s="4" t="s">
        <v>21</v>
      </c>
      <c r="C501" s="58">
        <v>9</v>
      </c>
      <c r="D501" s="56">
        <v>5</v>
      </c>
      <c r="E501" s="51">
        <v>7.5</v>
      </c>
      <c r="F501" s="4" t="s">
        <v>73</v>
      </c>
      <c r="G501" s="4" t="s">
        <v>79</v>
      </c>
      <c r="H501" s="48">
        <f>IF(G501&gt;0,VLOOKUP(G501,Apoio!$O$2:$P$24,2,0),"")</f>
        <v>6</v>
      </c>
      <c r="I501" s="44">
        <f t="shared" si="7"/>
        <v>81</v>
      </c>
      <c r="J501" s="18"/>
    </row>
    <row r="502" spans="1:10" hidden="1" x14ac:dyDescent="0.3">
      <c r="A502" s="4" t="s">
        <v>19</v>
      </c>
      <c r="B502" s="4" t="s">
        <v>21</v>
      </c>
      <c r="C502" s="58">
        <v>9</v>
      </c>
      <c r="D502" s="56">
        <v>5</v>
      </c>
      <c r="E502" s="51">
        <v>7.5</v>
      </c>
      <c r="F502" s="4" t="s">
        <v>73</v>
      </c>
      <c r="G502" s="4" t="s">
        <v>86</v>
      </c>
      <c r="H502" s="48">
        <f>IF(G502&gt;0,VLOOKUP(G502,Apoio!$O$2:$P$24,2,0),"")</f>
        <v>8</v>
      </c>
      <c r="I502" s="44">
        <f t="shared" si="7"/>
        <v>108</v>
      </c>
      <c r="J502" s="18"/>
    </row>
    <row r="503" spans="1:10" hidden="1" x14ac:dyDescent="0.3">
      <c r="A503" s="4" t="s">
        <v>19</v>
      </c>
      <c r="B503" s="4" t="s">
        <v>21</v>
      </c>
      <c r="C503" s="58">
        <v>9</v>
      </c>
      <c r="D503" s="56">
        <v>5</v>
      </c>
      <c r="E503" s="51">
        <v>7.5</v>
      </c>
      <c r="F503" s="4" t="s">
        <v>73</v>
      </c>
      <c r="G503" s="4" t="s">
        <v>93</v>
      </c>
      <c r="H503" s="48">
        <f>IF(G503&gt;0,VLOOKUP(G503,Apoio!$O$2:$P$24,2,0),"")</f>
        <v>8</v>
      </c>
      <c r="I503" s="44">
        <f t="shared" si="7"/>
        <v>108</v>
      </c>
      <c r="J503" s="18"/>
    </row>
    <row r="504" spans="1:10" hidden="1" x14ac:dyDescent="0.3">
      <c r="A504" s="4" t="s">
        <v>19</v>
      </c>
      <c r="B504" s="4" t="s">
        <v>21</v>
      </c>
      <c r="C504" s="58">
        <v>9</v>
      </c>
      <c r="D504" s="56">
        <v>5</v>
      </c>
      <c r="E504" s="51">
        <v>7.5</v>
      </c>
      <c r="F504" s="4" t="s">
        <v>73</v>
      </c>
      <c r="G504" s="4" t="s">
        <v>98</v>
      </c>
      <c r="H504" s="48">
        <f>IF(G504&gt;0,VLOOKUP(G504,Apoio!$O$2:$P$24,2,0),"")</f>
        <v>7</v>
      </c>
      <c r="I504" s="44">
        <f t="shared" si="7"/>
        <v>94.5</v>
      </c>
      <c r="J504" s="18"/>
    </row>
    <row r="505" spans="1:10" hidden="1" x14ac:dyDescent="0.3">
      <c r="A505" s="4" t="s">
        <v>19</v>
      </c>
      <c r="B505" s="4" t="s">
        <v>21</v>
      </c>
      <c r="C505" s="58">
        <v>9</v>
      </c>
      <c r="D505" s="56">
        <v>5</v>
      </c>
      <c r="E505" s="51">
        <v>7.5</v>
      </c>
      <c r="F505" s="4" t="s">
        <v>73</v>
      </c>
      <c r="G505" s="4" t="s">
        <v>101</v>
      </c>
      <c r="H505" s="48">
        <f>IF(G505&gt;0,VLOOKUP(G505,Apoio!$O$2:$P$24,2,0),"")</f>
        <v>3</v>
      </c>
      <c r="I505" s="44">
        <f t="shared" si="7"/>
        <v>40.5</v>
      </c>
      <c r="J505" s="18"/>
    </row>
    <row r="506" spans="1:10" hidden="1" x14ac:dyDescent="0.3">
      <c r="A506" s="4" t="s">
        <v>19</v>
      </c>
      <c r="B506" s="4" t="s">
        <v>21</v>
      </c>
      <c r="C506" s="58">
        <v>9</v>
      </c>
      <c r="D506" s="56">
        <v>5</v>
      </c>
      <c r="E506" s="51">
        <v>7.5</v>
      </c>
      <c r="F506" s="4" t="s">
        <v>80</v>
      </c>
      <c r="G506" s="4" t="s">
        <v>104</v>
      </c>
      <c r="H506" s="48">
        <f>IF(G506&gt;0,VLOOKUP(G506,Apoio!$O$2:$P$24,2,0),"")</f>
        <v>8</v>
      </c>
      <c r="I506" s="44">
        <f t="shared" si="7"/>
        <v>108</v>
      </c>
      <c r="J506" s="18"/>
    </row>
    <row r="507" spans="1:10" hidden="1" x14ac:dyDescent="0.3">
      <c r="A507" s="4" t="s">
        <v>19</v>
      </c>
      <c r="B507" s="4" t="s">
        <v>21</v>
      </c>
      <c r="C507" s="58">
        <v>9</v>
      </c>
      <c r="D507" s="56">
        <v>5</v>
      </c>
      <c r="E507" s="51">
        <v>7.5</v>
      </c>
      <c r="F507" s="4" t="s">
        <v>80</v>
      </c>
      <c r="G507" s="4" t="s">
        <v>107</v>
      </c>
      <c r="H507" s="48">
        <f>IF(G507&gt;0,VLOOKUP(G507,Apoio!$O$2:$P$24,2,0),"")</f>
        <v>7</v>
      </c>
      <c r="I507" s="44">
        <f t="shared" si="7"/>
        <v>94.5</v>
      </c>
      <c r="J507" s="18"/>
    </row>
    <row r="508" spans="1:10" hidden="1" x14ac:dyDescent="0.3">
      <c r="A508" s="4" t="s">
        <v>19</v>
      </c>
      <c r="B508" s="4" t="s">
        <v>21</v>
      </c>
      <c r="C508" s="58">
        <v>9</v>
      </c>
      <c r="D508" s="56">
        <v>5</v>
      </c>
      <c r="E508" s="51">
        <v>7.5</v>
      </c>
      <c r="F508" s="4" t="s">
        <v>80</v>
      </c>
      <c r="G508" s="4" t="s">
        <v>110</v>
      </c>
      <c r="H508" s="48">
        <f>IF(G508&gt;0,VLOOKUP(G508,Apoio!$O$2:$P$24,2,0),"")</f>
        <v>8</v>
      </c>
      <c r="I508" s="44">
        <f t="shared" si="7"/>
        <v>108</v>
      </c>
      <c r="J508" s="18"/>
    </row>
    <row r="509" spans="1:10" hidden="1" x14ac:dyDescent="0.3">
      <c r="A509" s="4" t="s">
        <v>19</v>
      </c>
      <c r="B509" s="4" t="s">
        <v>21</v>
      </c>
      <c r="C509" s="58">
        <v>9</v>
      </c>
      <c r="D509" s="56">
        <v>5</v>
      </c>
      <c r="E509" s="51">
        <v>7.5</v>
      </c>
      <c r="F509" s="4" t="s">
        <v>80</v>
      </c>
      <c r="G509" s="4" t="s">
        <v>113</v>
      </c>
      <c r="H509" s="48">
        <f>IF(G509&gt;0,VLOOKUP(G509,Apoio!$O$2:$P$24,2,0),"")</f>
        <v>7</v>
      </c>
      <c r="I509" s="44">
        <f t="shared" si="7"/>
        <v>94.5</v>
      </c>
      <c r="J509" s="18"/>
    </row>
    <row r="510" spans="1:10" hidden="1" x14ac:dyDescent="0.3">
      <c r="A510" s="4" t="s">
        <v>19</v>
      </c>
      <c r="B510" s="4" t="s">
        <v>21</v>
      </c>
      <c r="C510" s="58">
        <v>9</v>
      </c>
      <c r="D510" s="56">
        <v>5</v>
      </c>
      <c r="E510" s="51">
        <v>7.5</v>
      </c>
      <c r="F510" s="4" t="s">
        <v>80</v>
      </c>
      <c r="G510" s="4" t="s">
        <v>116</v>
      </c>
      <c r="H510" s="48">
        <f>IF(G510&gt;0,VLOOKUP(G510,Apoio!$O$2:$P$24,2,0),"")</f>
        <v>4</v>
      </c>
      <c r="I510" s="44">
        <f t="shared" si="7"/>
        <v>54</v>
      </c>
      <c r="J510" s="18"/>
    </row>
    <row r="511" spans="1:10" hidden="1" x14ac:dyDescent="0.3">
      <c r="A511" s="4" t="s">
        <v>19</v>
      </c>
      <c r="B511" s="4" t="s">
        <v>21</v>
      </c>
      <c r="C511" s="58">
        <v>9</v>
      </c>
      <c r="D511" s="56">
        <v>5</v>
      </c>
      <c r="E511" s="51">
        <v>7.5</v>
      </c>
      <c r="F511" s="4" t="s">
        <v>87</v>
      </c>
      <c r="G511" s="4" t="s">
        <v>119</v>
      </c>
      <c r="H511" s="48">
        <f>IF(G511&gt;0,VLOOKUP(G511,Apoio!$O$2:$P$24,2,0),"")</f>
        <v>12</v>
      </c>
      <c r="I511" s="44">
        <f t="shared" si="7"/>
        <v>162</v>
      </c>
      <c r="J511" s="18"/>
    </row>
    <row r="512" spans="1:10" hidden="1" x14ac:dyDescent="0.3">
      <c r="A512" s="4" t="s">
        <v>19</v>
      </c>
      <c r="B512" s="4" t="s">
        <v>21</v>
      </c>
      <c r="C512" s="58">
        <v>9</v>
      </c>
      <c r="D512" s="56">
        <v>5</v>
      </c>
      <c r="E512" s="51">
        <v>7.5</v>
      </c>
      <c r="F512" s="4" t="s">
        <v>87</v>
      </c>
      <c r="G512" s="4" t="s">
        <v>122</v>
      </c>
      <c r="H512" s="48">
        <f>IF(G512&gt;0,VLOOKUP(G512,Apoio!$O$2:$P$24,2,0),"")</f>
        <v>8</v>
      </c>
      <c r="I512" s="44">
        <f t="shared" si="7"/>
        <v>108</v>
      </c>
      <c r="J512" s="18"/>
    </row>
    <row r="513" spans="1:10" hidden="1" x14ac:dyDescent="0.3">
      <c r="A513" s="4" t="s">
        <v>19</v>
      </c>
      <c r="B513" s="4" t="s">
        <v>21</v>
      </c>
      <c r="C513" s="58">
        <v>9</v>
      </c>
      <c r="D513" s="56">
        <v>5</v>
      </c>
      <c r="E513" s="51">
        <v>7.5</v>
      </c>
      <c r="F513" s="4" t="s">
        <v>87</v>
      </c>
      <c r="G513" s="4" t="s">
        <v>125</v>
      </c>
      <c r="H513" s="48">
        <f>IF(G513&gt;0,VLOOKUP(G513,Apoio!$O$2:$P$24,2,0),"")</f>
        <v>8</v>
      </c>
      <c r="I513" s="44">
        <f t="shared" si="7"/>
        <v>108</v>
      </c>
      <c r="J513" s="18"/>
    </row>
    <row r="514" spans="1:10" hidden="1" x14ac:dyDescent="0.3">
      <c r="A514" s="4" t="s">
        <v>19</v>
      </c>
      <c r="B514" s="4" t="s">
        <v>21</v>
      </c>
      <c r="C514" s="58">
        <v>9</v>
      </c>
      <c r="D514" s="56">
        <v>5</v>
      </c>
      <c r="E514" s="51">
        <v>7.5</v>
      </c>
      <c r="F514" s="4" t="s">
        <v>87</v>
      </c>
      <c r="G514" s="4" t="s">
        <v>128</v>
      </c>
      <c r="H514" s="48">
        <f>IF(G514&gt;0,VLOOKUP(G514,Apoio!$O$2:$P$24,2,0),"")</f>
        <v>8</v>
      </c>
      <c r="I514" s="44">
        <f t="shared" ref="I514:I577" si="8">IF(D514&gt;0,(((H514*E514)*C514)/D514),"")</f>
        <v>108</v>
      </c>
      <c r="J514" s="18"/>
    </row>
    <row r="515" spans="1:10" hidden="1" x14ac:dyDescent="0.3">
      <c r="A515" s="4" t="s">
        <v>19</v>
      </c>
      <c r="B515" s="4" t="s">
        <v>21</v>
      </c>
      <c r="C515" s="58">
        <v>9</v>
      </c>
      <c r="D515" s="56">
        <v>5</v>
      </c>
      <c r="E515" s="51">
        <v>7.5</v>
      </c>
      <c r="F515" s="4" t="s">
        <v>87</v>
      </c>
      <c r="G515" s="4" t="s">
        <v>131</v>
      </c>
      <c r="H515" s="48">
        <f>IF(G515&gt;0,VLOOKUP(G515,Apoio!$O$2:$P$24,2,0),"")</f>
        <v>8</v>
      </c>
      <c r="I515" s="44">
        <f t="shared" si="8"/>
        <v>108</v>
      </c>
      <c r="J515" s="18"/>
    </row>
    <row r="516" spans="1:10" hidden="1" x14ac:dyDescent="0.3">
      <c r="A516" s="4" t="s">
        <v>19</v>
      </c>
      <c r="B516" s="4" t="s">
        <v>21</v>
      </c>
      <c r="C516" s="58">
        <v>9</v>
      </c>
      <c r="D516" s="56">
        <v>5</v>
      </c>
      <c r="E516" s="51">
        <v>7.5</v>
      </c>
      <c r="F516" s="4" t="s">
        <v>87</v>
      </c>
      <c r="G516" s="4" t="s">
        <v>134</v>
      </c>
      <c r="H516" s="48">
        <f>IF(G516&gt;0,VLOOKUP(G516,Apoio!$O$2:$P$24,2,0),"")</f>
        <v>3</v>
      </c>
      <c r="I516" s="44">
        <f t="shared" si="8"/>
        <v>40.5</v>
      </c>
      <c r="J516" s="18"/>
    </row>
    <row r="517" spans="1:10" hidden="1" x14ac:dyDescent="0.3">
      <c r="A517" s="4" t="s">
        <v>19</v>
      </c>
      <c r="B517" s="4" t="s">
        <v>21</v>
      </c>
      <c r="C517" s="58">
        <v>6.7</v>
      </c>
      <c r="D517" s="56">
        <v>6</v>
      </c>
      <c r="E517" s="51">
        <v>7.5</v>
      </c>
      <c r="F517" s="4" t="s">
        <v>94</v>
      </c>
      <c r="G517" s="4" t="s">
        <v>137</v>
      </c>
      <c r="H517" s="48">
        <f>IF(G517&gt;0,VLOOKUP(G517,Apoio!$O$2:$P$24,2,0),"")</f>
        <v>13</v>
      </c>
      <c r="I517" s="44">
        <f t="shared" si="8"/>
        <v>108.875</v>
      </c>
      <c r="J517" s="18"/>
    </row>
    <row r="518" spans="1:10" hidden="1" x14ac:dyDescent="0.3">
      <c r="A518" s="4" t="s">
        <v>19</v>
      </c>
      <c r="B518" s="4" t="s">
        <v>21</v>
      </c>
      <c r="C518" s="58">
        <v>7</v>
      </c>
      <c r="D518" s="56">
        <v>6</v>
      </c>
      <c r="E518" s="51">
        <v>7.5</v>
      </c>
      <c r="F518" s="4" t="s">
        <v>94</v>
      </c>
      <c r="G518" s="4" t="s">
        <v>140</v>
      </c>
      <c r="H518" s="48">
        <f>IF(G518&gt;0,VLOOKUP(G518,Apoio!$O$2:$P$24,2,0),"")</f>
        <v>8</v>
      </c>
      <c r="I518" s="44">
        <f t="shared" si="8"/>
        <v>70</v>
      </c>
      <c r="J518" s="18"/>
    </row>
    <row r="519" spans="1:10" hidden="1" x14ac:dyDescent="0.3">
      <c r="A519" s="4" t="s">
        <v>19</v>
      </c>
      <c r="B519" s="4" t="s">
        <v>21</v>
      </c>
      <c r="C519" s="58">
        <v>7.5</v>
      </c>
      <c r="D519" s="56">
        <v>6</v>
      </c>
      <c r="E519" s="51">
        <v>7.5</v>
      </c>
      <c r="F519" s="4" t="s">
        <v>94</v>
      </c>
      <c r="G519" s="4" t="s">
        <v>143</v>
      </c>
      <c r="H519" s="48">
        <f>IF(G519&gt;0,VLOOKUP(G519,Apoio!$O$2:$P$24,2,0),"")</f>
        <v>8</v>
      </c>
      <c r="I519" s="44">
        <f t="shared" si="8"/>
        <v>75</v>
      </c>
      <c r="J519" s="18"/>
    </row>
    <row r="520" spans="1:10" hidden="1" x14ac:dyDescent="0.3">
      <c r="A520" s="4" t="s">
        <v>19</v>
      </c>
      <c r="B520" s="4" t="s">
        <v>21</v>
      </c>
      <c r="C520" s="58">
        <v>8</v>
      </c>
      <c r="D520" s="56">
        <v>6</v>
      </c>
      <c r="E520" s="51">
        <v>7.5</v>
      </c>
      <c r="F520" s="4" t="s">
        <v>94</v>
      </c>
      <c r="G520" s="4" t="s">
        <v>146</v>
      </c>
      <c r="H520" s="48">
        <f>IF(G520&gt;0,VLOOKUP(G520,Apoio!$O$2:$P$24,2,0),"")</f>
        <v>6</v>
      </c>
      <c r="I520" s="44">
        <f t="shared" si="8"/>
        <v>60</v>
      </c>
      <c r="J520" s="18"/>
    </row>
    <row r="521" spans="1:10" hidden="1" x14ac:dyDescent="0.3">
      <c r="A521" s="4" t="s">
        <v>19</v>
      </c>
      <c r="B521" s="4" t="s">
        <v>21</v>
      </c>
      <c r="C521" s="58">
        <v>8</v>
      </c>
      <c r="D521" s="56">
        <v>6</v>
      </c>
      <c r="E521" s="51">
        <v>7.5</v>
      </c>
      <c r="F521" s="4" t="s">
        <v>94</v>
      </c>
      <c r="G521" s="4" t="s">
        <v>149</v>
      </c>
      <c r="H521" s="48">
        <f>IF(G521&gt;0,VLOOKUP(G521,Apoio!$O$2:$P$24,2,0),"")</f>
        <v>8</v>
      </c>
      <c r="I521" s="44">
        <f t="shared" si="8"/>
        <v>80</v>
      </c>
      <c r="J521" s="18"/>
    </row>
    <row r="522" spans="1:10" hidden="1" x14ac:dyDescent="0.3">
      <c r="A522" s="4" t="s">
        <v>19</v>
      </c>
      <c r="B522" s="4" t="s">
        <v>21</v>
      </c>
      <c r="C522" s="58">
        <v>8</v>
      </c>
      <c r="D522" s="56">
        <v>6</v>
      </c>
      <c r="E522" s="51">
        <v>7.5</v>
      </c>
      <c r="F522" s="4" t="s">
        <v>94</v>
      </c>
      <c r="G522" s="4" t="s">
        <v>152</v>
      </c>
      <c r="H522" s="48">
        <f>IF(G522&gt;0,VLOOKUP(G522,Apoio!$O$2:$P$24,2,0),"")</f>
        <v>8</v>
      </c>
      <c r="I522" s="44">
        <f t="shared" si="8"/>
        <v>80</v>
      </c>
      <c r="J522" s="18"/>
    </row>
    <row r="523" spans="1:10" hidden="1" x14ac:dyDescent="0.3">
      <c r="A523" s="4" t="s">
        <v>19</v>
      </c>
      <c r="B523" s="4" t="s">
        <v>22</v>
      </c>
      <c r="C523" s="58">
        <v>6</v>
      </c>
      <c r="D523" s="56">
        <v>8</v>
      </c>
      <c r="E523" s="51">
        <v>7.5</v>
      </c>
      <c r="F523" s="4" t="s">
        <v>73</v>
      </c>
      <c r="G523" s="4" t="s">
        <v>72</v>
      </c>
      <c r="H523" s="48">
        <f>IF(G523&gt;0,VLOOKUP(G523,Apoio!$O$2:$P$24,2,0),"")</f>
        <v>8</v>
      </c>
      <c r="I523" s="44">
        <f t="shared" si="8"/>
        <v>45</v>
      </c>
      <c r="J523" s="18"/>
    </row>
    <row r="524" spans="1:10" hidden="1" x14ac:dyDescent="0.3">
      <c r="A524" s="4" t="s">
        <v>19</v>
      </c>
      <c r="B524" s="4" t="s">
        <v>22</v>
      </c>
      <c r="C524" s="58">
        <v>6</v>
      </c>
      <c r="D524" s="56">
        <v>8</v>
      </c>
      <c r="E524" s="51">
        <v>7.5</v>
      </c>
      <c r="F524" s="4" t="s">
        <v>73</v>
      </c>
      <c r="G524" s="4" t="s">
        <v>79</v>
      </c>
      <c r="H524" s="48">
        <f>IF(G524&gt;0,VLOOKUP(G524,Apoio!$O$2:$P$24,2,0),"")</f>
        <v>6</v>
      </c>
      <c r="I524" s="44">
        <f t="shared" si="8"/>
        <v>33.75</v>
      </c>
      <c r="J524" s="18"/>
    </row>
    <row r="525" spans="1:10" hidden="1" x14ac:dyDescent="0.3">
      <c r="A525" s="4" t="s">
        <v>19</v>
      </c>
      <c r="B525" s="4" t="s">
        <v>22</v>
      </c>
      <c r="C525" s="58">
        <v>6</v>
      </c>
      <c r="D525" s="56">
        <v>8</v>
      </c>
      <c r="E525" s="51">
        <v>7.5</v>
      </c>
      <c r="F525" s="4" t="s">
        <v>73</v>
      </c>
      <c r="G525" s="4" t="s">
        <v>86</v>
      </c>
      <c r="H525" s="48">
        <f>IF(G525&gt;0,VLOOKUP(G525,Apoio!$O$2:$P$24,2,0),"")</f>
        <v>8</v>
      </c>
      <c r="I525" s="44">
        <f t="shared" si="8"/>
        <v>45</v>
      </c>
      <c r="J525" s="18"/>
    </row>
    <row r="526" spans="1:10" hidden="1" x14ac:dyDescent="0.3">
      <c r="A526" s="4" t="s">
        <v>19</v>
      </c>
      <c r="B526" s="4" t="s">
        <v>22</v>
      </c>
      <c r="C526" s="58">
        <v>6</v>
      </c>
      <c r="D526" s="56">
        <v>8</v>
      </c>
      <c r="E526" s="51">
        <v>7.5</v>
      </c>
      <c r="F526" s="4" t="s">
        <v>73</v>
      </c>
      <c r="G526" s="4" t="s">
        <v>93</v>
      </c>
      <c r="H526" s="48">
        <f>IF(G526&gt;0,VLOOKUP(G526,Apoio!$O$2:$P$24,2,0),"")</f>
        <v>8</v>
      </c>
      <c r="I526" s="44">
        <f t="shared" si="8"/>
        <v>45</v>
      </c>
      <c r="J526" s="18"/>
    </row>
    <row r="527" spans="1:10" hidden="1" x14ac:dyDescent="0.3">
      <c r="A527" s="4" t="s">
        <v>19</v>
      </c>
      <c r="B527" s="4" t="s">
        <v>22</v>
      </c>
      <c r="C527" s="58">
        <v>6</v>
      </c>
      <c r="D527" s="56">
        <v>8</v>
      </c>
      <c r="E527" s="51">
        <v>7.5</v>
      </c>
      <c r="F527" s="4" t="s">
        <v>73</v>
      </c>
      <c r="G527" s="4" t="s">
        <v>98</v>
      </c>
      <c r="H527" s="48">
        <f>IF(G527&gt;0,VLOOKUP(G527,Apoio!$O$2:$P$24,2,0),"")</f>
        <v>7</v>
      </c>
      <c r="I527" s="44">
        <f t="shared" si="8"/>
        <v>39.375</v>
      </c>
      <c r="J527" s="18"/>
    </row>
    <row r="528" spans="1:10" hidden="1" x14ac:dyDescent="0.3">
      <c r="A528" s="4" t="s">
        <v>19</v>
      </c>
      <c r="B528" s="4" t="s">
        <v>22</v>
      </c>
      <c r="C528" s="58">
        <v>6</v>
      </c>
      <c r="D528" s="56">
        <v>8</v>
      </c>
      <c r="E528" s="51">
        <v>7.5</v>
      </c>
      <c r="F528" s="4" t="s">
        <v>73</v>
      </c>
      <c r="G528" s="4" t="s">
        <v>101</v>
      </c>
      <c r="H528" s="48">
        <f>IF(G528&gt;0,VLOOKUP(G528,Apoio!$O$2:$P$24,2,0),"")</f>
        <v>3</v>
      </c>
      <c r="I528" s="44">
        <f t="shared" si="8"/>
        <v>16.875</v>
      </c>
      <c r="J528" s="18"/>
    </row>
    <row r="529" spans="1:10" hidden="1" x14ac:dyDescent="0.3">
      <c r="A529" s="4" t="s">
        <v>19</v>
      </c>
      <c r="B529" s="4" t="s">
        <v>22</v>
      </c>
      <c r="C529" s="58">
        <v>6</v>
      </c>
      <c r="D529" s="56">
        <v>8</v>
      </c>
      <c r="E529" s="51">
        <v>7.5</v>
      </c>
      <c r="F529" s="4" t="s">
        <v>80</v>
      </c>
      <c r="G529" s="4" t="s">
        <v>104</v>
      </c>
      <c r="H529" s="48">
        <f>IF(G529&gt;0,VLOOKUP(G529,Apoio!$O$2:$P$24,2,0),"")</f>
        <v>8</v>
      </c>
      <c r="I529" s="44">
        <f t="shared" si="8"/>
        <v>45</v>
      </c>
      <c r="J529" s="18"/>
    </row>
    <row r="530" spans="1:10" hidden="1" x14ac:dyDescent="0.3">
      <c r="A530" s="4" t="s">
        <v>19</v>
      </c>
      <c r="B530" s="4" t="s">
        <v>22</v>
      </c>
      <c r="C530" s="58">
        <v>6</v>
      </c>
      <c r="D530" s="56">
        <v>8</v>
      </c>
      <c r="E530" s="51">
        <v>7.5</v>
      </c>
      <c r="F530" s="4" t="s">
        <v>80</v>
      </c>
      <c r="G530" s="4" t="s">
        <v>107</v>
      </c>
      <c r="H530" s="48">
        <f>IF(G530&gt;0,VLOOKUP(G530,Apoio!$O$2:$P$24,2,0),"")</f>
        <v>7</v>
      </c>
      <c r="I530" s="44">
        <f t="shared" si="8"/>
        <v>39.375</v>
      </c>
      <c r="J530" s="18"/>
    </row>
    <row r="531" spans="1:10" hidden="1" x14ac:dyDescent="0.3">
      <c r="A531" s="4" t="s">
        <v>19</v>
      </c>
      <c r="B531" s="4" t="s">
        <v>22</v>
      </c>
      <c r="C531" s="58">
        <v>6</v>
      </c>
      <c r="D531" s="56">
        <v>8</v>
      </c>
      <c r="E531" s="51">
        <v>7.5</v>
      </c>
      <c r="F531" s="4" t="s">
        <v>80</v>
      </c>
      <c r="G531" s="4" t="s">
        <v>110</v>
      </c>
      <c r="H531" s="48">
        <f>IF(G531&gt;0,VLOOKUP(G531,Apoio!$O$2:$P$24,2,0),"")</f>
        <v>8</v>
      </c>
      <c r="I531" s="44">
        <f t="shared" si="8"/>
        <v>45</v>
      </c>
      <c r="J531" s="18"/>
    </row>
    <row r="532" spans="1:10" hidden="1" x14ac:dyDescent="0.3">
      <c r="A532" s="4" t="s">
        <v>19</v>
      </c>
      <c r="B532" s="4" t="s">
        <v>22</v>
      </c>
      <c r="C532" s="58">
        <v>6</v>
      </c>
      <c r="D532" s="56">
        <v>8</v>
      </c>
      <c r="E532" s="51">
        <v>7.5</v>
      </c>
      <c r="F532" s="4" t="s">
        <v>80</v>
      </c>
      <c r="G532" s="4" t="s">
        <v>113</v>
      </c>
      <c r="H532" s="48">
        <f>IF(G532&gt;0,VLOOKUP(G532,Apoio!$O$2:$P$24,2,0),"")</f>
        <v>7</v>
      </c>
      <c r="I532" s="44">
        <f t="shared" si="8"/>
        <v>39.375</v>
      </c>
      <c r="J532" s="18"/>
    </row>
    <row r="533" spans="1:10" hidden="1" x14ac:dyDescent="0.3">
      <c r="A533" s="4" t="s">
        <v>19</v>
      </c>
      <c r="B533" s="4" t="s">
        <v>22</v>
      </c>
      <c r="C533" s="58">
        <v>6</v>
      </c>
      <c r="D533" s="56">
        <v>8</v>
      </c>
      <c r="E533" s="51">
        <v>7.5</v>
      </c>
      <c r="F533" s="4" t="s">
        <v>80</v>
      </c>
      <c r="G533" s="4" t="s">
        <v>116</v>
      </c>
      <c r="H533" s="48">
        <f>IF(G533&gt;0,VLOOKUP(G533,Apoio!$O$2:$P$24,2,0),"")</f>
        <v>4</v>
      </c>
      <c r="I533" s="44">
        <f t="shared" si="8"/>
        <v>22.5</v>
      </c>
      <c r="J533" s="18"/>
    </row>
    <row r="534" spans="1:10" hidden="1" x14ac:dyDescent="0.3">
      <c r="A534" s="4" t="s">
        <v>19</v>
      </c>
      <c r="B534" s="4" t="s">
        <v>22</v>
      </c>
      <c r="C534" s="58">
        <v>6</v>
      </c>
      <c r="D534" s="56">
        <v>8</v>
      </c>
      <c r="E534" s="51">
        <v>7.5</v>
      </c>
      <c r="F534" s="4" t="s">
        <v>87</v>
      </c>
      <c r="G534" s="4" t="s">
        <v>119</v>
      </c>
      <c r="H534" s="48">
        <f>IF(G534&gt;0,VLOOKUP(G534,Apoio!$O$2:$P$24,2,0),"")</f>
        <v>12</v>
      </c>
      <c r="I534" s="44">
        <f t="shared" si="8"/>
        <v>67.5</v>
      </c>
      <c r="J534" s="18"/>
    </row>
    <row r="535" spans="1:10" hidden="1" x14ac:dyDescent="0.3">
      <c r="A535" s="4" t="s">
        <v>19</v>
      </c>
      <c r="B535" s="4" t="s">
        <v>22</v>
      </c>
      <c r="C535" s="58">
        <v>6</v>
      </c>
      <c r="D535" s="56">
        <v>8</v>
      </c>
      <c r="E535" s="51">
        <v>7.5</v>
      </c>
      <c r="F535" s="4" t="s">
        <v>87</v>
      </c>
      <c r="G535" s="4" t="s">
        <v>122</v>
      </c>
      <c r="H535" s="48">
        <f>IF(G535&gt;0,VLOOKUP(G535,Apoio!$O$2:$P$24,2,0),"")</f>
        <v>8</v>
      </c>
      <c r="I535" s="44">
        <f t="shared" si="8"/>
        <v>45</v>
      </c>
      <c r="J535" s="18"/>
    </row>
    <row r="536" spans="1:10" hidden="1" x14ac:dyDescent="0.3">
      <c r="A536" s="4" t="s">
        <v>19</v>
      </c>
      <c r="B536" s="4" t="s">
        <v>22</v>
      </c>
      <c r="C536" s="58">
        <v>6</v>
      </c>
      <c r="D536" s="56">
        <v>8</v>
      </c>
      <c r="E536" s="51">
        <v>7.5</v>
      </c>
      <c r="F536" s="4" t="s">
        <v>87</v>
      </c>
      <c r="G536" s="4" t="s">
        <v>125</v>
      </c>
      <c r="H536" s="48">
        <f>IF(G536&gt;0,VLOOKUP(G536,Apoio!$O$2:$P$24,2,0),"")</f>
        <v>8</v>
      </c>
      <c r="I536" s="44">
        <f t="shared" si="8"/>
        <v>45</v>
      </c>
      <c r="J536" s="18"/>
    </row>
    <row r="537" spans="1:10" hidden="1" x14ac:dyDescent="0.3">
      <c r="A537" s="4" t="s">
        <v>19</v>
      </c>
      <c r="B537" s="4" t="s">
        <v>22</v>
      </c>
      <c r="C537" s="58">
        <v>6</v>
      </c>
      <c r="D537" s="56">
        <v>8</v>
      </c>
      <c r="E537" s="51">
        <v>7.5</v>
      </c>
      <c r="F537" s="4" t="s">
        <v>87</v>
      </c>
      <c r="G537" s="4" t="s">
        <v>128</v>
      </c>
      <c r="H537" s="48">
        <f>IF(G537&gt;0,VLOOKUP(G537,Apoio!$O$2:$P$24,2,0),"")</f>
        <v>8</v>
      </c>
      <c r="I537" s="44">
        <f t="shared" si="8"/>
        <v>45</v>
      </c>
      <c r="J537" s="18"/>
    </row>
    <row r="538" spans="1:10" hidden="1" x14ac:dyDescent="0.3">
      <c r="A538" s="4" t="s">
        <v>19</v>
      </c>
      <c r="B538" s="4" t="s">
        <v>22</v>
      </c>
      <c r="C538" s="58">
        <v>6</v>
      </c>
      <c r="D538" s="56">
        <v>8</v>
      </c>
      <c r="E538" s="51">
        <v>7.5</v>
      </c>
      <c r="F538" s="4" t="s">
        <v>87</v>
      </c>
      <c r="G538" s="4" t="s">
        <v>131</v>
      </c>
      <c r="H538" s="48">
        <f>IF(G538&gt;0,VLOOKUP(G538,Apoio!$O$2:$P$24,2,0),"")</f>
        <v>8</v>
      </c>
      <c r="I538" s="44">
        <f t="shared" si="8"/>
        <v>45</v>
      </c>
      <c r="J538" s="18"/>
    </row>
    <row r="539" spans="1:10" hidden="1" x14ac:dyDescent="0.3">
      <c r="A539" s="4" t="s">
        <v>19</v>
      </c>
      <c r="B539" s="4" t="s">
        <v>22</v>
      </c>
      <c r="C539" s="58">
        <v>6</v>
      </c>
      <c r="D539" s="56">
        <v>8</v>
      </c>
      <c r="E539" s="51">
        <v>7.5</v>
      </c>
      <c r="F539" s="4" t="s">
        <v>87</v>
      </c>
      <c r="G539" s="4" t="s">
        <v>134</v>
      </c>
      <c r="H539" s="48">
        <f>IF(G539&gt;0,VLOOKUP(G539,Apoio!$O$2:$P$24,2,0),"")</f>
        <v>3</v>
      </c>
      <c r="I539" s="44">
        <f t="shared" si="8"/>
        <v>16.875</v>
      </c>
      <c r="J539" s="18"/>
    </row>
    <row r="540" spans="1:10" hidden="1" x14ac:dyDescent="0.3">
      <c r="A540" s="4" t="s">
        <v>19</v>
      </c>
      <c r="B540" s="4" t="s">
        <v>22</v>
      </c>
      <c r="C540" s="57">
        <v>5</v>
      </c>
      <c r="D540" s="57">
        <v>7.7</v>
      </c>
      <c r="E540" s="51">
        <v>7.5</v>
      </c>
      <c r="F540" s="4" t="s">
        <v>94</v>
      </c>
      <c r="G540" s="4" t="s">
        <v>137</v>
      </c>
      <c r="H540" s="48">
        <f>IF(G540&gt;0,VLOOKUP(G540,Apoio!$O$2:$P$24,2,0),"")</f>
        <v>13</v>
      </c>
      <c r="I540" s="44">
        <f t="shared" si="8"/>
        <v>63.311688311688307</v>
      </c>
      <c r="J540" s="18"/>
    </row>
    <row r="541" spans="1:10" hidden="1" x14ac:dyDescent="0.3">
      <c r="A541" s="4" t="s">
        <v>19</v>
      </c>
      <c r="B541" s="4" t="s">
        <v>22</v>
      </c>
      <c r="C541" s="57">
        <v>5.5</v>
      </c>
      <c r="D541" s="57">
        <v>7.7</v>
      </c>
      <c r="E541" s="51">
        <v>7.5</v>
      </c>
      <c r="F541" s="4" t="s">
        <v>94</v>
      </c>
      <c r="G541" s="4" t="s">
        <v>140</v>
      </c>
      <c r="H541" s="48">
        <f>IF(G541&gt;0,VLOOKUP(G541,Apoio!$O$2:$P$24,2,0),"")</f>
        <v>8</v>
      </c>
      <c r="I541" s="44">
        <f t="shared" si="8"/>
        <v>42.857142857142854</v>
      </c>
      <c r="J541" s="18"/>
    </row>
    <row r="542" spans="1:10" hidden="1" x14ac:dyDescent="0.3">
      <c r="A542" s="4" t="s">
        <v>19</v>
      </c>
      <c r="B542" s="4" t="s">
        <v>22</v>
      </c>
      <c r="C542" s="57">
        <v>5.5</v>
      </c>
      <c r="D542" s="57">
        <v>7.7</v>
      </c>
      <c r="E542" s="51">
        <v>7.5</v>
      </c>
      <c r="F542" s="4" t="s">
        <v>94</v>
      </c>
      <c r="G542" s="4" t="s">
        <v>143</v>
      </c>
      <c r="H542" s="48">
        <f>IF(G542&gt;0,VLOOKUP(G542,Apoio!$O$2:$P$24,2,0),"")</f>
        <v>8</v>
      </c>
      <c r="I542" s="44">
        <f t="shared" si="8"/>
        <v>42.857142857142854</v>
      </c>
      <c r="J542" s="18"/>
    </row>
    <row r="543" spans="1:10" hidden="1" x14ac:dyDescent="0.3">
      <c r="A543" s="4" t="s">
        <v>19</v>
      </c>
      <c r="B543" s="4" t="s">
        <v>22</v>
      </c>
      <c r="C543" s="57">
        <v>5.5</v>
      </c>
      <c r="D543" s="57">
        <v>7.7</v>
      </c>
      <c r="E543" s="51">
        <v>7.5</v>
      </c>
      <c r="F543" s="4" t="s">
        <v>94</v>
      </c>
      <c r="G543" s="4" t="s">
        <v>146</v>
      </c>
      <c r="H543" s="48">
        <f>IF(G543&gt;0,VLOOKUP(G543,Apoio!$O$2:$P$24,2,0),"")</f>
        <v>6</v>
      </c>
      <c r="I543" s="44">
        <f t="shared" si="8"/>
        <v>32.142857142857139</v>
      </c>
      <c r="J543" s="18"/>
    </row>
    <row r="544" spans="1:10" hidden="1" x14ac:dyDescent="0.3">
      <c r="A544" s="4" t="s">
        <v>19</v>
      </c>
      <c r="B544" s="4" t="s">
        <v>22</v>
      </c>
      <c r="C544" s="57">
        <v>5.5</v>
      </c>
      <c r="D544" s="57">
        <v>7.7</v>
      </c>
      <c r="E544" s="51">
        <v>7.5</v>
      </c>
      <c r="F544" s="4" t="s">
        <v>94</v>
      </c>
      <c r="G544" s="4" t="s">
        <v>149</v>
      </c>
      <c r="H544" s="48">
        <f>IF(G544&gt;0,VLOOKUP(G544,Apoio!$O$2:$P$24,2,0),"")</f>
        <v>8</v>
      </c>
      <c r="I544" s="44">
        <f t="shared" si="8"/>
        <v>42.857142857142854</v>
      </c>
      <c r="J544" s="18"/>
    </row>
    <row r="545" spans="1:10" hidden="1" x14ac:dyDescent="0.3">
      <c r="A545" s="4" t="s">
        <v>19</v>
      </c>
      <c r="B545" s="4" t="s">
        <v>22</v>
      </c>
      <c r="C545" s="57">
        <v>5.5</v>
      </c>
      <c r="D545" s="57">
        <v>7.7</v>
      </c>
      <c r="E545" s="51">
        <v>7.5</v>
      </c>
      <c r="F545" s="4" t="s">
        <v>94</v>
      </c>
      <c r="G545" s="4" t="s">
        <v>152</v>
      </c>
      <c r="H545" s="48">
        <f>IF(G545&gt;0,VLOOKUP(G545,Apoio!$O$2:$P$24,2,0),"")</f>
        <v>8</v>
      </c>
      <c r="I545" s="44">
        <f t="shared" si="8"/>
        <v>42.857142857142854</v>
      </c>
      <c r="J545" s="18"/>
    </row>
    <row r="546" spans="1:10" hidden="1" x14ac:dyDescent="0.3">
      <c r="A546" s="4" t="s">
        <v>19</v>
      </c>
      <c r="B546" s="4" t="s">
        <v>212</v>
      </c>
      <c r="C546" s="57">
        <v>3</v>
      </c>
      <c r="D546" s="57">
        <v>7.5</v>
      </c>
      <c r="E546" s="51">
        <v>7.5</v>
      </c>
      <c r="F546" s="4" t="s">
        <v>94</v>
      </c>
      <c r="G546" s="4" t="s">
        <v>137</v>
      </c>
      <c r="H546" s="48">
        <f>IF(G546&gt;0,VLOOKUP(G546,Apoio!$O$2:$P$24,2,0),"")</f>
        <v>13</v>
      </c>
      <c r="I546" s="44">
        <f t="shared" si="8"/>
        <v>39</v>
      </c>
      <c r="J546" s="18"/>
    </row>
    <row r="547" spans="1:10" hidden="1" x14ac:dyDescent="0.3">
      <c r="A547" s="4" t="s">
        <v>19</v>
      </c>
      <c r="B547" s="4" t="s">
        <v>212</v>
      </c>
      <c r="C547" s="57">
        <v>3</v>
      </c>
      <c r="D547" s="57">
        <v>7.5</v>
      </c>
      <c r="E547" s="51">
        <v>7.5</v>
      </c>
      <c r="F547" s="4" t="s">
        <v>94</v>
      </c>
      <c r="G547" s="4" t="s">
        <v>140</v>
      </c>
      <c r="H547" s="48">
        <f>IF(G547&gt;0,VLOOKUP(G547,Apoio!$O$2:$P$24,2,0),"")</f>
        <v>8</v>
      </c>
      <c r="I547" s="44">
        <f t="shared" si="8"/>
        <v>24</v>
      </c>
      <c r="J547" s="18"/>
    </row>
    <row r="548" spans="1:10" hidden="1" x14ac:dyDescent="0.3">
      <c r="A548" s="4" t="s">
        <v>19</v>
      </c>
      <c r="B548" s="4" t="s">
        <v>212</v>
      </c>
      <c r="C548" s="57">
        <v>3</v>
      </c>
      <c r="D548" s="57">
        <v>7.5</v>
      </c>
      <c r="E548" s="51">
        <v>7.5</v>
      </c>
      <c r="F548" s="4" t="s">
        <v>94</v>
      </c>
      <c r="G548" s="4" t="s">
        <v>143</v>
      </c>
      <c r="H548" s="48">
        <f>IF(G548&gt;0,VLOOKUP(G548,Apoio!$O$2:$P$24,2,0),"")</f>
        <v>8</v>
      </c>
      <c r="I548" s="44">
        <f t="shared" si="8"/>
        <v>24</v>
      </c>
      <c r="J548" s="18"/>
    </row>
    <row r="549" spans="1:10" hidden="1" x14ac:dyDescent="0.3">
      <c r="A549" s="4" t="s">
        <v>19</v>
      </c>
      <c r="B549" s="4" t="s">
        <v>212</v>
      </c>
      <c r="C549" s="57">
        <v>3</v>
      </c>
      <c r="D549" s="57">
        <v>7.5</v>
      </c>
      <c r="E549" s="51">
        <v>7.5</v>
      </c>
      <c r="F549" s="4" t="s">
        <v>94</v>
      </c>
      <c r="G549" s="4" t="s">
        <v>146</v>
      </c>
      <c r="H549" s="48">
        <f>IF(G549&gt;0,VLOOKUP(G549,Apoio!$O$2:$P$24,2,0),"")</f>
        <v>6</v>
      </c>
      <c r="I549" s="44">
        <f t="shared" si="8"/>
        <v>18</v>
      </c>
      <c r="J549" s="18"/>
    </row>
    <row r="550" spans="1:10" hidden="1" x14ac:dyDescent="0.3">
      <c r="A550" s="4" t="s">
        <v>19</v>
      </c>
      <c r="B550" s="4" t="s">
        <v>212</v>
      </c>
      <c r="C550" s="57">
        <v>3</v>
      </c>
      <c r="D550" s="57">
        <v>7.5</v>
      </c>
      <c r="E550" s="51">
        <v>7.5</v>
      </c>
      <c r="F550" s="4" t="s">
        <v>94</v>
      </c>
      <c r="G550" s="4" t="s">
        <v>149</v>
      </c>
      <c r="H550" s="48">
        <f>IF(G550&gt;0,VLOOKUP(G550,Apoio!$O$2:$P$24,2,0),"")</f>
        <v>8</v>
      </c>
      <c r="I550" s="44">
        <f t="shared" si="8"/>
        <v>24</v>
      </c>
      <c r="J550" s="18"/>
    </row>
    <row r="551" spans="1:10" hidden="1" x14ac:dyDescent="0.3">
      <c r="A551" s="4" t="s">
        <v>19</v>
      </c>
      <c r="B551" s="4" t="s">
        <v>212</v>
      </c>
      <c r="C551" s="57">
        <v>3</v>
      </c>
      <c r="D551" s="57">
        <v>7.5</v>
      </c>
      <c r="E551" s="51">
        <v>7.5</v>
      </c>
      <c r="F551" s="4" t="s">
        <v>94</v>
      </c>
      <c r="G551" s="4" t="s">
        <v>152</v>
      </c>
      <c r="H551" s="48">
        <f>IF(G551&gt;0,VLOOKUP(G551,Apoio!$O$2:$P$24,2,0),"")</f>
        <v>8</v>
      </c>
      <c r="I551" s="44">
        <f t="shared" si="8"/>
        <v>24</v>
      </c>
      <c r="J551" s="18"/>
    </row>
    <row r="552" spans="1:10" hidden="1" x14ac:dyDescent="0.3">
      <c r="A552" s="4" t="s">
        <v>19</v>
      </c>
      <c r="B552" s="4" t="s">
        <v>187</v>
      </c>
      <c r="C552" s="58">
        <v>3</v>
      </c>
      <c r="D552" s="51">
        <v>5.7</v>
      </c>
      <c r="E552" s="51">
        <v>7.5</v>
      </c>
      <c r="F552" s="4" t="s">
        <v>73</v>
      </c>
      <c r="G552" s="4" t="s">
        <v>72</v>
      </c>
      <c r="H552" s="48">
        <f>IF(G552&gt;0,VLOOKUP(G552,Apoio!$O$2:$P$24,2,0),"")</f>
        <v>8</v>
      </c>
      <c r="I552" s="44">
        <f t="shared" si="8"/>
        <v>31.578947368421051</v>
      </c>
      <c r="J552" s="18"/>
    </row>
    <row r="553" spans="1:10" hidden="1" x14ac:dyDescent="0.3">
      <c r="A553" s="4" t="s">
        <v>19</v>
      </c>
      <c r="B553" s="4" t="s">
        <v>187</v>
      </c>
      <c r="C553" s="58">
        <v>3</v>
      </c>
      <c r="D553" s="51">
        <v>5.7</v>
      </c>
      <c r="E553" s="51">
        <v>7.5</v>
      </c>
      <c r="F553" s="4" t="s">
        <v>73</v>
      </c>
      <c r="G553" s="4" t="s">
        <v>79</v>
      </c>
      <c r="H553" s="48">
        <f>IF(G553&gt;0,VLOOKUP(G553,Apoio!$O$2:$P$24,2,0),"")</f>
        <v>6</v>
      </c>
      <c r="I553" s="44">
        <f t="shared" si="8"/>
        <v>23.684210526315788</v>
      </c>
      <c r="J553" s="18"/>
    </row>
    <row r="554" spans="1:10" hidden="1" x14ac:dyDescent="0.3">
      <c r="A554" s="4" t="s">
        <v>19</v>
      </c>
      <c r="B554" s="4" t="s">
        <v>187</v>
      </c>
      <c r="C554" s="58">
        <v>3</v>
      </c>
      <c r="D554" s="51">
        <v>5.7</v>
      </c>
      <c r="E554" s="51">
        <v>7.5</v>
      </c>
      <c r="F554" s="4" t="s">
        <v>73</v>
      </c>
      <c r="G554" s="4" t="s">
        <v>86</v>
      </c>
      <c r="H554" s="48">
        <f>IF(G554&gt;0,VLOOKUP(G554,Apoio!$O$2:$P$24,2,0),"")</f>
        <v>8</v>
      </c>
      <c r="I554" s="44">
        <f t="shared" si="8"/>
        <v>31.578947368421051</v>
      </c>
      <c r="J554" s="18"/>
    </row>
    <row r="555" spans="1:10" hidden="1" x14ac:dyDescent="0.3">
      <c r="A555" s="4" t="s">
        <v>19</v>
      </c>
      <c r="B555" s="4" t="s">
        <v>187</v>
      </c>
      <c r="C555" s="58">
        <v>3</v>
      </c>
      <c r="D555" s="51">
        <v>5.7</v>
      </c>
      <c r="E555" s="51">
        <v>7.5</v>
      </c>
      <c r="F555" s="4" t="s">
        <v>73</v>
      </c>
      <c r="G555" s="4" t="s">
        <v>93</v>
      </c>
      <c r="H555" s="48">
        <f>IF(G555&gt;0,VLOOKUP(G555,Apoio!$O$2:$P$24,2,0),"")</f>
        <v>8</v>
      </c>
      <c r="I555" s="44">
        <f t="shared" si="8"/>
        <v>31.578947368421051</v>
      </c>
      <c r="J555" s="18"/>
    </row>
    <row r="556" spans="1:10" hidden="1" x14ac:dyDescent="0.3">
      <c r="A556" s="4" t="s">
        <v>19</v>
      </c>
      <c r="B556" s="4" t="s">
        <v>187</v>
      </c>
      <c r="C556" s="58">
        <v>3</v>
      </c>
      <c r="D556" s="51">
        <v>5.7</v>
      </c>
      <c r="E556" s="51">
        <v>7.5</v>
      </c>
      <c r="F556" s="4" t="s">
        <v>73</v>
      </c>
      <c r="G556" s="4" t="s">
        <v>98</v>
      </c>
      <c r="H556" s="48">
        <f>IF(G556&gt;0,VLOOKUP(G556,Apoio!$O$2:$P$24,2,0),"")</f>
        <v>7</v>
      </c>
      <c r="I556" s="44">
        <f t="shared" si="8"/>
        <v>27.631578947368421</v>
      </c>
      <c r="J556" s="18"/>
    </row>
    <row r="557" spans="1:10" hidden="1" x14ac:dyDescent="0.3">
      <c r="A557" s="4" t="s">
        <v>19</v>
      </c>
      <c r="B557" s="4" t="s">
        <v>187</v>
      </c>
      <c r="C557" s="58">
        <v>3</v>
      </c>
      <c r="D557" s="51">
        <v>5.7</v>
      </c>
      <c r="E557" s="51">
        <v>7.5</v>
      </c>
      <c r="F557" s="4" t="s">
        <v>73</v>
      </c>
      <c r="G557" s="4" t="s">
        <v>101</v>
      </c>
      <c r="H557" s="48">
        <f>IF(G557&gt;0,VLOOKUP(G557,Apoio!$O$2:$P$24,2,0),"")</f>
        <v>3</v>
      </c>
      <c r="I557" s="44">
        <f t="shared" si="8"/>
        <v>11.842105263157894</v>
      </c>
      <c r="J557" s="18"/>
    </row>
    <row r="558" spans="1:10" hidden="1" x14ac:dyDescent="0.3">
      <c r="A558" s="4" t="s">
        <v>19</v>
      </c>
      <c r="B558" s="4" t="s">
        <v>187</v>
      </c>
      <c r="C558" s="58">
        <v>3</v>
      </c>
      <c r="D558" s="51">
        <v>5.7</v>
      </c>
      <c r="E558" s="51">
        <v>7.5</v>
      </c>
      <c r="F558" s="4" t="s">
        <v>80</v>
      </c>
      <c r="G558" s="4" t="s">
        <v>104</v>
      </c>
      <c r="H558" s="48">
        <f>IF(G558&gt;0,VLOOKUP(G558,Apoio!$O$2:$P$24,2,0),"")</f>
        <v>8</v>
      </c>
      <c r="I558" s="44">
        <f t="shared" si="8"/>
        <v>31.578947368421051</v>
      </c>
      <c r="J558" s="18"/>
    </row>
    <row r="559" spans="1:10" hidden="1" x14ac:dyDescent="0.3">
      <c r="A559" s="4" t="s">
        <v>19</v>
      </c>
      <c r="B559" s="4" t="s">
        <v>187</v>
      </c>
      <c r="C559" s="58">
        <v>3</v>
      </c>
      <c r="D559" s="51">
        <v>5.7</v>
      </c>
      <c r="E559" s="51">
        <v>7.5</v>
      </c>
      <c r="F559" s="4" t="s">
        <v>80</v>
      </c>
      <c r="G559" s="4" t="s">
        <v>107</v>
      </c>
      <c r="H559" s="48">
        <f>IF(G559&gt;0,VLOOKUP(G559,Apoio!$O$2:$P$24,2,0),"")</f>
        <v>7</v>
      </c>
      <c r="I559" s="44">
        <f t="shared" si="8"/>
        <v>27.631578947368421</v>
      </c>
      <c r="J559" s="18"/>
    </row>
    <row r="560" spans="1:10" hidden="1" x14ac:dyDescent="0.3">
      <c r="A560" s="4" t="s">
        <v>19</v>
      </c>
      <c r="B560" s="4" t="s">
        <v>187</v>
      </c>
      <c r="C560" s="58">
        <v>3</v>
      </c>
      <c r="D560" s="51">
        <v>5.7</v>
      </c>
      <c r="E560" s="51">
        <v>7.5</v>
      </c>
      <c r="F560" s="4" t="s">
        <v>80</v>
      </c>
      <c r="G560" s="4" t="s">
        <v>110</v>
      </c>
      <c r="H560" s="48">
        <f>IF(G560&gt;0,VLOOKUP(G560,Apoio!$O$2:$P$24,2,0),"")</f>
        <v>8</v>
      </c>
      <c r="I560" s="44">
        <f t="shared" si="8"/>
        <v>31.578947368421051</v>
      </c>
      <c r="J560" s="18"/>
    </row>
    <row r="561" spans="1:10" hidden="1" x14ac:dyDescent="0.3">
      <c r="A561" s="4" t="s">
        <v>19</v>
      </c>
      <c r="B561" s="4" t="s">
        <v>187</v>
      </c>
      <c r="C561" s="58">
        <v>3</v>
      </c>
      <c r="D561" s="51">
        <v>5.7</v>
      </c>
      <c r="E561" s="51">
        <v>7.5</v>
      </c>
      <c r="F561" s="4" t="s">
        <v>80</v>
      </c>
      <c r="G561" s="4" t="s">
        <v>113</v>
      </c>
      <c r="H561" s="48">
        <f>IF(G561&gt;0,VLOOKUP(G561,Apoio!$O$2:$P$24,2,0),"")</f>
        <v>7</v>
      </c>
      <c r="I561" s="44">
        <f t="shared" si="8"/>
        <v>27.631578947368421</v>
      </c>
      <c r="J561" s="18"/>
    </row>
    <row r="562" spans="1:10" hidden="1" x14ac:dyDescent="0.3">
      <c r="A562" s="4" t="s">
        <v>19</v>
      </c>
      <c r="B562" s="4" t="s">
        <v>187</v>
      </c>
      <c r="C562" s="58">
        <v>3</v>
      </c>
      <c r="D562" s="51">
        <v>5.7</v>
      </c>
      <c r="E562" s="51">
        <v>7.5</v>
      </c>
      <c r="F562" s="4" t="s">
        <v>80</v>
      </c>
      <c r="G562" s="4" t="s">
        <v>116</v>
      </c>
      <c r="H562" s="48">
        <f>IF(G562&gt;0,VLOOKUP(G562,Apoio!$O$2:$P$24,2,0),"")</f>
        <v>4</v>
      </c>
      <c r="I562" s="44">
        <f t="shared" si="8"/>
        <v>15.789473684210526</v>
      </c>
      <c r="J562" s="18"/>
    </row>
    <row r="563" spans="1:10" hidden="1" x14ac:dyDescent="0.3">
      <c r="A563" s="4" t="s">
        <v>19</v>
      </c>
      <c r="B563" s="4" t="s">
        <v>187</v>
      </c>
      <c r="C563" s="58">
        <v>3</v>
      </c>
      <c r="D563" s="51">
        <v>5.7</v>
      </c>
      <c r="E563" s="51">
        <v>7.5</v>
      </c>
      <c r="F563" s="4" t="s">
        <v>87</v>
      </c>
      <c r="G563" s="4" t="s">
        <v>119</v>
      </c>
      <c r="H563" s="48">
        <f>IF(G563&gt;0,VLOOKUP(G563,Apoio!$O$2:$P$24,2,0),"")</f>
        <v>12</v>
      </c>
      <c r="I563" s="44">
        <f t="shared" si="8"/>
        <v>47.368421052631575</v>
      </c>
      <c r="J563" s="18"/>
    </row>
    <row r="564" spans="1:10" hidden="1" x14ac:dyDescent="0.3">
      <c r="A564" s="4" t="s">
        <v>19</v>
      </c>
      <c r="B564" s="4" t="s">
        <v>187</v>
      </c>
      <c r="C564" s="58">
        <v>3</v>
      </c>
      <c r="D564" s="51">
        <v>5.7</v>
      </c>
      <c r="E564" s="51">
        <v>7.5</v>
      </c>
      <c r="F564" s="4" t="s">
        <v>87</v>
      </c>
      <c r="G564" s="4" t="s">
        <v>122</v>
      </c>
      <c r="H564" s="48">
        <f>IF(G564&gt;0,VLOOKUP(G564,Apoio!$O$2:$P$24,2,0),"")</f>
        <v>8</v>
      </c>
      <c r="I564" s="44">
        <f t="shared" si="8"/>
        <v>31.578947368421051</v>
      </c>
      <c r="J564" s="18"/>
    </row>
    <row r="565" spans="1:10" hidden="1" x14ac:dyDescent="0.3">
      <c r="A565" s="4" t="s">
        <v>19</v>
      </c>
      <c r="B565" s="4" t="s">
        <v>187</v>
      </c>
      <c r="C565" s="58">
        <v>3</v>
      </c>
      <c r="D565" s="51">
        <v>5.7</v>
      </c>
      <c r="E565" s="51">
        <v>7.5</v>
      </c>
      <c r="F565" s="4" t="s">
        <v>87</v>
      </c>
      <c r="G565" s="4" t="s">
        <v>125</v>
      </c>
      <c r="H565" s="48">
        <f>IF(G565&gt;0,VLOOKUP(G565,Apoio!$O$2:$P$24,2,0),"")</f>
        <v>8</v>
      </c>
      <c r="I565" s="44">
        <f t="shared" si="8"/>
        <v>31.578947368421051</v>
      </c>
      <c r="J565" s="18"/>
    </row>
    <row r="566" spans="1:10" hidden="1" x14ac:dyDescent="0.3">
      <c r="A566" s="4" t="s">
        <v>19</v>
      </c>
      <c r="B566" s="4" t="s">
        <v>187</v>
      </c>
      <c r="C566" s="58">
        <v>3</v>
      </c>
      <c r="D566" s="51">
        <v>5.7</v>
      </c>
      <c r="E566" s="51">
        <v>7.5</v>
      </c>
      <c r="F566" s="4" t="s">
        <v>87</v>
      </c>
      <c r="G566" s="4" t="s">
        <v>128</v>
      </c>
      <c r="H566" s="48">
        <f>IF(G566&gt;0,VLOOKUP(G566,Apoio!$O$2:$P$24,2,0),"")</f>
        <v>8</v>
      </c>
      <c r="I566" s="44">
        <f t="shared" si="8"/>
        <v>31.578947368421051</v>
      </c>
      <c r="J566" s="18"/>
    </row>
    <row r="567" spans="1:10" hidden="1" x14ac:dyDescent="0.3">
      <c r="A567" s="4" t="s">
        <v>19</v>
      </c>
      <c r="B567" s="4" t="s">
        <v>187</v>
      </c>
      <c r="C567" s="58">
        <v>3</v>
      </c>
      <c r="D567" s="51">
        <v>5.7</v>
      </c>
      <c r="E567" s="51">
        <v>7.5</v>
      </c>
      <c r="F567" s="4" t="s">
        <v>87</v>
      </c>
      <c r="G567" s="4" t="s">
        <v>131</v>
      </c>
      <c r="H567" s="48">
        <f>IF(G567&gt;0,VLOOKUP(G567,Apoio!$O$2:$P$24,2,0),"")</f>
        <v>8</v>
      </c>
      <c r="I567" s="44">
        <f t="shared" si="8"/>
        <v>31.578947368421051</v>
      </c>
      <c r="J567" s="18"/>
    </row>
    <row r="568" spans="1:10" hidden="1" x14ac:dyDescent="0.3">
      <c r="A568" s="4" t="s">
        <v>19</v>
      </c>
      <c r="B568" s="4" t="s">
        <v>187</v>
      </c>
      <c r="C568" s="58">
        <v>3</v>
      </c>
      <c r="D568" s="51">
        <v>5.7</v>
      </c>
      <c r="E568" s="51">
        <v>7.5</v>
      </c>
      <c r="F568" s="4" t="s">
        <v>87</v>
      </c>
      <c r="G568" s="4" t="s">
        <v>134</v>
      </c>
      <c r="H568" s="48">
        <f>IF(G568&gt;0,VLOOKUP(G568,Apoio!$O$2:$P$24,2,0),"")</f>
        <v>3</v>
      </c>
      <c r="I568" s="44">
        <f t="shared" si="8"/>
        <v>11.842105263157894</v>
      </c>
      <c r="J568" s="18"/>
    </row>
    <row r="569" spans="1:10" hidden="1" x14ac:dyDescent="0.3">
      <c r="A569" s="4" t="s">
        <v>19</v>
      </c>
      <c r="B569" s="4" t="s">
        <v>187</v>
      </c>
      <c r="C569" s="58">
        <v>3</v>
      </c>
      <c r="D569" s="57">
        <v>7.2</v>
      </c>
      <c r="E569" s="51">
        <v>7.5</v>
      </c>
      <c r="F569" s="4" t="s">
        <v>94</v>
      </c>
      <c r="G569" s="4" t="s">
        <v>137</v>
      </c>
      <c r="H569" s="48">
        <f>IF(G569&gt;0,VLOOKUP(G569,Apoio!$O$2:$P$24,2,0),"")</f>
        <v>13</v>
      </c>
      <c r="I569" s="44">
        <f t="shared" si="8"/>
        <v>40.625</v>
      </c>
      <c r="J569" s="18"/>
    </row>
    <row r="570" spans="1:10" hidden="1" x14ac:dyDescent="0.3">
      <c r="A570" s="4" t="s">
        <v>19</v>
      </c>
      <c r="B570" s="4" t="s">
        <v>187</v>
      </c>
      <c r="C570" s="58">
        <v>4</v>
      </c>
      <c r="D570" s="57">
        <v>7.2</v>
      </c>
      <c r="E570" s="51">
        <v>7.5</v>
      </c>
      <c r="F570" s="4" t="s">
        <v>94</v>
      </c>
      <c r="G570" s="4" t="s">
        <v>140</v>
      </c>
      <c r="H570" s="48">
        <f>IF(G570&gt;0,VLOOKUP(G570,Apoio!$O$2:$P$24,2,0),"")</f>
        <v>8</v>
      </c>
      <c r="I570" s="44">
        <f t="shared" si="8"/>
        <v>33.333333333333336</v>
      </c>
      <c r="J570" s="18"/>
    </row>
    <row r="571" spans="1:10" hidden="1" x14ac:dyDescent="0.3">
      <c r="A571" s="4" t="s">
        <v>19</v>
      </c>
      <c r="B571" s="4" t="s">
        <v>187</v>
      </c>
      <c r="C571" s="58">
        <v>4</v>
      </c>
      <c r="D571" s="57">
        <v>7.2</v>
      </c>
      <c r="E571" s="51">
        <v>7.5</v>
      </c>
      <c r="F571" s="4" t="s">
        <v>94</v>
      </c>
      <c r="G571" s="4" t="s">
        <v>143</v>
      </c>
      <c r="H571" s="48">
        <f>IF(G571&gt;0,VLOOKUP(G571,Apoio!$O$2:$P$24,2,0),"")</f>
        <v>8</v>
      </c>
      <c r="I571" s="44">
        <f t="shared" si="8"/>
        <v>33.333333333333336</v>
      </c>
      <c r="J571" s="18"/>
    </row>
    <row r="572" spans="1:10" hidden="1" x14ac:dyDescent="0.3">
      <c r="A572" s="4" t="s">
        <v>19</v>
      </c>
      <c r="B572" s="4" t="s">
        <v>187</v>
      </c>
      <c r="C572" s="58">
        <v>4</v>
      </c>
      <c r="D572" s="57">
        <v>7.2</v>
      </c>
      <c r="E572" s="51">
        <v>7.5</v>
      </c>
      <c r="F572" s="4" t="s">
        <v>94</v>
      </c>
      <c r="G572" s="4" t="s">
        <v>146</v>
      </c>
      <c r="H572" s="48">
        <f>IF(G572&gt;0,VLOOKUP(G572,Apoio!$O$2:$P$24,2,0),"")</f>
        <v>6</v>
      </c>
      <c r="I572" s="44">
        <f t="shared" si="8"/>
        <v>25</v>
      </c>
      <c r="J572" s="18"/>
    </row>
    <row r="573" spans="1:10" hidden="1" x14ac:dyDescent="0.3">
      <c r="A573" s="4" t="s">
        <v>19</v>
      </c>
      <c r="B573" s="4" t="s">
        <v>187</v>
      </c>
      <c r="C573" s="58">
        <v>4</v>
      </c>
      <c r="D573" s="57">
        <v>7.2</v>
      </c>
      <c r="E573" s="51">
        <v>7.5</v>
      </c>
      <c r="F573" s="4" t="s">
        <v>94</v>
      </c>
      <c r="G573" s="4" t="s">
        <v>149</v>
      </c>
      <c r="H573" s="48">
        <f>IF(G573&gt;0,VLOOKUP(G573,Apoio!$O$2:$P$24,2,0),"")</f>
        <v>8</v>
      </c>
      <c r="I573" s="44">
        <f t="shared" si="8"/>
        <v>33.333333333333336</v>
      </c>
      <c r="J573" s="18"/>
    </row>
    <row r="574" spans="1:10" hidden="1" x14ac:dyDescent="0.3">
      <c r="A574" s="4" t="s">
        <v>19</v>
      </c>
      <c r="B574" s="4" t="s">
        <v>187</v>
      </c>
      <c r="C574" s="58">
        <v>4</v>
      </c>
      <c r="D574" s="57">
        <v>7.2</v>
      </c>
      <c r="E574" s="51">
        <v>7.5</v>
      </c>
      <c r="F574" s="4" t="s">
        <v>94</v>
      </c>
      <c r="G574" s="4" t="s">
        <v>152</v>
      </c>
      <c r="H574" s="48">
        <f>IF(G574&gt;0,VLOOKUP(G574,Apoio!$O$2:$P$24,2,0),"")</f>
        <v>8</v>
      </c>
      <c r="I574" s="44">
        <f t="shared" si="8"/>
        <v>33.333333333333336</v>
      </c>
      <c r="J574" s="18"/>
    </row>
    <row r="575" spans="1:10" hidden="1" x14ac:dyDescent="0.3">
      <c r="A575" s="4" t="s">
        <v>19</v>
      </c>
      <c r="B575" s="4" t="s">
        <v>23</v>
      </c>
      <c r="C575" s="58">
        <v>5</v>
      </c>
      <c r="D575" s="51">
        <v>6.4</v>
      </c>
      <c r="E575" s="51">
        <v>7.5</v>
      </c>
      <c r="F575" s="4" t="s">
        <v>73</v>
      </c>
      <c r="G575" s="4" t="s">
        <v>72</v>
      </c>
      <c r="H575" s="48">
        <f>IF(G575&gt;0,VLOOKUP(G575,Apoio!$O$2:$P$24,2,0),"")</f>
        <v>8</v>
      </c>
      <c r="I575" s="44">
        <f t="shared" si="8"/>
        <v>46.875</v>
      </c>
      <c r="J575" s="18"/>
    </row>
    <row r="576" spans="1:10" hidden="1" x14ac:dyDescent="0.3">
      <c r="A576" s="4" t="s">
        <v>19</v>
      </c>
      <c r="B576" s="4" t="s">
        <v>23</v>
      </c>
      <c r="C576" s="58">
        <v>5</v>
      </c>
      <c r="D576" s="51">
        <v>6.4</v>
      </c>
      <c r="E576" s="51">
        <v>7.5</v>
      </c>
      <c r="F576" s="4" t="s">
        <v>73</v>
      </c>
      <c r="G576" s="4" t="s">
        <v>79</v>
      </c>
      <c r="H576" s="48">
        <f>IF(G576&gt;0,VLOOKUP(G576,Apoio!$O$2:$P$24,2,0),"")</f>
        <v>6</v>
      </c>
      <c r="I576" s="44">
        <f t="shared" si="8"/>
        <v>35.15625</v>
      </c>
      <c r="J576" s="18"/>
    </row>
    <row r="577" spans="1:10" hidden="1" x14ac:dyDescent="0.3">
      <c r="A577" s="4" t="s">
        <v>19</v>
      </c>
      <c r="B577" s="4" t="s">
        <v>23</v>
      </c>
      <c r="C577" s="58">
        <v>5</v>
      </c>
      <c r="D577" s="51">
        <v>6.4</v>
      </c>
      <c r="E577" s="51">
        <v>7.5</v>
      </c>
      <c r="F577" s="4" t="s">
        <v>73</v>
      </c>
      <c r="G577" s="4" t="s">
        <v>86</v>
      </c>
      <c r="H577" s="48">
        <f>IF(G577&gt;0,VLOOKUP(G577,Apoio!$O$2:$P$24,2,0),"")</f>
        <v>8</v>
      </c>
      <c r="I577" s="44">
        <f t="shared" si="8"/>
        <v>46.875</v>
      </c>
      <c r="J577" s="18"/>
    </row>
    <row r="578" spans="1:10" hidden="1" x14ac:dyDescent="0.3">
      <c r="A578" s="4" t="s">
        <v>19</v>
      </c>
      <c r="B578" s="4" t="s">
        <v>23</v>
      </c>
      <c r="C578" s="58">
        <v>5</v>
      </c>
      <c r="D578" s="51">
        <v>6.4</v>
      </c>
      <c r="E578" s="51">
        <v>7.5</v>
      </c>
      <c r="F578" s="4" t="s">
        <v>73</v>
      </c>
      <c r="G578" s="4" t="s">
        <v>93</v>
      </c>
      <c r="H578" s="48">
        <f>IF(G578&gt;0,VLOOKUP(G578,Apoio!$O$2:$P$24,2,0),"")</f>
        <v>8</v>
      </c>
      <c r="I578" s="44">
        <f t="shared" ref="I578:I641" si="9">IF(D578&gt;0,(((H578*E578)*C578)/D578),"")</f>
        <v>46.875</v>
      </c>
      <c r="J578" s="18"/>
    </row>
    <row r="579" spans="1:10" hidden="1" x14ac:dyDescent="0.3">
      <c r="A579" s="4" t="s">
        <v>19</v>
      </c>
      <c r="B579" s="4" t="s">
        <v>23</v>
      </c>
      <c r="C579" s="58">
        <v>5</v>
      </c>
      <c r="D579" s="51">
        <v>6.4</v>
      </c>
      <c r="E579" s="51">
        <v>7.5</v>
      </c>
      <c r="F579" s="4" t="s">
        <v>73</v>
      </c>
      <c r="G579" s="4" t="s">
        <v>98</v>
      </c>
      <c r="H579" s="48">
        <f>IF(G579&gt;0,VLOOKUP(G579,Apoio!$O$2:$P$24,2,0),"")</f>
        <v>7</v>
      </c>
      <c r="I579" s="44">
        <f t="shared" si="9"/>
        <v>41.015625</v>
      </c>
      <c r="J579" s="18"/>
    </row>
    <row r="580" spans="1:10" hidden="1" x14ac:dyDescent="0.3">
      <c r="A580" s="4" t="s">
        <v>19</v>
      </c>
      <c r="B580" s="4" t="s">
        <v>23</v>
      </c>
      <c r="C580" s="58">
        <v>5</v>
      </c>
      <c r="D580" s="51">
        <v>6.4</v>
      </c>
      <c r="E580" s="51">
        <v>7.5</v>
      </c>
      <c r="F580" s="4" t="s">
        <v>73</v>
      </c>
      <c r="G580" s="4" t="s">
        <v>101</v>
      </c>
      <c r="H580" s="48">
        <f>IF(G580&gt;0,VLOOKUP(G580,Apoio!$O$2:$P$24,2,0),"")</f>
        <v>3</v>
      </c>
      <c r="I580" s="44">
        <f t="shared" si="9"/>
        <v>17.578125</v>
      </c>
      <c r="J580" s="18"/>
    </row>
    <row r="581" spans="1:10" hidden="1" x14ac:dyDescent="0.3">
      <c r="A581" s="4" t="s">
        <v>19</v>
      </c>
      <c r="B581" s="4" t="s">
        <v>23</v>
      </c>
      <c r="C581" s="58">
        <v>5</v>
      </c>
      <c r="D581" s="51">
        <v>6.4</v>
      </c>
      <c r="E581" s="51">
        <v>7.5</v>
      </c>
      <c r="F581" s="4" t="s">
        <v>80</v>
      </c>
      <c r="G581" s="4" t="s">
        <v>104</v>
      </c>
      <c r="H581" s="48">
        <f>IF(G581&gt;0,VLOOKUP(G581,Apoio!$O$2:$P$24,2,0),"")</f>
        <v>8</v>
      </c>
      <c r="I581" s="44">
        <f t="shared" si="9"/>
        <v>46.875</v>
      </c>
      <c r="J581" s="18"/>
    </row>
    <row r="582" spans="1:10" hidden="1" x14ac:dyDescent="0.3">
      <c r="A582" s="4" t="s">
        <v>19</v>
      </c>
      <c r="B582" s="4" t="s">
        <v>23</v>
      </c>
      <c r="C582" s="58">
        <v>5</v>
      </c>
      <c r="D582" s="51">
        <v>6.4</v>
      </c>
      <c r="E582" s="51">
        <v>7.5</v>
      </c>
      <c r="F582" s="4" t="s">
        <v>80</v>
      </c>
      <c r="G582" s="4" t="s">
        <v>107</v>
      </c>
      <c r="H582" s="48">
        <f>IF(G582&gt;0,VLOOKUP(G582,Apoio!$O$2:$P$24,2,0),"")</f>
        <v>7</v>
      </c>
      <c r="I582" s="44">
        <f t="shared" si="9"/>
        <v>41.015625</v>
      </c>
      <c r="J582" s="18"/>
    </row>
    <row r="583" spans="1:10" hidden="1" x14ac:dyDescent="0.3">
      <c r="A583" s="4" t="s">
        <v>19</v>
      </c>
      <c r="B583" s="4" t="s">
        <v>23</v>
      </c>
      <c r="C583" s="58">
        <v>5</v>
      </c>
      <c r="D583" s="51">
        <v>6.4</v>
      </c>
      <c r="E583" s="51">
        <v>7.5</v>
      </c>
      <c r="F583" s="4" t="s">
        <v>80</v>
      </c>
      <c r="G583" s="4" t="s">
        <v>110</v>
      </c>
      <c r="H583" s="48">
        <f>IF(G583&gt;0,VLOOKUP(G583,Apoio!$O$2:$P$24,2,0),"")</f>
        <v>8</v>
      </c>
      <c r="I583" s="44">
        <f t="shared" si="9"/>
        <v>46.875</v>
      </c>
      <c r="J583" s="18"/>
    </row>
    <row r="584" spans="1:10" hidden="1" x14ac:dyDescent="0.3">
      <c r="A584" s="4" t="s">
        <v>19</v>
      </c>
      <c r="B584" s="4" t="s">
        <v>23</v>
      </c>
      <c r="C584" s="58">
        <v>5</v>
      </c>
      <c r="D584" s="51">
        <v>6.4</v>
      </c>
      <c r="E584" s="51">
        <v>7.5</v>
      </c>
      <c r="F584" s="4" t="s">
        <v>80</v>
      </c>
      <c r="G584" s="4" t="s">
        <v>113</v>
      </c>
      <c r="H584" s="48">
        <f>IF(G584&gt;0,VLOOKUP(G584,Apoio!$O$2:$P$24,2,0),"")</f>
        <v>7</v>
      </c>
      <c r="I584" s="44">
        <f t="shared" si="9"/>
        <v>41.015625</v>
      </c>
      <c r="J584" s="18"/>
    </row>
    <row r="585" spans="1:10" hidden="1" x14ac:dyDescent="0.3">
      <c r="A585" s="4" t="s">
        <v>19</v>
      </c>
      <c r="B585" s="4" t="s">
        <v>23</v>
      </c>
      <c r="C585" s="58">
        <v>5</v>
      </c>
      <c r="D585" s="51">
        <v>6.4</v>
      </c>
      <c r="E585" s="51">
        <v>7.5</v>
      </c>
      <c r="F585" s="4" t="s">
        <v>80</v>
      </c>
      <c r="G585" s="4" t="s">
        <v>116</v>
      </c>
      <c r="H585" s="48">
        <f>IF(G585&gt;0,VLOOKUP(G585,Apoio!$O$2:$P$24,2,0),"")</f>
        <v>4</v>
      </c>
      <c r="I585" s="44">
        <f t="shared" si="9"/>
        <v>23.4375</v>
      </c>
      <c r="J585" s="18"/>
    </row>
    <row r="586" spans="1:10" hidden="1" x14ac:dyDescent="0.3">
      <c r="A586" s="4" t="s">
        <v>19</v>
      </c>
      <c r="B586" s="4" t="s">
        <v>23</v>
      </c>
      <c r="C586" s="58">
        <v>5</v>
      </c>
      <c r="D586" s="51">
        <v>6.4</v>
      </c>
      <c r="E586" s="51">
        <v>7.5</v>
      </c>
      <c r="F586" s="4" t="s">
        <v>87</v>
      </c>
      <c r="G586" s="4" t="s">
        <v>119</v>
      </c>
      <c r="H586" s="48">
        <f>IF(G586&gt;0,VLOOKUP(G586,Apoio!$O$2:$P$24,2,0),"")</f>
        <v>12</v>
      </c>
      <c r="I586" s="44">
        <f t="shared" si="9"/>
        <v>70.3125</v>
      </c>
      <c r="J586" s="18"/>
    </row>
    <row r="587" spans="1:10" hidden="1" x14ac:dyDescent="0.3">
      <c r="A587" s="4" t="s">
        <v>19</v>
      </c>
      <c r="B587" s="4" t="s">
        <v>23</v>
      </c>
      <c r="C587" s="58">
        <v>5</v>
      </c>
      <c r="D587" s="51">
        <v>6.4</v>
      </c>
      <c r="E587" s="51">
        <v>7.5</v>
      </c>
      <c r="F587" s="4" t="s">
        <v>87</v>
      </c>
      <c r="G587" s="4" t="s">
        <v>122</v>
      </c>
      <c r="H587" s="48">
        <f>IF(G587&gt;0,VLOOKUP(G587,Apoio!$O$2:$P$24,2,0),"")</f>
        <v>8</v>
      </c>
      <c r="I587" s="44">
        <f t="shared" si="9"/>
        <v>46.875</v>
      </c>
      <c r="J587" s="18"/>
    </row>
    <row r="588" spans="1:10" hidden="1" x14ac:dyDescent="0.3">
      <c r="A588" s="4" t="s">
        <v>19</v>
      </c>
      <c r="B588" s="4" t="s">
        <v>23</v>
      </c>
      <c r="C588" s="58">
        <v>5</v>
      </c>
      <c r="D588" s="51">
        <v>6.4</v>
      </c>
      <c r="E588" s="51">
        <v>7.5</v>
      </c>
      <c r="F588" s="4" t="s">
        <v>87</v>
      </c>
      <c r="G588" s="4" t="s">
        <v>125</v>
      </c>
      <c r="H588" s="48">
        <f>IF(G588&gt;0,VLOOKUP(G588,Apoio!$O$2:$P$24,2,0),"")</f>
        <v>8</v>
      </c>
      <c r="I588" s="44">
        <f t="shared" si="9"/>
        <v>46.875</v>
      </c>
      <c r="J588" s="18"/>
    </row>
    <row r="589" spans="1:10" hidden="1" x14ac:dyDescent="0.3">
      <c r="A589" s="67" t="s">
        <v>19</v>
      </c>
      <c r="B589" s="4" t="s">
        <v>23</v>
      </c>
      <c r="C589" s="58">
        <v>5</v>
      </c>
      <c r="D589" s="51">
        <v>6.4</v>
      </c>
      <c r="E589" s="51">
        <v>7.5</v>
      </c>
      <c r="F589" s="4" t="s">
        <v>87</v>
      </c>
      <c r="G589" s="4" t="s">
        <v>128</v>
      </c>
      <c r="H589" s="48">
        <f>IF(G589&gt;0,VLOOKUP(G589,Apoio!$O$2:$P$24,2,0),"")</f>
        <v>8</v>
      </c>
      <c r="I589" s="44">
        <f t="shared" si="9"/>
        <v>46.875</v>
      </c>
      <c r="J589" s="18"/>
    </row>
    <row r="590" spans="1:10" hidden="1" x14ac:dyDescent="0.3">
      <c r="A590" s="67" t="s">
        <v>19</v>
      </c>
      <c r="B590" s="4" t="s">
        <v>23</v>
      </c>
      <c r="C590" s="58">
        <v>5</v>
      </c>
      <c r="D590" s="51">
        <v>6.4</v>
      </c>
      <c r="E590" s="51">
        <v>7.5</v>
      </c>
      <c r="F590" s="4" t="s">
        <v>87</v>
      </c>
      <c r="G590" s="4" t="s">
        <v>131</v>
      </c>
      <c r="H590" s="48">
        <f>IF(G590&gt;0,VLOOKUP(G590,Apoio!$O$2:$P$24,2,0),"")</f>
        <v>8</v>
      </c>
      <c r="I590" s="44">
        <f t="shared" si="9"/>
        <v>46.875</v>
      </c>
      <c r="J590" s="18"/>
    </row>
    <row r="591" spans="1:10" hidden="1" x14ac:dyDescent="0.3">
      <c r="A591" s="67" t="s">
        <v>19</v>
      </c>
      <c r="B591" s="4" t="s">
        <v>23</v>
      </c>
      <c r="C591" s="58">
        <v>5</v>
      </c>
      <c r="D591" s="51">
        <v>6.4</v>
      </c>
      <c r="E591" s="51">
        <v>7.5</v>
      </c>
      <c r="F591" s="4" t="s">
        <v>87</v>
      </c>
      <c r="G591" s="4" t="s">
        <v>134</v>
      </c>
      <c r="H591" s="48">
        <f>IF(G591&gt;0,VLOOKUP(G591,Apoio!$O$2:$P$24,2,0),"")</f>
        <v>3</v>
      </c>
      <c r="I591" s="44">
        <f t="shared" si="9"/>
        <v>17.578125</v>
      </c>
      <c r="J591" s="18"/>
    </row>
    <row r="592" spans="1:10" hidden="1" x14ac:dyDescent="0.3">
      <c r="A592" s="67" t="s">
        <v>19</v>
      </c>
      <c r="B592" s="4" t="s">
        <v>23</v>
      </c>
      <c r="C592" s="58">
        <v>5.5</v>
      </c>
      <c r="D592" s="51">
        <v>4.8</v>
      </c>
      <c r="E592" s="51">
        <v>7.5</v>
      </c>
      <c r="F592" s="4" t="s">
        <v>94</v>
      </c>
      <c r="G592" s="4" t="s">
        <v>137</v>
      </c>
      <c r="H592" s="48">
        <f>IF(G592&gt;0,VLOOKUP(G592,Apoio!$O$2:$P$24,2,0),"")</f>
        <v>13</v>
      </c>
      <c r="I592" s="44">
        <f t="shared" si="9"/>
        <v>111.71875</v>
      </c>
      <c r="J592" s="18"/>
    </row>
    <row r="593" spans="1:10" hidden="1" x14ac:dyDescent="0.3">
      <c r="A593" s="67" t="s">
        <v>19</v>
      </c>
      <c r="B593" s="4" t="s">
        <v>23</v>
      </c>
      <c r="C593" s="58">
        <v>5.5</v>
      </c>
      <c r="D593" s="51">
        <v>4.8</v>
      </c>
      <c r="E593" s="51">
        <v>7.5</v>
      </c>
      <c r="F593" s="4" t="s">
        <v>94</v>
      </c>
      <c r="G593" s="4" t="s">
        <v>140</v>
      </c>
      <c r="H593" s="48">
        <f>IF(G593&gt;0,VLOOKUP(G593,Apoio!$O$2:$P$24,2,0),"")</f>
        <v>8</v>
      </c>
      <c r="I593" s="44">
        <f t="shared" si="9"/>
        <v>68.75</v>
      </c>
      <c r="J593" s="18"/>
    </row>
    <row r="594" spans="1:10" hidden="1" x14ac:dyDescent="0.3">
      <c r="A594" s="67" t="s">
        <v>19</v>
      </c>
      <c r="B594" s="4" t="s">
        <v>23</v>
      </c>
      <c r="C594" s="58">
        <v>7.5</v>
      </c>
      <c r="D594" s="51">
        <v>4.8</v>
      </c>
      <c r="E594" s="51">
        <v>7.5</v>
      </c>
      <c r="F594" s="4" t="s">
        <v>94</v>
      </c>
      <c r="G594" s="4" t="s">
        <v>143</v>
      </c>
      <c r="H594" s="48">
        <f>IF(G594&gt;0,VLOOKUP(G594,Apoio!$O$2:$P$24,2,0),"")</f>
        <v>8</v>
      </c>
      <c r="I594" s="44">
        <f t="shared" si="9"/>
        <v>93.75</v>
      </c>
      <c r="J594" s="18"/>
    </row>
    <row r="595" spans="1:10" hidden="1" x14ac:dyDescent="0.3">
      <c r="A595" s="67" t="s">
        <v>19</v>
      </c>
      <c r="B595" s="4" t="s">
        <v>23</v>
      </c>
      <c r="C595" s="58">
        <v>9</v>
      </c>
      <c r="D595" s="51">
        <v>4.8</v>
      </c>
      <c r="E595" s="51">
        <v>7.5</v>
      </c>
      <c r="F595" s="4" t="s">
        <v>94</v>
      </c>
      <c r="G595" s="4" t="s">
        <v>146</v>
      </c>
      <c r="H595" s="48">
        <f>IF(G595&gt;0,VLOOKUP(G595,Apoio!$O$2:$P$24,2,0),"")</f>
        <v>6</v>
      </c>
      <c r="I595" s="44">
        <f t="shared" si="9"/>
        <v>84.375</v>
      </c>
      <c r="J595" s="18"/>
    </row>
    <row r="596" spans="1:10" hidden="1" x14ac:dyDescent="0.3">
      <c r="A596" s="67" t="s">
        <v>19</v>
      </c>
      <c r="B596" s="4" t="s">
        <v>23</v>
      </c>
      <c r="C596" s="58">
        <v>9</v>
      </c>
      <c r="D596" s="51">
        <v>4.8</v>
      </c>
      <c r="E596" s="51">
        <v>7.5</v>
      </c>
      <c r="F596" s="4" t="s">
        <v>94</v>
      </c>
      <c r="G596" s="4" t="s">
        <v>149</v>
      </c>
      <c r="H596" s="48">
        <f>IF(G596&gt;0,VLOOKUP(G596,Apoio!$O$2:$P$24,2,0),"")</f>
        <v>8</v>
      </c>
      <c r="I596" s="44">
        <f t="shared" si="9"/>
        <v>112.5</v>
      </c>
      <c r="J596" s="18"/>
    </row>
    <row r="597" spans="1:10" hidden="1" x14ac:dyDescent="0.3">
      <c r="A597" s="67" t="s">
        <v>19</v>
      </c>
      <c r="B597" s="4" t="s">
        <v>23</v>
      </c>
      <c r="C597" s="58">
        <v>9</v>
      </c>
      <c r="D597" s="51">
        <v>4.8</v>
      </c>
      <c r="E597" s="51">
        <v>7.5</v>
      </c>
      <c r="F597" s="4" t="s">
        <v>94</v>
      </c>
      <c r="G597" s="4" t="s">
        <v>152</v>
      </c>
      <c r="H597" s="48">
        <f>IF(G597&gt;0,VLOOKUP(G597,Apoio!$O$2:$P$24,2,0),"")</f>
        <v>8</v>
      </c>
      <c r="I597" s="44">
        <f t="shared" si="9"/>
        <v>112.5</v>
      </c>
      <c r="J597" s="18"/>
    </row>
    <row r="598" spans="1:10" hidden="1" x14ac:dyDescent="0.3">
      <c r="A598" s="67" t="s">
        <v>19</v>
      </c>
      <c r="B598" s="57" t="s">
        <v>24</v>
      </c>
      <c r="C598" s="57">
        <v>5</v>
      </c>
      <c r="D598" s="57">
        <v>7.5</v>
      </c>
      <c r="E598" s="51">
        <v>7.5</v>
      </c>
      <c r="F598" s="4" t="s">
        <v>94</v>
      </c>
      <c r="G598" s="4" t="s">
        <v>137</v>
      </c>
      <c r="H598" s="48">
        <f>IF(G598&gt;0,VLOOKUP(G598,Apoio!$O$2:$P$24,2,0),"")</f>
        <v>13</v>
      </c>
      <c r="I598" s="44">
        <f t="shared" si="9"/>
        <v>65</v>
      </c>
      <c r="J598" s="18"/>
    </row>
    <row r="599" spans="1:10" hidden="1" x14ac:dyDescent="0.3">
      <c r="A599" s="67" t="s">
        <v>19</v>
      </c>
      <c r="B599" s="57" t="s">
        <v>24</v>
      </c>
      <c r="C599" s="57">
        <v>5</v>
      </c>
      <c r="D599" s="57">
        <v>7.5</v>
      </c>
      <c r="E599" s="51">
        <v>7.5</v>
      </c>
      <c r="F599" s="4" t="s">
        <v>94</v>
      </c>
      <c r="G599" s="4" t="s">
        <v>140</v>
      </c>
      <c r="H599" s="48">
        <f>IF(G599&gt;0,VLOOKUP(G599,Apoio!$O$2:$P$24,2,0),"")</f>
        <v>8</v>
      </c>
      <c r="I599" s="44">
        <f t="shared" si="9"/>
        <v>40</v>
      </c>
      <c r="J599" s="18"/>
    </row>
    <row r="600" spans="1:10" hidden="1" x14ac:dyDescent="0.3">
      <c r="A600" s="67" t="s">
        <v>19</v>
      </c>
      <c r="B600" s="57" t="s">
        <v>24</v>
      </c>
      <c r="C600" s="57">
        <v>5</v>
      </c>
      <c r="D600" s="57">
        <v>7.5</v>
      </c>
      <c r="E600" s="51">
        <v>7.5</v>
      </c>
      <c r="F600" s="4" t="s">
        <v>94</v>
      </c>
      <c r="G600" s="4" t="s">
        <v>143</v>
      </c>
      <c r="H600" s="48">
        <f>IF(G600&gt;0,VLOOKUP(G600,Apoio!$O$2:$P$24,2,0),"")</f>
        <v>8</v>
      </c>
      <c r="I600" s="44">
        <f t="shared" si="9"/>
        <v>40</v>
      </c>
      <c r="J600" s="18"/>
    </row>
    <row r="601" spans="1:10" hidden="1" x14ac:dyDescent="0.3">
      <c r="A601" s="4" t="s">
        <v>19</v>
      </c>
      <c r="B601" s="57" t="s">
        <v>24</v>
      </c>
      <c r="C601" s="57">
        <v>5.5</v>
      </c>
      <c r="D601" s="57">
        <v>7.5</v>
      </c>
      <c r="E601" s="51">
        <v>7.5</v>
      </c>
      <c r="F601" s="4" t="s">
        <v>94</v>
      </c>
      <c r="G601" s="4" t="s">
        <v>146</v>
      </c>
      <c r="H601" s="48">
        <f>IF(G601&gt;0,VLOOKUP(G601,Apoio!$O$2:$P$24,2,0),"")</f>
        <v>6</v>
      </c>
      <c r="I601" s="44">
        <f t="shared" si="9"/>
        <v>33</v>
      </c>
      <c r="J601" s="18"/>
    </row>
    <row r="602" spans="1:10" hidden="1" x14ac:dyDescent="0.3">
      <c r="A602" s="4" t="s">
        <v>19</v>
      </c>
      <c r="B602" s="57" t="s">
        <v>24</v>
      </c>
      <c r="C602" s="57">
        <v>6</v>
      </c>
      <c r="D602" s="57">
        <v>7.5</v>
      </c>
      <c r="E602" s="51">
        <v>7.5</v>
      </c>
      <c r="F602" s="4" t="s">
        <v>94</v>
      </c>
      <c r="G602" s="4" t="s">
        <v>149</v>
      </c>
      <c r="H602" s="48">
        <f>IF(G602&gt;0,VLOOKUP(G602,Apoio!$O$2:$P$24,2,0),"")</f>
        <v>8</v>
      </c>
      <c r="I602" s="44">
        <f t="shared" si="9"/>
        <v>48</v>
      </c>
      <c r="J602" s="18"/>
    </row>
    <row r="603" spans="1:10" hidden="1" x14ac:dyDescent="0.3">
      <c r="A603" s="4" t="s">
        <v>19</v>
      </c>
      <c r="B603" s="57" t="s">
        <v>24</v>
      </c>
      <c r="C603" s="57">
        <v>6</v>
      </c>
      <c r="D603" s="57">
        <v>7.5</v>
      </c>
      <c r="E603" s="51">
        <v>7.5</v>
      </c>
      <c r="F603" s="4" t="s">
        <v>94</v>
      </c>
      <c r="G603" s="4" t="s">
        <v>152</v>
      </c>
      <c r="H603" s="48">
        <f>IF(G603&gt;0,VLOOKUP(G603,Apoio!$O$2:$P$24,2,0),"")</f>
        <v>8</v>
      </c>
      <c r="I603" s="44">
        <f t="shared" si="9"/>
        <v>48</v>
      </c>
      <c r="J603" s="18"/>
    </row>
    <row r="604" spans="1:10" hidden="1" x14ac:dyDescent="0.3">
      <c r="A604" s="4" t="s">
        <v>19</v>
      </c>
      <c r="B604" s="4" t="s">
        <v>25</v>
      </c>
      <c r="C604" s="58">
        <v>5.5</v>
      </c>
      <c r="D604" s="57">
        <v>8.8000000000000007</v>
      </c>
      <c r="E604" s="51">
        <v>7.5</v>
      </c>
      <c r="F604" s="4" t="s">
        <v>94</v>
      </c>
      <c r="G604" s="4" t="s">
        <v>137</v>
      </c>
      <c r="H604" s="48">
        <f>IF(G604&gt;0,VLOOKUP(G604,Apoio!$O$2:$P$24,2,0),"")</f>
        <v>13</v>
      </c>
      <c r="I604" s="44">
        <f t="shared" si="9"/>
        <v>60.937499999999993</v>
      </c>
      <c r="J604" s="18"/>
    </row>
    <row r="605" spans="1:10" hidden="1" x14ac:dyDescent="0.3">
      <c r="A605" s="4" t="s">
        <v>19</v>
      </c>
      <c r="B605" s="4" t="s">
        <v>25</v>
      </c>
      <c r="C605" s="58">
        <v>7</v>
      </c>
      <c r="D605" s="57">
        <v>8.8000000000000007</v>
      </c>
      <c r="E605" s="51">
        <v>7.5</v>
      </c>
      <c r="F605" s="4" t="s">
        <v>94</v>
      </c>
      <c r="G605" s="4" t="s">
        <v>140</v>
      </c>
      <c r="H605" s="48">
        <f>IF(G605&gt;0,VLOOKUP(G605,Apoio!$O$2:$P$24,2,0),"")</f>
        <v>8</v>
      </c>
      <c r="I605" s="44">
        <f t="shared" si="9"/>
        <v>47.727272727272727</v>
      </c>
      <c r="J605" s="18"/>
    </row>
    <row r="606" spans="1:10" hidden="1" x14ac:dyDescent="0.3">
      <c r="A606" s="4" t="s">
        <v>19</v>
      </c>
      <c r="B606" s="4" t="s">
        <v>25</v>
      </c>
      <c r="C606" s="58">
        <v>7</v>
      </c>
      <c r="D606" s="57">
        <v>8.8000000000000007</v>
      </c>
      <c r="E606" s="51">
        <v>7.5</v>
      </c>
      <c r="F606" s="4" t="s">
        <v>94</v>
      </c>
      <c r="G606" s="4" t="s">
        <v>143</v>
      </c>
      <c r="H606" s="48">
        <f>IF(G606&gt;0,VLOOKUP(G606,Apoio!$O$2:$P$24,2,0),"")</f>
        <v>8</v>
      </c>
      <c r="I606" s="44">
        <f t="shared" si="9"/>
        <v>47.727272727272727</v>
      </c>
      <c r="J606" s="18"/>
    </row>
    <row r="607" spans="1:10" hidden="1" x14ac:dyDescent="0.3">
      <c r="A607" s="4" t="s">
        <v>19</v>
      </c>
      <c r="B607" s="4" t="s">
        <v>25</v>
      </c>
      <c r="C607" s="58">
        <v>6.5</v>
      </c>
      <c r="D607" s="57">
        <v>8.8000000000000007</v>
      </c>
      <c r="E607" s="51">
        <v>7.5</v>
      </c>
      <c r="F607" s="4" t="s">
        <v>94</v>
      </c>
      <c r="G607" s="4" t="s">
        <v>146</v>
      </c>
      <c r="H607" s="48">
        <f>IF(G607&gt;0,VLOOKUP(G607,Apoio!$O$2:$P$24,2,0),"")</f>
        <v>6</v>
      </c>
      <c r="I607" s="44">
        <f t="shared" si="9"/>
        <v>33.23863636363636</v>
      </c>
      <c r="J607" s="18"/>
    </row>
    <row r="608" spans="1:10" hidden="1" x14ac:dyDescent="0.3">
      <c r="A608" s="4" t="s">
        <v>19</v>
      </c>
      <c r="B608" s="4" t="s">
        <v>25</v>
      </c>
      <c r="C608" s="58">
        <v>6</v>
      </c>
      <c r="D608" s="57">
        <v>8.8000000000000007</v>
      </c>
      <c r="E608" s="51">
        <v>7.5</v>
      </c>
      <c r="F608" s="4" t="s">
        <v>94</v>
      </c>
      <c r="G608" s="4" t="s">
        <v>149</v>
      </c>
      <c r="H608" s="48">
        <f>IF(G608&gt;0,VLOOKUP(G608,Apoio!$O$2:$P$24,2,0),"")</f>
        <v>8</v>
      </c>
      <c r="I608" s="44">
        <f t="shared" si="9"/>
        <v>40.909090909090907</v>
      </c>
      <c r="J608" s="18"/>
    </row>
    <row r="609" spans="1:10" hidden="1" x14ac:dyDescent="0.3">
      <c r="A609" s="4" t="s">
        <v>19</v>
      </c>
      <c r="B609" s="4" t="s">
        <v>25</v>
      </c>
      <c r="C609" s="58">
        <v>6</v>
      </c>
      <c r="D609" s="57">
        <v>8.8000000000000007</v>
      </c>
      <c r="E609" s="51">
        <v>7.5</v>
      </c>
      <c r="F609" s="4" t="s">
        <v>94</v>
      </c>
      <c r="G609" s="4" t="s">
        <v>152</v>
      </c>
      <c r="H609" s="48">
        <f>IF(G609&gt;0,VLOOKUP(G609,Apoio!$O$2:$P$24,2,0),"")</f>
        <v>8</v>
      </c>
      <c r="I609" s="44">
        <f t="shared" si="9"/>
        <v>40.909090909090907</v>
      </c>
      <c r="J609" s="18"/>
    </row>
    <row r="610" spans="1:10" hidden="1" x14ac:dyDescent="0.3">
      <c r="A610" s="4" t="s">
        <v>19</v>
      </c>
      <c r="B610" s="4" t="s">
        <v>185</v>
      </c>
      <c r="C610" s="58">
        <v>10</v>
      </c>
      <c r="D610" s="56">
        <v>5</v>
      </c>
      <c r="E610" s="51">
        <v>7.5</v>
      </c>
      <c r="F610" s="4" t="s">
        <v>73</v>
      </c>
      <c r="G610" s="4" t="s">
        <v>72</v>
      </c>
      <c r="H610" s="48">
        <f>IF(G610&gt;0,VLOOKUP(G610,Apoio!$O$2:$P$24,2,0),"")</f>
        <v>8</v>
      </c>
      <c r="I610" s="44">
        <f t="shared" si="9"/>
        <v>120</v>
      </c>
      <c r="J610" s="18"/>
    </row>
    <row r="611" spans="1:10" hidden="1" x14ac:dyDescent="0.3">
      <c r="A611" s="4" t="s">
        <v>19</v>
      </c>
      <c r="B611" s="4" t="s">
        <v>185</v>
      </c>
      <c r="C611" s="58">
        <v>10</v>
      </c>
      <c r="D611" s="56">
        <v>5</v>
      </c>
      <c r="E611" s="51">
        <v>7.5</v>
      </c>
      <c r="F611" s="4" t="s">
        <v>73</v>
      </c>
      <c r="G611" s="4" t="s">
        <v>79</v>
      </c>
      <c r="H611" s="48">
        <f>IF(G611&gt;0,VLOOKUP(G611,Apoio!$O$2:$P$24,2,0),"")</f>
        <v>6</v>
      </c>
      <c r="I611" s="44">
        <f t="shared" si="9"/>
        <v>90</v>
      </c>
      <c r="J611" s="18"/>
    </row>
    <row r="612" spans="1:10" hidden="1" x14ac:dyDescent="0.3">
      <c r="A612" s="4" t="s">
        <v>19</v>
      </c>
      <c r="B612" s="4" t="s">
        <v>185</v>
      </c>
      <c r="C612" s="58">
        <v>10</v>
      </c>
      <c r="D612" s="56">
        <v>5</v>
      </c>
      <c r="E612" s="51">
        <v>7.5</v>
      </c>
      <c r="F612" s="4" t="s">
        <v>73</v>
      </c>
      <c r="G612" s="4" t="s">
        <v>86</v>
      </c>
      <c r="H612" s="48">
        <f>IF(G612&gt;0,VLOOKUP(G612,Apoio!$O$2:$P$24,2,0),"")</f>
        <v>8</v>
      </c>
      <c r="I612" s="44">
        <f t="shared" si="9"/>
        <v>120</v>
      </c>
      <c r="J612" s="18"/>
    </row>
    <row r="613" spans="1:10" hidden="1" x14ac:dyDescent="0.3">
      <c r="A613" s="4" t="s">
        <v>19</v>
      </c>
      <c r="B613" s="4" t="s">
        <v>185</v>
      </c>
      <c r="C613" s="58">
        <v>10</v>
      </c>
      <c r="D613" s="56">
        <v>5</v>
      </c>
      <c r="E613" s="51">
        <v>7.5</v>
      </c>
      <c r="F613" s="4" t="s">
        <v>73</v>
      </c>
      <c r="G613" s="4" t="s">
        <v>93</v>
      </c>
      <c r="H613" s="48">
        <f>IF(G613&gt;0,VLOOKUP(G613,Apoio!$O$2:$P$24,2,0),"")</f>
        <v>8</v>
      </c>
      <c r="I613" s="44">
        <f t="shared" si="9"/>
        <v>120</v>
      </c>
      <c r="J613" s="18"/>
    </row>
    <row r="614" spans="1:10" hidden="1" x14ac:dyDescent="0.3">
      <c r="A614" s="4" t="s">
        <v>19</v>
      </c>
      <c r="B614" s="4" t="s">
        <v>185</v>
      </c>
      <c r="C614" s="58">
        <v>10</v>
      </c>
      <c r="D614" s="56">
        <v>5</v>
      </c>
      <c r="E614" s="51">
        <v>7.5</v>
      </c>
      <c r="F614" s="4" t="s">
        <v>73</v>
      </c>
      <c r="G614" s="4" t="s">
        <v>98</v>
      </c>
      <c r="H614" s="48">
        <f>IF(G614&gt;0,VLOOKUP(G614,Apoio!$O$2:$P$24,2,0),"")</f>
        <v>7</v>
      </c>
      <c r="I614" s="44">
        <f t="shared" si="9"/>
        <v>105</v>
      </c>
      <c r="J614" s="18"/>
    </row>
    <row r="615" spans="1:10" hidden="1" x14ac:dyDescent="0.3">
      <c r="A615" s="4" t="s">
        <v>19</v>
      </c>
      <c r="B615" s="4" t="s">
        <v>185</v>
      </c>
      <c r="C615" s="58">
        <v>10</v>
      </c>
      <c r="D615" s="56">
        <v>5</v>
      </c>
      <c r="E615" s="51">
        <v>7.5</v>
      </c>
      <c r="F615" s="4" t="s">
        <v>73</v>
      </c>
      <c r="G615" s="4" t="s">
        <v>101</v>
      </c>
      <c r="H615" s="48">
        <f>IF(G615&gt;0,VLOOKUP(G615,Apoio!$O$2:$P$24,2,0),"")</f>
        <v>3</v>
      </c>
      <c r="I615" s="44">
        <f t="shared" si="9"/>
        <v>45</v>
      </c>
      <c r="J615" s="18"/>
    </row>
    <row r="616" spans="1:10" hidden="1" x14ac:dyDescent="0.3">
      <c r="A616" s="4" t="s">
        <v>19</v>
      </c>
      <c r="B616" s="4" t="s">
        <v>185</v>
      </c>
      <c r="C616" s="58">
        <v>10</v>
      </c>
      <c r="D616" s="56">
        <v>5</v>
      </c>
      <c r="E616" s="51">
        <v>7.5</v>
      </c>
      <c r="F616" s="4" t="s">
        <v>80</v>
      </c>
      <c r="G616" s="4" t="s">
        <v>104</v>
      </c>
      <c r="H616" s="48">
        <f>IF(G616&gt;0,VLOOKUP(G616,Apoio!$O$2:$P$24,2,0),"")</f>
        <v>8</v>
      </c>
      <c r="I616" s="44">
        <f t="shared" si="9"/>
        <v>120</v>
      </c>
      <c r="J616" s="18"/>
    </row>
    <row r="617" spans="1:10" hidden="1" x14ac:dyDescent="0.3">
      <c r="A617" s="4" t="s">
        <v>19</v>
      </c>
      <c r="B617" s="4" t="s">
        <v>185</v>
      </c>
      <c r="C617" s="58">
        <v>10</v>
      </c>
      <c r="D617" s="56">
        <v>5</v>
      </c>
      <c r="E617" s="51">
        <v>7.5</v>
      </c>
      <c r="F617" s="4" t="s">
        <v>80</v>
      </c>
      <c r="G617" s="4" t="s">
        <v>107</v>
      </c>
      <c r="H617" s="48">
        <f>IF(G617&gt;0,VLOOKUP(G617,Apoio!$O$2:$P$24,2,0),"")</f>
        <v>7</v>
      </c>
      <c r="I617" s="44">
        <f t="shared" si="9"/>
        <v>105</v>
      </c>
      <c r="J617" s="18"/>
    </row>
    <row r="618" spans="1:10" hidden="1" x14ac:dyDescent="0.3">
      <c r="A618" s="4" t="s">
        <v>19</v>
      </c>
      <c r="B618" s="4" t="s">
        <v>185</v>
      </c>
      <c r="C618" s="58">
        <v>10</v>
      </c>
      <c r="D618" s="56">
        <v>5</v>
      </c>
      <c r="E618" s="51">
        <v>7.5</v>
      </c>
      <c r="F618" s="4" t="s">
        <v>80</v>
      </c>
      <c r="G618" s="4" t="s">
        <v>110</v>
      </c>
      <c r="H618" s="48">
        <f>IF(G618&gt;0,VLOOKUP(G618,Apoio!$O$2:$P$24,2,0),"")</f>
        <v>8</v>
      </c>
      <c r="I618" s="44">
        <f t="shared" si="9"/>
        <v>120</v>
      </c>
      <c r="J618" s="18"/>
    </row>
    <row r="619" spans="1:10" hidden="1" x14ac:dyDescent="0.3">
      <c r="A619" s="4" t="s">
        <v>19</v>
      </c>
      <c r="B619" s="4" t="s">
        <v>185</v>
      </c>
      <c r="C619" s="58">
        <v>10</v>
      </c>
      <c r="D619" s="56">
        <v>5</v>
      </c>
      <c r="E619" s="51">
        <v>7.5</v>
      </c>
      <c r="F619" s="4" t="s">
        <v>80</v>
      </c>
      <c r="G619" s="4" t="s">
        <v>113</v>
      </c>
      <c r="H619" s="48">
        <f>IF(G619&gt;0,VLOOKUP(G619,Apoio!$O$2:$P$24,2,0),"")</f>
        <v>7</v>
      </c>
      <c r="I619" s="44">
        <f t="shared" si="9"/>
        <v>105</v>
      </c>
      <c r="J619" s="18"/>
    </row>
    <row r="620" spans="1:10" hidden="1" x14ac:dyDescent="0.3">
      <c r="A620" s="4" t="s">
        <v>19</v>
      </c>
      <c r="B620" s="4" t="s">
        <v>185</v>
      </c>
      <c r="C620" s="58">
        <v>10</v>
      </c>
      <c r="D620" s="56">
        <v>5</v>
      </c>
      <c r="E620" s="51">
        <v>7.5</v>
      </c>
      <c r="F620" s="4" t="s">
        <v>80</v>
      </c>
      <c r="G620" s="4" t="s">
        <v>116</v>
      </c>
      <c r="H620" s="48">
        <f>IF(G620&gt;0,VLOOKUP(G620,Apoio!$O$2:$P$24,2,0),"")</f>
        <v>4</v>
      </c>
      <c r="I620" s="44">
        <f t="shared" si="9"/>
        <v>60</v>
      </c>
      <c r="J620" s="18"/>
    </row>
    <row r="621" spans="1:10" hidden="1" x14ac:dyDescent="0.3">
      <c r="A621" s="4" t="s">
        <v>19</v>
      </c>
      <c r="B621" s="4" t="s">
        <v>185</v>
      </c>
      <c r="C621" s="58">
        <v>10</v>
      </c>
      <c r="D621" s="51">
        <v>5.8</v>
      </c>
      <c r="E621" s="51">
        <v>7.5</v>
      </c>
      <c r="F621" s="4" t="s">
        <v>87</v>
      </c>
      <c r="G621" s="4" t="s">
        <v>119</v>
      </c>
      <c r="H621" s="48">
        <f>IF(G621&gt;0,VLOOKUP(G621,Apoio!$O$2:$P$24,2,0),"")</f>
        <v>12</v>
      </c>
      <c r="I621" s="44">
        <f t="shared" si="9"/>
        <v>155.17241379310346</v>
      </c>
      <c r="J621" s="18"/>
    </row>
    <row r="622" spans="1:10" hidden="1" x14ac:dyDescent="0.3">
      <c r="A622" s="4" t="s">
        <v>19</v>
      </c>
      <c r="B622" s="4" t="s">
        <v>185</v>
      </c>
      <c r="C622" s="58">
        <v>10</v>
      </c>
      <c r="D622" s="51">
        <v>5.8</v>
      </c>
      <c r="E622" s="51">
        <v>7.5</v>
      </c>
      <c r="F622" s="4" t="s">
        <v>87</v>
      </c>
      <c r="G622" s="4" t="s">
        <v>122</v>
      </c>
      <c r="H622" s="48">
        <f>IF(G622&gt;0,VLOOKUP(G622,Apoio!$O$2:$P$24,2,0),"")</f>
        <v>8</v>
      </c>
      <c r="I622" s="44">
        <f t="shared" si="9"/>
        <v>103.44827586206897</v>
      </c>
      <c r="J622" s="18"/>
    </row>
    <row r="623" spans="1:10" hidden="1" x14ac:dyDescent="0.3">
      <c r="A623" s="4" t="s">
        <v>19</v>
      </c>
      <c r="B623" s="4" t="s">
        <v>185</v>
      </c>
      <c r="C623" s="58">
        <v>10</v>
      </c>
      <c r="D623" s="51">
        <v>5.8</v>
      </c>
      <c r="E623" s="51">
        <v>7.5</v>
      </c>
      <c r="F623" s="4" t="s">
        <v>87</v>
      </c>
      <c r="G623" s="4" t="s">
        <v>125</v>
      </c>
      <c r="H623" s="48">
        <f>IF(G623&gt;0,VLOOKUP(G623,Apoio!$O$2:$P$24,2,0),"")</f>
        <v>8</v>
      </c>
      <c r="I623" s="44">
        <f t="shared" si="9"/>
        <v>103.44827586206897</v>
      </c>
      <c r="J623" s="18"/>
    </row>
    <row r="624" spans="1:10" hidden="1" x14ac:dyDescent="0.3">
      <c r="A624" s="4" t="s">
        <v>19</v>
      </c>
      <c r="B624" s="4" t="s">
        <v>185</v>
      </c>
      <c r="C624" s="58">
        <v>10</v>
      </c>
      <c r="D624" s="51">
        <v>5.8</v>
      </c>
      <c r="E624" s="51">
        <v>7.5</v>
      </c>
      <c r="F624" s="4" t="s">
        <v>87</v>
      </c>
      <c r="G624" s="4" t="s">
        <v>128</v>
      </c>
      <c r="H624" s="48">
        <f>IF(G624&gt;0,VLOOKUP(G624,Apoio!$O$2:$P$24,2,0),"")</f>
        <v>8</v>
      </c>
      <c r="I624" s="44">
        <f t="shared" si="9"/>
        <v>103.44827586206897</v>
      </c>
      <c r="J624" s="18"/>
    </row>
    <row r="625" spans="1:10" hidden="1" x14ac:dyDescent="0.3">
      <c r="A625" s="4" t="s">
        <v>19</v>
      </c>
      <c r="B625" s="4" t="s">
        <v>185</v>
      </c>
      <c r="C625" s="58">
        <v>10</v>
      </c>
      <c r="D625" s="51">
        <v>5.8</v>
      </c>
      <c r="E625" s="51">
        <v>7.5</v>
      </c>
      <c r="F625" s="4" t="s">
        <v>87</v>
      </c>
      <c r="G625" s="4" t="s">
        <v>131</v>
      </c>
      <c r="H625" s="48">
        <f>IF(G625&gt;0,VLOOKUP(G625,Apoio!$O$2:$P$24,2,0),"")</f>
        <v>8</v>
      </c>
      <c r="I625" s="44">
        <f t="shared" si="9"/>
        <v>103.44827586206897</v>
      </c>
      <c r="J625" s="18"/>
    </row>
    <row r="626" spans="1:10" hidden="1" x14ac:dyDescent="0.3">
      <c r="A626" s="4" t="s">
        <v>19</v>
      </c>
      <c r="B626" s="4" t="s">
        <v>185</v>
      </c>
      <c r="C626" s="58">
        <v>10</v>
      </c>
      <c r="D626" s="51">
        <v>5.8</v>
      </c>
      <c r="E626" s="51">
        <v>7.5</v>
      </c>
      <c r="F626" s="4" t="s">
        <v>87</v>
      </c>
      <c r="G626" s="4" t="s">
        <v>134</v>
      </c>
      <c r="H626" s="48">
        <f>IF(G626&gt;0,VLOOKUP(G626,Apoio!$O$2:$P$24,2,0),"")</f>
        <v>3</v>
      </c>
      <c r="I626" s="44">
        <f t="shared" si="9"/>
        <v>38.793103448275865</v>
      </c>
      <c r="J626" s="18"/>
    </row>
    <row r="627" spans="1:10" hidden="1" x14ac:dyDescent="0.3">
      <c r="A627" s="4" t="s">
        <v>19</v>
      </c>
      <c r="B627" s="4" t="s">
        <v>186</v>
      </c>
      <c r="C627" s="58">
        <v>6</v>
      </c>
      <c r="D627" s="51">
        <v>6.2</v>
      </c>
      <c r="E627" s="51">
        <v>7.5</v>
      </c>
      <c r="F627" s="4" t="s">
        <v>73</v>
      </c>
      <c r="G627" s="4" t="s">
        <v>72</v>
      </c>
      <c r="H627" s="48">
        <f>IF(G627&gt;0,VLOOKUP(G627,Apoio!$O$2:$P$24,2,0),"")</f>
        <v>8</v>
      </c>
      <c r="I627" s="44">
        <f t="shared" si="9"/>
        <v>58.064516129032256</v>
      </c>
      <c r="J627" s="18"/>
    </row>
    <row r="628" spans="1:10" hidden="1" x14ac:dyDescent="0.3">
      <c r="A628" s="4" t="s">
        <v>19</v>
      </c>
      <c r="B628" s="4" t="s">
        <v>186</v>
      </c>
      <c r="C628" s="58">
        <v>6</v>
      </c>
      <c r="D628" s="51">
        <v>6.2</v>
      </c>
      <c r="E628" s="51">
        <v>7.5</v>
      </c>
      <c r="F628" s="4" t="s">
        <v>73</v>
      </c>
      <c r="G628" s="4" t="s">
        <v>79</v>
      </c>
      <c r="H628" s="48">
        <f>IF(G628&gt;0,VLOOKUP(G628,Apoio!$O$2:$P$24,2,0),"")</f>
        <v>6</v>
      </c>
      <c r="I628" s="44">
        <f t="shared" si="9"/>
        <v>43.548387096774192</v>
      </c>
      <c r="J628" s="18"/>
    </row>
    <row r="629" spans="1:10" hidden="1" x14ac:dyDescent="0.3">
      <c r="A629" s="4" t="s">
        <v>19</v>
      </c>
      <c r="B629" s="4" t="s">
        <v>186</v>
      </c>
      <c r="C629" s="58">
        <v>6</v>
      </c>
      <c r="D629" s="51">
        <v>6.2</v>
      </c>
      <c r="E629" s="51">
        <v>7.5</v>
      </c>
      <c r="F629" s="4" t="s">
        <v>73</v>
      </c>
      <c r="G629" s="4" t="s">
        <v>86</v>
      </c>
      <c r="H629" s="48">
        <f>IF(G629&gt;0,VLOOKUP(G629,Apoio!$O$2:$P$24,2,0),"")</f>
        <v>8</v>
      </c>
      <c r="I629" s="44">
        <f t="shared" si="9"/>
        <v>58.064516129032256</v>
      </c>
      <c r="J629" s="18"/>
    </row>
    <row r="630" spans="1:10" hidden="1" x14ac:dyDescent="0.3">
      <c r="A630" s="4" t="s">
        <v>19</v>
      </c>
      <c r="B630" s="4" t="s">
        <v>186</v>
      </c>
      <c r="C630" s="58">
        <v>6</v>
      </c>
      <c r="D630" s="51">
        <v>6.2</v>
      </c>
      <c r="E630" s="51">
        <v>7.5</v>
      </c>
      <c r="F630" s="4" t="s">
        <v>73</v>
      </c>
      <c r="G630" s="4" t="s">
        <v>93</v>
      </c>
      <c r="H630" s="48">
        <f>IF(G630&gt;0,VLOOKUP(G630,Apoio!$O$2:$P$24,2,0),"")</f>
        <v>8</v>
      </c>
      <c r="I630" s="44">
        <f t="shared" si="9"/>
        <v>58.064516129032256</v>
      </c>
      <c r="J630" s="18"/>
    </row>
    <row r="631" spans="1:10" hidden="1" x14ac:dyDescent="0.3">
      <c r="A631" s="4" t="s">
        <v>19</v>
      </c>
      <c r="B631" s="4" t="s">
        <v>186</v>
      </c>
      <c r="C631" s="58">
        <v>6</v>
      </c>
      <c r="D631" s="51">
        <v>6.2</v>
      </c>
      <c r="E631" s="51">
        <v>7.5</v>
      </c>
      <c r="F631" s="4" t="s">
        <v>73</v>
      </c>
      <c r="G631" s="4" t="s">
        <v>98</v>
      </c>
      <c r="H631" s="48">
        <f>IF(G631&gt;0,VLOOKUP(G631,Apoio!$O$2:$P$24,2,0),"")</f>
        <v>7</v>
      </c>
      <c r="I631" s="44">
        <f t="shared" si="9"/>
        <v>50.806451612903224</v>
      </c>
      <c r="J631" s="18"/>
    </row>
    <row r="632" spans="1:10" hidden="1" x14ac:dyDescent="0.3">
      <c r="A632" s="4" t="s">
        <v>19</v>
      </c>
      <c r="B632" s="4" t="s">
        <v>186</v>
      </c>
      <c r="C632" s="58">
        <v>6</v>
      </c>
      <c r="D632" s="51">
        <v>6.2</v>
      </c>
      <c r="E632" s="51">
        <v>7.5</v>
      </c>
      <c r="F632" s="4" t="s">
        <v>73</v>
      </c>
      <c r="G632" s="4" t="s">
        <v>101</v>
      </c>
      <c r="H632" s="48">
        <f>IF(G632&gt;0,VLOOKUP(G632,Apoio!$O$2:$P$24,2,0),"")</f>
        <v>3</v>
      </c>
      <c r="I632" s="44">
        <f t="shared" si="9"/>
        <v>21.774193548387096</v>
      </c>
      <c r="J632" s="18"/>
    </row>
    <row r="633" spans="1:10" hidden="1" x14ac:dyDescent="0.3">
      <c r="A633" s="4" t="s">
        <v>19</v>
      </c>
      <c r="B633" s="4" t="s">
        <v>186</v>
      </c>
      <c r="C633" s="58">
        <v>6</v>
      </c>
      <c r="D633" s="51">
        <v>6.2</v>
      </c>
      <c r="E633" s="51">
        <v>7.5</v>
      </c>
      <c r="F633" s="4" t="s">
        <v>80</v>
      </c>
      <c r="G633" s="4" t="s">
        <v>104</v>
      </c>
      <c r="H633" s="48">
        <f>IF(G633&gt;0,VLOOKUP(G633,Apoio!$O$2:$P$24,2,0),"")</f>
        <v>8</v>
      </c>
      <c r="I633" s="44">
        <f t="shared" si="9"/>
        <v>58.064516129032256</v>
      </c>
      <c r="J633" s="18"/>
    </row>
    <row r="634" spans="1:10" hidden="1" x14ac:dyDescent="0.3">
      <c r="A634" s="4" t="s">
        <v>19</v>
      </c>
      <c r="B634" s="4" t="s">
        <v>186</v>
      </c>
      <c r="C634" s="58">
        <v>6</v>
      </c>
      <c r="D634" s="51">
        <v>6.2</v>
      </c>
      <c r="E634" s="51">
        <v>7.5</v>
      </c>
      <c r="F634" s="4" t="s">
        <v>80</v>
      </c>
      <c r="G634" s="4" t="s">
        <v>107</v>
      </c>
      <c r="H634" s="48">
        <f>IF(G634&gt;0,VLOOKUP(G634,Apoio!$O$2:$P$24,2,0),"")</f>
        <v>7</v>
      </c>
      <c r="I634" s="44">
        <f t="shared" si="9"/>
        <v>50.806451612903224</v>
      </c>
      <c r="J634" s="18"/>
    </row>
    <row r="635" spans="1:10" hidden="1" x14ac:dyDescent="0.3">
      <c r="A635" s="4" t="s">
        <v>19</v>
      </c>
      <c r="B635" s="4" t="s">
        <v>186</v>
      </c>
      <c r="C635" s="58">
        <v>6</v>
      </c>
      <c r="D635" s="51">
        <v>6.2</v>
      </c>
      <c r="E635" s="51">
        <v>7.5</v>
      </c>
      <c r="F635" s="4" t="s">
        <v>80</v>
      </c>
      <c r="G635" s="4" t="s">
        <v>110</v>
      </c>
      <c r="H635" s="48">
        <f>IF(G635&gt;0,VLOOKUP(G635,Apoio!$O$2:$P$24,2,0),"")</f>
        <v>8</v>
      </c>
      <c r="I635" s="44">
        <f t="shared" si="9"/>
        <v>58.064516129032256</v>
      </c>
      <c r="J635" s="18"/>
    </row>
    <row r="636" spans="1:10" hidden="1" x14ac:dyDescent="0.3">
      <c r="A636" s="4" t="s">
        <v>19</v>
      </c>
      <c r="B636" s="4" t="s">
        <v>186</v>
      </c>
      <c r="C636" s="58">
        <v>6</v>
      </c>
      <c r="D636" s="51">
        <v>6.2</v>
      </c>
      <c r="E636" s="51">
        <v>7.5</v>
      </c>
      <c r="F636" s="4" t="s">
        <v>80</v>
      </c>
      <c r="G636" s="4" t="s">
        <v>113</v>
      </c>
      <c r="H636" s="48">
        <f>IF(G636&gt;0,VLOOKUP(G636,Apoio!$O$2:$P$24,2,0),"")</f>
        <v>7</v>
      </c>
      <c r="I636" s="44">
        <f t="shared" si="9"/>
        <v>50.806451612903224</v>
      </c>
      <c r="J636" s="18"/>
    </row>
    <row r="637" spans="1:10" hidden="1" x14ac:dyDescent="0.3">
      <c r="A637" s="4" t="s">
        <v>19</v>
      </c>
      <c r="B637" s="4" t="s">
        <v>186</v>
      </c>
      <c r="C637" s="58">
        <v>6</v>
      </c>
      <c r="D637" s="51">
        <v>6.2</v>
      </c>
      <c r="E637" s="51">
        <v>7.5</v>
      </c>
      <c r="F637" s="4" t="s">
        <v>80</v>
      </c>
      <c r="G637" s="4" t="s">
        <v>116</v>
      </c>
      <c r="H637" s="48">
        <f>IF(G637&gt;0,VLOOKUP(G637,Apoio!$O$2:$P$24,2,0),"")</f>
        <v>4</v>
      </c>
      <c r="I637" s="44">
        <f t="shared" si="9"/>
        <v>29.032258064516128</v>
      </c>
      <c r="J637" s="18"/>
    </row>
    <row r="638" spans="1:10" hidden="1" x14ac:dyDescent="0.3">
      <c r="A638" s="4" t="s">
        <v>19</v>
      </c>
      <c r="B638" s="4" t="s">
        <v>186</v>
      </c>
      <c r="C638" s="58">
        <v>6</v>
      </c>
      <c r="D638" s="51">
        <v>6.2</v>
      </c>
      <c r="E638" s="51">
        <v>7.5</v>
      </c>
      <c r="F638" s="4" t="s">
        <v>87</v>
      </c>
      <c r="G638" s="4" t="s">
        <v>119</v>
      </c>
      <c r="H638" s="48">
        <f>IF(G638&gt;0,VLOOKUP(G638,Apoio!$O$2:$P$24,2,0),"")</f>
        <v>12</v>
      </c>
      <c r="I638" s="44">
        <f t="shared" si="9"/>
        <v>87.096774193548384</v>
      </c>
      <c r="J638" s="18"/>
    </row>
    <row r="639" spans="1:10" hidden="1" x14ac:dyDescent="0.3">
      <c r="A639" s="4" t="s">
        <v>19</v>
      </c>
      <c r="B639" s="4" t="s">
        <v>186</v>
      </c>
      <c r="C639" s="58">
        <v>6</v>
      </c>
      <c r="D639" s="51">
        <v>6.2</v>
      </c>
      <c r="E639" s="51">
        <v>7.5</v>
      </c>
      <c r="F639" s="4" t="s">
        <v>87</v>
      </c>
      <c r="G639" s="4" t="s">
        <v>122</v>
      </c>
      <c r="H639" s="48">
        <f>IF(G639&gt;0,VLOOKUP(G639,Apoio!$O$2:$P$24,2,0),"")</f>
        <v>8</v>
      </c>
      <c r="I639" s="44">
        <f t="shared" si="9"/>
        <v>58.064516129032256</v>
      </c>
      <c r="J639" s="18"/>
    </row>
    <row r="640" spans="1:10" hidden="1" x14ac:dyDescent="0.3">
      <c r="A640" s="4" t="s">
        <v>19</v>
      </c>
      <c r="B640" s="4" t="s">
        <v>186</v>
      </c>
      <c r="C640" s="58">
        <v>6</v>
      </c>
      <c r="D640" s="51">
        <v>6.2</v>
      </c>
      <c r="E640" s="51">
        <v>7.5</v>
      </c>
      <c r="F640" s="4" t="s">
        <v>87</v>
      </c>
      <c r="G640" s="4" t="s">
        <v>125</v>
      </c>
      <c r="H640" s="48">
        <f>IF(G640&gt;0,VLOOKUP(G640,Apoio!$O$2:$P$24,2,0),"")</f>
        <v>8</v>
      </c>
      <c r="I640" s="44">
        <f t="shared" si="9"/>
        <v>58.064516129032256</v>
      </c>
      <c r="J640" s="18"/>
    </row>
    <row r="641" spans="1:10" hidden="1" x14ac:dyDescent="0.3">
      <c r="A641" s="4" t="s">
        <v>19</v>
      </c>
      <c r="B641" s="4" t="s">
        <v>186</v>
      </c>
      <c r="C641" s="58">
        <v>6</v>
      </c>
      <c r="D641" s="51">
        <v>6.2</v>
      </c>
      <c r="E641" s="51">
        <v>7.5</v>
      </c>
      <c r="F641" s="4" t="s">
        <v>87</v>
      </c>
      <c r="G641" s="4" t="s">
        <v>128</v>
      </c>
      <c r="H641" s="48">
        <f>IF(G641&gt;0,VLOOKUP(G641,Apoio!$O$2:$P$24,2,0),"")</f>
        <v>8</v>
      </c>
      <c r="I641" s="44">
        <f t="shared" si="9"/>
        <v>58.064516129032256</v>
      </c>
      <c r="J641" s="18"/>
    </row>
    <row r="642" spans="1:10" hidden="1" x14ac:dyDescent="0.3">
      <c r="A642" s="4" t="s">
        <v>19</v>
      </c>
      <c r="B642" s="4" t="s">
        <v>186</v>
      </c>
      <c r="C642" s="58">
        <v>6</v>
      </c>
      <c r="D642" s="51">
        <v>6.2</v>
      </c>
      <c r="E642" s="51">
        <v>7.5</v>
      </c>
      <c r="F642" s="4" t="s">
        <v>87</v>
      </c>
      <c r="G642" s="4" t="s">
        <v>131</v>
      </c>
      <c r="H642" s="48">
        <f>IF(G642&gt;0,VLOOKUP(G642,Apoio!$O$2:$P$24,2,0),"")</f>
        <v>8</v>
      </c>
      <c r="I642" s="44">
        <f t="shared" ref="I642:I705" si="10">IF(D642&gt;0,(((H642*E642)*C642)/D642),"")</f>
        <v>58.064516129032256</v>
      </c>
      <c r="J642" s="18"/>
    </row>
    <row r="643" spans="1:10" hidden="1" x14ac:dyDescent="0.3">
      <c r="A643" s="4" t="s">
        <v>19</v>
      </c>
      <c r="B643" s="4" t="s">
        <v>186</v>
      </c>
      <c r="C643" s="58">
        <v>6</v>
      </c>
      <c r="D643" s="51">
        <v>6.2</v>
      </c>
      <c r="E643" s="51">
        <v>7.5</v>
      </c>
      <c r="F643" s="4" t="s">
        <v>87</v>
      </c>
      <c r="G643" s="4" t="s">
        <v>134</v>
      </c>
      <c r="H643" s="48">
        <f>IF(G643&gt;0,VLOOKUP(G643,Apoio!$O$2:$P$24,2,0),"")</f>
        <v>3</v>
      </c>
      <c r="I643" s="44">
        <f t="shared" si="10"/>
        <v>21.774193548387096</v>
      </c>
      <c r="J643" s="18"/>
    </row>
    <row r="644" spans="1:10" hidden="1" x14ac:dyDescent="0.3">
      <c r="A644" s="4" t="s">
        <v>19</v>
      </c>
      <c r="B644" s="4" t="s">
        <v>184</v>
      </c>
      <c r="C644" s="58">
        <v>6</v>
      </c>
      <c r="D644" s="51">
        <v>5.2</v>
      </c>
      <c r="E644" s="51">
        <v>7.5</v>
      </c>
      <c r="F644" s="4" t="s">
        <v>73</v>
      </c>
      <c r="G644" s="4" t="s">
        <v>72</v>
      </c>
      <c r="H644" s="48">
        <f>IF(G644&gt;0,VLOOKUP(G644,Apoio!$O$2:$P$24,2,0),"")</f>
        <v>8</v>
      </c>
      <c r="I644" s="44">
        <f t="shared" si="10"/>
        <v>69.230769230769226</v>
      </c>
      <c r="J644" s="18"/>
    </row>
    <row r="645" spans="1:10" hidden="1" x14ac:dyDescent="0.3">
      <c r="A645" s="4" t="s">
        <v>19</v>
      </c>
      <c r="B645" s="4" t="s">
        <v>184</v>
      </c>
      <c r="C645" s="58">
        <v>6</v>
      </c>
      <c r="D645" s="51">
        <v>5.2</v>
      </c>
      <c r="E645" s="51">
        <v>7.5</v>
      </c>
      <c r="F645" s="4" t="s">
        <v>73</v>
      </c>
      <c r="G645" s="4" t="s">
        <v>79</v>
      </c>
      <c r="H645" s="48">
        <f>IF(G645&gt;0,VLOOKUP(G645,Apoio!$O$2:$P$24,2,0),"")</f>
        <v>6</v>
      </c>
      <c r="I645" s="44">
        <f t="shared" si="10"/>
        <v>51.92307692307692</v>
      </c>
      <c r="J645" s="18"/>
    </row>
    <row r="646" spans="1:10" hidden="1" x14ac:dyDescent="0.3">
      <c r="A646" s="4" t="s">
        <v>19</v>
      </c>
      <c r="B646" s="4" t="s">
        <v>184</v>
      </c>
      <c r="C646" s="58">
        <v>6</v>
      </c>
      <c r="D646" s="51">
        <v>5.2</v>
      </c>
      <c r="E646" s="51">
        <v>7.5</v>
      </c>
      <c r="F646" s="4" t="s">
        <v>73</v>
      </c>
      <c r="G646" s="4" t="s">
        <v>86</v>
      </c>
      <c r="H646" s="48">
        <f>IF(G646&gt;0,VLOOKUP(G646,Apoio!$O$2:$P$24,2,0),"")</f>
        <v>8</v>
      </c>
      <c r="I646" s="44">
        <f t="shared" si="10"/>
        <v>69.230769230769226</v>
      </c>
      <c r="J646" s="18"/>
    </row>
    <row r="647" spans="1:10" hidden="1" x14ac:dyDescent="0.3">
      <c r="A647" s="4" t="s">
        <v>19</v>
      </c>
      <c r="B647" s="4" t="s">
        <v>184</v>
      </c>
      <c r="C647" s="58">
        <v>6</v>
      </c>
      <c r="D647" s="51">
        <v>5.2</v>
      </c>
      <c r="E647" s="51">
        <v>7.5</v>
      </c>
      <c r="F647" s="4" t="s">
        <v>73</v>
      </c>
      <c r="G647" s="4" t="s">
        <v>93</v>
      </c>
      <c r="H647" s="48">
        <f>IF(G647&gt;0,VLOOKUP(G647,Apoio!$O$2:$P$24,2,0),"")</f>
        <v>8</v>
      </c>
      <c r="I647" s="44">
        <f t="shared" si="10"/>
        <v>69.230769230769226</v>
      </c>
      <c r="J647" s="18"/>
    </row>
    <row r="648" spans="1:10" hidden="1" x14ac:dyDescent="0.3">
      <c r="A648" s="4" t="s">
        <v>19</v>
      </c>
      <c r="B648" s="4" t="s">
        <v>184</v>
      </c>
      <c r="C648" s="58">
        <v>6</v>
      </c>
      <c r="D648" s="51">
        <v>5.2</v>
      </c>
      <c r="E648" s="51">
        <v>7.5</v>
      </c>
      <c r="F648" s="4" t="s">
        <v>73</v>
      </c>
      <c r="G648" s="4" t="s">
        <v>98</v>
      </c>
      <c r="H648" s="48">
        <f>IF(G648&gt;0,VLOOKUP(G648,Apoio!$O$2:$P$24,2,0),"")</f>
        <v>7</v>
      </c>
      <c r="I648" s="44">
        <f t="shared" si="10"/>
        <v>60.576923076923073</v>
      </c>
      <c r="J648" s="18"/>
    </row>
    <row r="649" spans="1:10" hidden="1" x14ac:dyDescent="0.3">
      <c r="A649" s="4" t="s">
        <v>19</v>
      </c>
      <c r="B649" s="4" t="s">
        <v>184</v>
      </c>
      <c r="C649" s="58">
        <v>6</v>
      </c>
      <c r="D649" s="51">
        <v>5.2</v>
      </c>
      <c r="E649" s="51">
        <v>7.5</v>
      </c>
      <c r="F649" s="4" t="s">
        <v>73</v>
      </c>
      <c r="G649" s="4" t="s">
        <v>101</v>
      </c>
      <c r="H649" s="48">
        <f>IF(G649&gt;0,VLOOKUP(G649,Apoio!$O$2:$P$24,2,0),"")</f>
        <v>3</v>
      </c>
      <c r="I649" s="44">
        <f t="shared" si="10"/>
        <v>25.96153846153846</v>
      </c>
      <c r="J649" s="18"/>
    </row>
    <row r="650" spans="1:10" hidden="1" x14ac:dyDescent="0.3">
      <c r="A650" s="4" t="s">
        <v>19</v>
      </c>
      <c r="B650" s="4" t="s">
        <v>184</v>
      </c>
      <c r="C650" s="58">
        <v>6</v>
      </c>
      <c r="D650" s="51">
        <v>5.2</v>
      </c>
      <c r="E650" s="51">
        <v>7.5</v>
      </c>
      <c r="F650" s="4" t="s">
        <v>80</v>
      </c>
      <c r="G650" s="4" t="s">
        <v>104</v>
      </c>
      <c r="H650" s="48">
        <f>IF(G650&gt;0,VLOOKUP(G650,Apoio!$O$2:$P$24,2,0),"")</f>
        <v>8</v>
      </c>
      <c r="I650" s="44">
        <f t="shared" si="10"/>
        <v>69.230769230769226</v>
      </c>
      <c r="J650" s="18"/>
    </row>
    <row r="651" spans="1:10" hidden="1" x14ac:dyDescent="0.3">
      <c r="A651" s="4" t="s">
        <v>19</v>
      </c>
      <c r="B651" s="4" t="s">
        <v>184</v>
      </c>
      <c r="C651" s="58">
        <v>6</v>
      </c>
      <c r="D651" s="51">
        <v>5.2</v>
      </c>
      <c r="E651" s="51">
        <v>7.5</v>
      </c>
      <c r="F651" s="4" t="s">
        <v>80</v>
      </c>
      <c r="G651" s="4" t="s">
        <v>107</v>
      </c>
      <c r="H651" s="48">
        <f>IF(G651&gt;0,VLOOKUP(G651,Apoio!$O$2:$P$24,2,0),"")</f>
        <v>7</v>
      </c>
      <c r="I651" s="44">
        <f t="shared" si="10"/>
        <v>60.576923076923073</v>
      </c>
      <c r="J651" s="18"/>
    </row>
    <row r="652" spans="1:10" hidden="1" x14ac:dyDescent="0.3">
      <c r="A652" s="4" t="s">
        <v>19</v>
      </c>
      <c r="B652" s="4" t="s">
        <v>184</v>
      </c>
      <c r="C652" s="58">
        <v>6</v>
      </c>
      <c r="D652" s="51">
        <v>5.2</v>
      </c>
      <c r="E652" s="51">
        <v>7.5</v>
      </c>
      <c r="F652" s="4" t="s">
        <v>80</v>
      </c>
      <c r="G652" s="4" t="s">
        <v>110</v>
      </c>
      <c r="H652" s="48">
        <f>IF(G652&gt;0,VLOOKUP(G652,Apoio!$O$2:$P$24,2,0),"")</f>
        <v>8</v>
      </c>
      <c r="I652" s="44">
        <f t="shared" si="10"/>
        <v>69.230769230769226</v>
      </c>
      <c r="J652" s="18"/>
    </row>
    <row r="653" spans="1:10" hidden="1" x14ac:dyDescent="0.3">
      <c r="A653" s="4" t="s">
        <v>19</v>
      </c>
      <c r="B653" s="4" t="s">
        <v>184</v>
      </c>
      <c r="C653" s="58">
        <v>6</v>
      </c>
      <c r="D653" s="51">
        <v>5.2</v>
      </c>
      <c r="E653" s="51">
        <v>7.5</v>
      </c>
      <c r="F653" s="4" t="s">
        <v>80</v>
      </c>
      <c r="G653" s="4" t="s">
        <v>113</v>
      </c>
      <c r="H653" s="48">
        <f>IF(G653&gt;0,VLOOKUP(G653,Apoio!$O$2:$P$24,2,0),"")</f>
        <v>7</v>
      </c>
      <c r="I653" s="44">
        <f t="shared" si="10"/>
        <v>60.576923076923073</v>
      </c>
      <c r="J653" s="18"/>
    </row>
    <row r="654" spans="1:10" hidden="1" x14ac:dyDescent="0.3">
      <c r="A654" s="4" t="s">
        <v>19</v>
      </c>
      <c r="B654" s="4" t="s">
        <v>184</v>
      </c>
      <c r="C654" s="58">
        <v>6</v>
      </c>
      <c r="D654" s="51">
        <v>5.2</v>
      </c>
      <c r="E654" s="51">
        <v>7.5</v>
      </c>
      <c r="F654" s="4" t="s">
        <v>80</v>
      </c>
      <c r="G654" s="4" t="s">
        <v>116</v>
      </c>
      <c r="H654" s="48">
        <f>IF(G654&gt;0,VLOOKUP(G654,Apoio!$O$2:$P$24,2,0),"")</f>
        <v>4</v>
      </c>
      <c r="I654" s="44">
        <f t="shared" si="10"/>
        <v>34.615384615384613</v>
      </c>
      <c r="J654" s="18"/>
    </row>
    <row r="655" spans="1:10" hidden="1" x14ac:dyDescent="0.3">
      <c r="A655" s="4" t="s">
        <v>19</v>
      </c>
      <c r="B655" s="4" t="s">
        <v>184</v>
      </c>
      <c r="C655" s="58">
        <v>6</v>
      </c>
      <c r="D655" s="51">
        <v>5.2</v>
      </c>
      <c r="E655" s="51">
        <v>7.5</v>
      </c>
      <c r="F655" s="4" t="s">
        <v>87</v>
      </c>
      <c r="G655" s="4" t="s">
        <v>119</v>
      </c>
      <c r="H655" s="48">
        <f>IF(G655&gt;0,VLOOKUP(G655,Apoio!$O$2:$P$24,2,0),"")</f>
        <v>12</v>
      </c>
      <c r="I655" s="44">
        <f t="shared" si="10"/>
        <v>103.84615384615384</v>
      </c>
      <c r="J655" s="18"/>
    </row>
    <row r="656" spans="1:10" hidden="1" x14ac:dyDescent="0.3">
      <c r="A656" s="4" t="s">
        <v>19</v>
      </c>
      <c r="B656" s="4" t="s">
        <v>184</v>
      </c>
      <c r="C656" s="58">
        <v>6</v>
      </c>
      <c r="D656" s="51">
        <v>5.2</v>
      </c>
      <c r="E656" s="51">
        <v>7.5</v>
      </c>
      <c r="F656" s="4" t="s">
        <v>87</v>
      </c>
      <c r="G656" s="4" t="s">
        <v>122</v>
      </c>
      <c r="H656" s="48">
        <f>IF(G656&gt;0,VLOOKUP(G656,Apoio!$O$2:$P$24,2,0),"")</f>
        <v>8</v>
      </c>
      <c r="I656" s="44">
        <f t="shared" si="10"/>
        <v>69.230769230769226</v>
      </c>
      <c r="J656" s="18"/>
    </row>
    <row r="657" spans="1:10" hidden="1" x14ac:dyDescent="0.3">
      <c r="A657" s="4" t="s">
        <v>19</v>
      </c>
      <c r="B657" s="4" t="s">
        <v>184</v>
      </c>
      <c r="C657" s="58">
        <v>6</v>
      </c>
      <c r="D657" s="51">
        <v>5.2</v>
      </c>
      <c r="E657" s="51">
        <v>7.5</v>
      </c>
      <c r="F657" s="4" t="s">
        <v>87</v>
      </c>
      <c r="G657" s="4" t="s">
        <v>125</v>
      </c>
      <c r="H657" s="48">
        <f>IF(G657&gt;0,VLOOKUP(G657,Apoio!$O$2:$P$24,2,0),"")</f>
        <v>8</v>
      </c>
      <c r="I657" s="44">
        <f t="shared" si="10"/>
        <v>69.230769230769226</v>
      </c>
      <c r="J657" s="18"/>
    </row>
    <row r="658" spans="1:10" hidden="1" x14ac:dyDescent="0.3">
      <c r="A658" s="4" t="s">
        <v>19</v>
      </c>
      <c r="B658" s="4" t="s">
        <v>184</v>
      </c>
      <c r="C658" s="58">
        <v>6</v>
      </c>
      <c r="D658" s="51">
        <v>5.2</v>
      </c>
      <c r="E658" s="51">
        <v>7.5</v>
      </c>
      <c r="F658" s="4" t="s">
        <v>87</v>
      </c>
      <c r="G658" s="4" t="s">
        <v>128</v>
      </c>
      <c r="H658" s="48">
        <f>IF(G658&gt;0,VLOOKUP(G658,Apoio!$O$2:$P$24,2,0),"")</f>
        <v>8</v>
      </c>
      <c r="I658" s="44">
        <f t="shared" si="10"/>
        <v>69.230769230769226</v>
      </c>
      <c r="J658" s="18"/>
    </row>
    <row r="659" spans="1:10" hidden="1" x14ac:dyDescent="0.3">
      <c r="A659" s="4" t="s">
        <v>19</v>
      </c>
      <c r="B659" s="4" t="s">
        <v>184</v>
      </c>
      <c r="C659" s="58">
        <v>6</v>
      </c>
      <c r="D659" s="51">
        <v>5.2</v>
      </c>
      <c r="E659" s="51">
        <v>7.5</v>
      </c>
      <c r="F659" s="4" t="s">
        <v>87</v>
      </c>
      <c r="G659" s="4" t="s">
        <v>131</v>
      </c>
      <c r="H659" s="48">
        <f>IF(G659&gt;0,VLOOKUP(G659,Apoio!$O$2:$P$24,2,0),"")</f>
        <v>8</v>
      </c>
      <c r="I659" s="44">
        <f t="shared" si="10"/>
        <v>69.230769230769226</v>
      </c>
      <c r="J659" s="18"/>
    </row>
    <row r="660" spans="1:10" hidden="1" x14ac:dyDescent="0.3">
      <c r="A660" s="4" t="s">
        <v>19</v>
      </c>
      <c r="B660" s="4" t="s">
        <v>184</v>
      </c>
      <c r="C660" s="58">
        <v>6</v>
      </c>
      <c r="D660" s="51">
        <v>5.2</v>
      </c>
      <c r="E660" s="51">
        <v>7.5</v>
      </c>
      <c r="F660" s="4" t="s">
        <v>87</v>
      </c>
      <c r="G660" s="4" t="s">
        <v>134</v>
      </c>
      <c r="H660" s="48">
        <f>IF(G660&gt;0,VLOOKUP(G660,Apoio!$O$2:$P$24,2,0),"")</f>
        <v>3</v>
      </c>
      <c r="I660" s="44">
        <f t="shared" si="10"/>
        <v>25.96153846153846</v>
      </c>
      <c r="J660" s="18"/>
    </row>
    <row r="661" spans="1:10" hidden="1" x14ac:dyDescent="0.3">
      <c r="A661" s="58" t="s">
        <v>213</v>
      </c>
      <c r="B661" s="4" t="s">
        <v>202</v>
      </c>
      <c r="C661" s="58">
        <v>9</v>
      </c>
      <c r="D661" s="56">
        <v>6.1</v>
      </c>
      <c r="E661" s="51">
        <v>7.5</v>
      </c>
      <c r="F661" s="4" t="s">
        <v>73</v>
      </c>
      <c r="G661" s="4" t="s">
        <v>72</v>
      </c>
      <c r="H661" s="48">
        <f>IF(G661&gt;0,VLOOKUP(G661,Apoio!$O$2:$P$24,2,0),"")</f>
        <v>8</v>
      </c>
      <c r="I661" s="44">
        <f t="shared" si="10"/>
        <v>88.524590163934434</v>
      </c>
      <c r="J661" s="18"/>
    </row>
    <row r="662" spans="1:10" hidden="1" x14ac:dyDescent="0.3">
      <c r="A662" s="58" t="s">
        <v>213</v>
      </c>
      <c r="B662" s="4" t="s">
        <v>202</v>
      </c>
      <c r="C662" s="58">
        <v>9</v>
      </c>
      <c r="D662" s="56">
        <v>6.1</v>
      </c>
      <c r="E662" s="51">
        <v>7.5</v>
      </c>
      <c r="F662" s="4" t="s">
        <v>73</v>
      </c>
      <c r="G662" s="4" t="s">
        <v>79</v>
      </c>
      <c r="H662" s="48">
        <f>IF(G662&gt;0,VLOOKUP(G662,Apoio!$O$2:$P$24,2,0),"")</f>
        <v>6</v>
      </c>
      <c r="I662" s="44">
        <f t="shared" si="10"/>
        <v>66.393442622950829</v>
      </c>
      <c r="J662" s="18"/>
    </row>
    <row r="663" spans="1:10" hidden="1" x14ac:dyDescent="0.3">
      <c r="A663" s="58" t="s">
        <v>213</v>
      </c>
      <c r="B663" s="4" t="s">
        <v>202</v>
      </c>
      <c r="C663" s="58">
        <v>9</v>
      </c>
      <c r="D663" s="56">
        <v>6.1</v>
      </c>
      <c r="E663" s="51">
        <v>7.5</v>
      </c>
      <c r="F663" s="4" t="s">
        <v>73</v>
      </c>
      <c r="G663" s="4" t="s">
        <v>86</v>
      </c>
      <c r="H663" s="48">
        <f>IF(G663&gt;0,VLOOKUP(G663,Apoio!$O$2:$P$24,2,0),"")</f>
        <v>8</v>
      </c>
      <c r="I663" s="44">
        <f t="shared" si="10"/>
        <v>88.524590163934434</v>
      </c>
      <c r="J663" s="18"/>
    </row>
    <row r="664" spans="1:10" hidden="1" x14ac:dyDescent="0.3">
      <c r="A664" s="58" t="s">
        <v>213</v>
      </c>
      <c r="B664" s="4" t="s">
        <v>202</v>
      </c>
      <c r="C664" s="58">
        <v>9</v>
      </c>
      <c r="D664" s="56">
        <v>6.1</v>
      </c>
      <c r="E664" s="51">
        <v>7.5</v>
      </c>
      <c r="F664" s="4" t="s">
        <v>73</v>
      </c>
      <c r="G664" s="4" t="s">
        <v>93</v>
      </c>
      <c r="H664" s="48">
        <f>IF(G664&gt;0,VLOOKUP(G664,Apoio!$O$2:$P$24,2,0),"")</f>
        <v>8</v>
      </c>
      <c r="I664" s="44">
        <f t="shared" si="10"/>
        <v>88.524590163934434</v>
      </c>
      <c r="J664" s="18"/>
    </row>
    <row r="665" spans="1:10" hidden="1" x14ac:dyDescent="0.3">
      <c r="A665" s="58" t="s">
        <v>213</v>
      </c>
      <c r="B665" s="4" t="s">
        <v>202</v>
      </c>
      <c r="C665" s="58">
        <v>9</v>
      </c>
      <c r="D665" s="56">
        <v>6.1</v>
      </c>
      <c r="E665" s="51">
        <v>7.5</v>
      </c>
      <c r="F665" s="4" t="s">
        <v>73</v>
      </c>
      <c r="G665" s="4" t="s">
        <v>98</v>
      </c>
      <c r="H665" s="48">
        <f>IF(G665&gt;0,VLOOKUP(G665,Apoio!$O$2:$P$24,2,0),"")</f>
        <v>7</v>
      </c>
      <c r="I665" s="44">
        <f t="shared" si="10"/>
        <v>77.459016393442624</v>
      </c>
      <c r="J665" s="18"/>
    </row>
    <row r="666" spans="1:10" hidden="1" x14ac:dyDescent="0.3">
      <c r="A666" s="58" t="s">
        <v>213</v>
      </c>
      <c r="B666" s="4" t="s">
        <v>202</v>
      </c>
      <c r="C666" s="58">
        <v>6</v>
      </c>
      <c r="D666" s="56">
        <v>6.1</v>
      </c>
      <c r="E666" s="51">
        <v>7.5</v>
      </c>
      <c r="F666" s="4" t="s">
        <v>73</v>
      </c>
      <c r="G666" s="4" t="s">
        <v>101</v>
      </c>
      <c r="H666" s="48">
        <f>IF(G666&gt;0,VLOOKUP(G666,Apoio!$O$2:$P$24,2,0),"")</f>
        <v>3</v>
      </c>
      <c r="I666" s="44">
        <f t="shared" si="10"/>
        <v>22.131147540983608</v>
      </c>
      <c r="J666" s="18"/>
    </row>
    <row r="667" spans="1:10" hidden="1" x14ac:dyDescent="0.3">
      <c r="A667" s="58" t="s">
        <v>213</v>
      </c>
      <c r="B667" s="4" t="s">
        <v>202</v>
      </c>
      <c r="C667" s="58">
        <v>9</v>
      </c>
      <c r="D667" s="56">
        <v>7</v>
      </c>
      <c r="E667" s="51">
        <v>7.5</v>
      </c>
      <c r="F667" s="4" t="s">
        <v>80</v>
      </c>
      <c r="G667" s="4" t="s">
        <v>104</v>
      </c>
      <c r="H667" s="48">
        <f>IF(G667&gt;0,VLOOKUP(G667,Apoio!$O$2:$P$24,2,0),"")</f>
        <v>8</v>
      </c>
      <c r="I667" s="44">
        <f t="shared" si="10"/>
        <v>77.142857142857139</v>
      </c>
      <c r="J667" s="18"/>
    </row>
    <row r="668" spans="1:10" hidden="1" x14ac:dyDescent="0.3">
      <c r="A668" s="58" t="s">
        <v>213</v>
      </c>
      <c r="B668" s="4" t="s">
        <v>202</v>
      </c>
      <c r="C668" s="58">
        <v>9</v>
      </c>
      <c r="D668" s="56">
        <v>7</v>
      </c>
      <c r="E668" s="51">
        <v>7.5</v>
      </c>
      <c r="F668" s="4" t="s">
        <v>80</v>
      </c>
      <c r="G668" s="4" t="s">
        <v>107</v>
      </c>
      <c r="H668" s="48">
        <f>IF(G668&gt;0,VLOOKUP(G668,Apoio!$O$2:$P$24,2,0),"")</f>
        <v>7</v>
      </c>
      <c r="I668" s="44">
        <f t="shared" si="10"/>
        <v>67.5</v>
      </c>
      <c r="J668" s="18"/>
    </row>
    <row r="669" spans="1:10" hidden="1" x14ac:dyDescent="0.3">
      <c r="A669" s="58" t="s">
        <v>213</v>
      </c>
      <c r="B669" s="4" t="s">
        <v>202</v>
      </c>
      <c r="C669" s="58">
        <v>9</v>
      </c>
      <c r="D669" s="56">
        <v>7</v>
      </c>
      <c r="E669" s="51">
        <v>7.5</v>
      </c>
      <c r="F669" s="4" t="s">
        <v>80</v>
      </c>
      <c r="G669" s="4" t="s">
        <v>110</v>
      </c>
      <c r="H669" s="48">
        <f>IF(G669&gt;0,VLOOKUP(G669,Apoio!$O$2:$P$24,2,0),"")</f>
        <v>8</v>
      </c>
      <c r="I669" s="44">
        <f t="shared" si="10"/>
        <v>77.142857142857139</v>
      </c>
      <c r="J669" s="18"/>
    </row>
    <row r="670" spans="1:10" hidden="1" x14ac:dyDescent="0.3">
      <c r="A670" s="58" t="s">
        <v>213</v>
      </c>
      <c r="B670" s="4" t="s">
        <v>202</v>
      </c>
      <c r="C670" s="58">
        <v>9</v>
      </c>
      <c r="D670" s="56">
        <v>7</v>
      </c>
      <c r="E670" s="51">
        <v>7.5</v>
      </c>
      <c r="F670" s="4" t="s">
        <v>80</v>
      </c>
      <c r="G670" s="4" t="s">
        <v>113</v>
      </c>
      <c r="H670" s="48">
        <f>IF(G670&gt;0,VLOOKUP(G670,Apoio!$O$2:$P$24,2,0),"")</f>
        <v>7</v>
      </c>
      <c r="I670" s="44">
        <f t="shared" si="10"/>
        <v>67.5</v>
      </c>
      <c r="J670" s="18"/>
    </row>
    <row r="671" spans="1:10" hidden="1" x14ac:dyDescent="0.3">
      <c r="A671" s="58" t="s">
        <v>213</v>
      </c>
      <c r="B671" s="4" t="s">
        <v>202</v>
      </c>
      <c r="C671" s="58">
        <v>9</v>
      </c>
      <c r="D671" s="56">
        <v>7</v>
      </c>
      <c r="E671" s="51">
        <v>7.5</v>
      </c>
      <c r="F671" s="4" t="s">
        <v>80</v>
      </c>
      <c r="G671" s="4" t="s">
        <v>116</v>
      </c>
      <c r="H671" s="48">
        <f>IF(G671&gt;0,VLOOKUP(G671,Apoio!$O$2:$P$24,2,0),"")</f>
        <v>4</v>
      </c>
      <c r="I671" s="44">
        <f t="shared" si="10"/>
        <v>38.571428571428569</v>
      </c>
      <c r="J671" s="18"/>
    </row>
    <row r="672" spans="1:10" hidden="1" x14ac:dyDescent="0.3">
      <c r="A672" s="58" t="s">
        <v>213</v>
      </c>
      <c r="B672" s="4" t="s">
        <v>202</v>
      </c>
      <c r="C672" s="58">
        <v>5.5</v>
      </c>
      <c r="D672" s="56">
        <v>6.6</v>
      </c>
      <c r="E672" s="51">
        <v>7.5</v>
      </c>
      <c r="F672" s="4" t="s">
        <v>87</v>
      </c>
      <c r="G672" s="4" t="s">
        <v>119</v>
      </c>
      <c r="H672" s="48">
        <f>IF(G672&gt;0,VLOOKUP(G672,Apoio!$O$2:$P$24,2,0),"")</f>
        <v>12</v>
      </c>
      <c r="I672" s="44">
        <f t="shared" si="10"/>
        <v>75</v>
      </c>
      <c r="J672" s="18"/>
    </row>
    <row r="673" spans="1:10" hidden="1" x14ac:dyDescent="0.3">
      <c r="A673" s="58" t="s">
        <v>213</v>
      </c>
      <c r="B673" s="4" t="s">
        <v>202</v>
      </c>
      <c r="C673" s="58">
        <v>6</v>
      </c>
      <c r="D673" s="56">
        <v>6.6</v>
      </c>
      <c r="E673" s="51">
        <v>7.5</v>
      </c>
      <c r="F673" s="4" t="s">
        <v>87</v>
      </c>
      <c r="G673" s="4" t="s">
        <v>122</v>
      </c>
      <c r="H673" s="48">
        <f>IF(G673&gt;0,VLOOKUP(G673,Apoio!$O$2:$P$24,2,0),"")</f>
        <v>8</v>
      </c>
      <c r="I673" s="44">
        <f t="shared" si="10"/>
        <v>54.545454545454547</v>
      </c>
      <c r="J673" s="18"/>
    </row>
    <row r="674" spans="1:10" hidden="1" x14ac:dyDescent="0.3">
      <c r="A674" s="58" t="s">
        <v>213</v>
      </c>
      <c r="B674" s="4" t="s">
        <v>202</v>
      </c>
      <c r="C674" s="58">
        <v>6</v>
      </c>
      <c r="D674" s="56">
        <v>6.6</v>
      </c>
      <c r="E674" s="51">
        <v>7.5</v>
      </c>
      <c r="F674" s="4" t="s">
        <v>87</v>
      </c>
      <c r="G674" s="4" t="s">
        <v>125</v>
      </c>
      <c r="H674" s="48">
        <f>IF(G674&gt;0,VLOOKUP(G674,Apoio!$O$2:$P$24,2,0),"")</f>
        <v>8</v>
      </c>
      <c r="I674" s="44">
        <f t="shared" si="10"/>
        <v>54.545454545454547</v>
      </c>
      <c r="J674" s="18"/>
    </row>
    <row r="675" spans="1:10" hidden="1" x14ac:dyDescent="0.3">
      <c r="A675" s="58" t="s">
        <v>213</v>
      </c>
      <c r="B675" s="4" t="s">
        <v>202</v>
      </c>
      <c r="C675" s="58">
        <v>6</v>
      </c>
      <c r="D675" s="56">
        <v>6.6</v>
      </c>
      <c r="E675" s="51">
        <v>7.5</v>
      </c>
      <c r="F675" s="4" t="s">
        <v>87</v>
      </c>
      <c r="G675" s="4" t="s">
        <v>128</v>
      </c>
      <c r="H675" s="48">
        <f>IF(G675&gt;0,VLOOKUP(G675,Apoio!$O$2:$P$24,2,0),"")</f>
        <v>8</v>
      </c>
      <c r="I675" s="44">
        <f t="shared" si="10"/>
        <v>54.545454545454547</v>
      </c>
      <c r="J675" s="18"/>
    </row>
    <row r="676" spans="1:10" hidden="1" x14ac:dyDescent="0.3">
      <c r="A676" s="58" t="s">
        <v>213</v>
      </c>
      <c r="B676" s="4" t="s">
        <v>202</v>
      </c>
      <c r="C676" s="58">
        <v>6</v>
      </c>
      <c r="D676" s="56">
        <v>6.6</v>
      </c>
      <c r="E676" s="51">
        <v>7.5</v>
      </c>
      <c r="F676" s="4" t="s">
        <v>87</v>
      </c>
      <c r="G676" s="4" t="s">
        <v>131</v>
      </c>
      <c r="H676" s="48">
        <f>IF(G676&gt;0,VLOOKUP(G676,Apoio!$O$2:$P$24,2,0),"")</f>
        <v>8</v>
      </c>
      <c r="I676" s="44">
        <f t="shared" si="10"/>
        <v>54.545454545454547</v>
      </c>
      <c r="J676" s="18"/>
    </row>
    <row r="677" spans="1:10" hidden="1" x14ac:dyDescent="0.3">
      <c r="A677" s="58" t="s">
        <v>213</v>
      </c>
      <c r="B677" s="4" t="s">
        <v>202</v>
      </c>
      <c r="C677" s="58">
        <v>5</v>
      </c>
      <c r="D677" s="56">
        <v>6.6</v>
      </c>
      <c r="E677" s="51">
        <v>7.5</v>
      </c>
      <c r="F677" s="4" t="s">
        <v>87</v>
      </c>
      <c r="G677" s="4" t="s">
        <v>134</v>
      </c>
      <c r="H677" s="48">
        <f>IF(G677&gt;0,VLOOKUP(G677,Apoio!$O$2:$P$24,2,0),"")</f>
        <v>3</v>
      </c>
      <c r="I677" s="44">
        <f t="shared" si="10"/>
        <v>17.045454545454547</v>
      </c>
      <c r="J677" s="18"/>
    </row>
    <row r="678" spans="1:10" hidden="1" x14ac:dyDescent="0.3">
      <c r="A678" s="58" t="s">
        <v>213</v>
      </c>
      <c r="B678" s="4" t="s">
        <v>202</v>
      </c>
      <c r="C678" s="58">
        <v>2</v>
      </c>
      <c r="D678" s="56">
        <v>5.2</v>
      </c>
      <c r="E678" s="51">
        <v>7.5</v>
      </c>
      <c r="F678" s="4" t="s">
        <v>94</v>
      </c>
      <c r="G678" s="4" t="s">
        <v>137</v>
      </c>
      <c r="H678" s="48">
        <f>IF(G678&gt;0,VLOOKUP(G678,Apoio!$O$2:$P$24,2,0),"")</f>
        <v>13</v>
      </c>
      <c r="I678" s="44">
        <f t="shared" si="10"/>
        <v>37.5</v>
      </c>
      <c r="J678" s="18"/>
    </row>
    <row r="679" spans="1:10" hidden="1" x14ac:dyDescent="0.3">
      <c r="A679" s="58" t="s">
        <v>213</v>
      </c>
      <c r="B679" s="4" t="s">
        <v>202</v>
      </c>
      <c r="C679" s="58">
        <v>2.5</v>
      </c>
      <c r="D679" s="56">
        <v>5.2</v>
      </c>
      <c r="E679" s="51">
        <v>7.5</v>
      </c>
      <c r="F679" s="4" t="s">
        <v>94</v>
      </c>
      <c r="G679" s="4" t="s">
        <v>140</v>
      </c>
      <c r="H679" s="48">
        <f>IF(G679&gt;0,VLOOKUP(G679,Apoio!$O$2:$P$24,2,0),"")</f>
        <v>8</v>
      </c>
      <c r="I679" s="44">
        <f t="shared" si="10"/>
        <v>28.846153846153847</v>
      </c>
      <c r="J679" s="18"/>
    </row>
    <row r="680" spans="1:10" hidden="1" x14ac:dyDescent="0.3">
      <c r="A680" s="58" t="s">
        <v>213</v>
      </c>
      <c r="B680" s="4" t="s">
        <v>202</v>
      </c>
      <c r="C680" s="58">
        <v>1</v>
      </c>
      <c r="D680" s="56">
        <v>5.2</v>
      </c>
      <c r="E680" s="51">
        <v>7.5</v>
      </c>
      <c r="F680" s="4" t="s">
        <v>94</v>
      </c>
      <c r="G680" s="4" t="s">
        <v>143</v>
      </c>
      <c r="H680" s="48">
        <f>IF(G680&gt;0,VLOOKUP(G680,Apoio!$O$2:$P$24,2,0),"")</f>
        <v>8</v>
      </c>
      <c r="I680" s="44">
        <f t="shared" si="10"/>
        <v>11.538461538461538</v>
      </c>
      <c r="J680" s="18"/>
    </row>
    <row r="681" spans="1:10" hidden="1" x14ac:dyDescent="0.3">
      <c r="A681" s="58" t="s">
        <v>213</v>
      </c>
      <c r="B681" s="4" t="s">
        <v>202</v>
      </c>
      <c r="C681" s="58">
        <v>1</v>
      </c>
      <c r="D681" s="56">
        <v>5.2</v>
      </c>
      <c r="E681" s="51">
        <v>7.5</v>
      </c>
      <c r="F681" s="4" t="s">
        <v>94</v>
      </c>
      <c r="G681" s="4" t="s">
        <v>146</v>
      </c>
      <c r="H681" s="48">
        <f>IF(G681&gt;0,VLOOKUP(G681,Apoio!$O$2:$P$24,2,0),"")</f>
        <v>6</v>
      </c>
      <c r="I681" s="44">
        <f t="shared" si="10"/>
        <v>8.6538461538461533</v>
      </c>
      <c r="J681" s="18"/>
    </row>
    <row r="682" spans="1:10" hidden="1" x14ac:dyDescent="0.3">
      <c r="A682" s="58" t="s">
        <v>213</v>
      </c>
      <c r="B682" s="4" t="s">
        <v>202</v>
      </c>
      <c r="C682" s="58">
        <v>2</v>
      </c>
      <c r="D682" s="56">
        <v>5.2</v>
      </c>
      <c r="E682" s="51">
        <v>7.5</v>
      </c>
      <c r="F682" s="4" t="s">
        <v>94</v>
      </c>
      <c r="G682" s="4" t="s">
        <v>149</v>
      </c>
      <c r="H682" s="48">
        <f>IF(G682&gt;0,VLOOKUP(G682,Apoio!$O$2:$P$24,2,0),"")</f>
        <v>8</v>
      </c>
      <c r="I682" s="44">
        <f t="shared" si="10"/>
        <v>23.076923076923077</v>
      </c>
      <c r="J682" s="18"/>
    </row>
    <row r="683" spans="1:10" hidden="1" x14ac:dyDescent="0.3">
      <c r="A683" s="58" t="s">
        <v>213</v>
      </c>
      <c r="B683" s="4" t="s">
        <v>202</v>
      </c>
      <c r="C683" s="58">
        <v>2</v>
      </c>
      <c r="D683" s="56">
        <v>5.2</v>
      </c>
      <c r="E683" s="51">
        <v>7.5</v>
      </c>
      <c r="F683" s="4" t="s">
        <v>94</v>
      </c>
      <c r="G683" s="4" t="s">
        <v>152</v>
      </c>
      <c r="H683" s="48">
        <f>IF(G683&gt;0,VLOOKUP(G683,Apoio!$O$2:$P$24,2,0),"")</f>
        <v>8</v>
      </c>
      <c r="I683" s="44">
        <f t="shared" si="10"/>
        <v>23.076923076923077</v>
      </c>
      <c r="J683" s="18"/>
    </row>
    <row r="684" spans="1:10" hidden="1" x14ac:dyDescent="0.3">
      <c r="A684" s="58" t="s">
        <v>213</v>
      </c>
      <c r="B684" s="58" t="s">
        <v>33</v>
      </c>
      <c r="C684" s="58">
        <v>4.5</v>
      </c>
      <c r="D684" s="58">
        <v>9</v>
      </c>
      <c r="E684" s="58">
        <v>7.5</v>
      </c>
      <c r="F684" s="58" t="s">
        <v>73</v>
      </c>
      <c r="G684" s="58" t="s">
        <v>72</v>
      </c>
      <c r="H684" s="48">
        <v>7</v>
      </c>
      <c r="I684" s="44">
        <f t="shared" si="10"/>
        <v>26.25</v>
      </c>
      <c r="J684" s="18"/>
    </row>
    <row r="685" spans="1:10" hidden="1" x14ac:dyDescent="0.3">
      <c r="A685" s="58" t="s">
        <v>213</v>
      </c>
      <c r="B685" s="58" t="s">
        <v>33</v>
      </c>
      <c r="C685" s="58">
        <v>4</v>
      </c>
      <c r="D685" s="58">
        <v>9</v>
      </c>
      <c r="E685" s="58">
        <v>7.5</v>
      </c>
      <c r="F685" s="58" t="s">
        <v>73</v>
      </c>
      <c r="G685" s="58" t="s">
        <v>79</v>
      </c>
      <c r="H685" s="48">
        <f>IF(G685&gt;0,VLOOKUP(G685,Apoio!$O$2:$P$24,2,0),"")</f>
        <v>6</v>
      </c>
      <c r="I685" s="44">
        <f t="shared" si="10"/>
        <v>20</v>
      </c>
      <c r="J685" s="18"/>
    </row>
    <row r="686" spans="1:10" hidden="1" x14ac:dyDescent="0.3">
      <c r="A686" s="58" t="s">
        <v>213</v>
      </c>
      <c r="B686" s="58" t="s">
        <v>33</v>
      </c>
      <c r="C686" s="58">
        <v>4.5</v>
      </c>
      <c r="D686" s="58">
        <v>9</v>
      </c>
      <c r="E686" s="58">
        <v>7.5</v>
      </c>
      <c r="F686" s="58" t="s">
        <v>73</v>
      </c>
      <c r="G686" s="58" t="s">
        <v>86</v>
      </c>
      <c r="H686" s="48">
        <f>IF(G686&gt;0,VLOOKUP(G686,Apoio!$O$2:$P$24,2,0),"")</f>
        <v>8</v>
      </c>
      <c r="I686" s="44">
        <f t="shared" si="10"/>
        <v>30</v>
      </c>
      <c r="J686" s="18"/>
    </row>
    <row r="687" spans="1:10" hidden="1" x14ac:dyDescent="0.3">
      <c r="A687" s="58" t="s">
        <v>213</v>
      </c>
      <c r="B687" s="58" t="s">
        <v>33</v>
      </c>
      <c r="C687" s="58">
        <v>4.5</v>
      </c>
      <c r="D687" s="58">
        <v>9</v>
      </c>
      <c r="E687" s="58">
        <v>7.5</v>
      </c>
      <c r="F687" s="58" t="s">
        <v>73</v>
      </c>
      <c r="G687" s="58" t="s">
        <v>93</v>
      </c>
      <c r="H687" s="48">
        <f>IF(G687&gt;0,VLOOKUP(G687,Apoio!$O$2:$P$24,2,0),"")</f>
        <v>8</v>
      </c>
      <c r="I687" s="44">
        <f t="shared" si="10"/>
        <v>30</v>
      </c>
      <c r="J687" s="18"/>
    </row>
    <row r="688" spans="1:10" hidden="1" x14ac:dyDescent="0.3">
      <c r="A688" s="58" t="s">
        <v>213</v>
      </c>
      <c r="B688" s="58" t="s">
        <v>33</v>
      </c>
      <c r="C688" s="58">
        <v>5</v>
      </c>
      <c r="D688" s="58">
        <v>9</v>
      </c>
      <c r="E688" s="58">
        <v>7.5</v>
      </c>
      <c r="F688" s="58" t="s">
        <v>73</v>
      </c>
      <c r="G688" s="58" t="s">
        <v>98</v>
      </c>
      <c r="H688" s="48">
        <f>IF(G688&gt;0,VLOOKUP(G688,Apoio!$O$2:$P$24,2,0),"")</f>
        <v>7</v>
      </c>
      <c r="I688" s="44">
        <f t="shared" si="10"/>
        <v>29.166666666666668</v>
      </c>
      <c r="J688" s="18"/>
    </row>
    <row r="689" spans="1:10" hidden="1" x14ac:dyDescent="0.3">
      <c r="A689" s="58" t="s">
        <v>213</v>
      </c>
      <c r="B689" s="58" t="s">
        <v>33</v>
      </c>
      <c r="C689" s="58">
        <v>5</v>
      </c>
      <c r="D689" s="58">
        <v>9</v>
      </c>
      <c r="E689" s="58">
        <v>7.5</v>
      </c>
      <c r="F689" s="58" t="s">
        <v>73</v>
      </c>
      <c r="G689" s="58" t="s">
        <v>101</v>
      </c>
      <c r="H689" s="48">
        <f>IF(G689&gt;0,VLOOKUP(G689,Apoio!$O$2:$P$24,2,0),"")</f>
        <v>3</v>
      </c>
      <c r="I689" s="44">
        <f t="shared" si="10"/>
        <v>12.5</v>
      </c>
      <c r="J689" s="18"/>
    </row>
    <row r="690" spans="1:10" hidden="1" x14ac:dyDescent="0.3">
      <c r="A690" s="58" t="s">
        <v>213</v>
      </c>
      <c r="B690" s="58" t="s">
        <v>33</v>
      </c>
      <c r="C690" s="58">
        <v>5</v>
      </c>
      <c r="D690" s="58">
        <v>5</v>
      </c>
      <c r="E690" s="58">
        <v>7.5</v>
      </c>
      <c r="F690" s="58" t="s">
        <v>80</v>
      </c>
      <c r="G690" s="58" t="s">
        <v>104</v>
      </c>
      <c r="H690" s="48">
        <f>IF(G690&gt;0,VLOOKUP(G690,Apoio!$O$2:$P$24,2,0),"")</f>
        <v>8</v>
      </c>
      <c r="I690" s="44">
        <f t="shared" si="10"/>
        <v>60</v>
      </c>
      <c r="J690" s="18"/>
    </row>
    <row r="691" spans="1:10" hidden="1" x14ac:dyDescent="0.3">
      <c r="A691" s="58" t="s">
        <v>213</v>
      </c>
      <c r="B691" s="58" t="s">
        <v>33</v>
      </c>
      <c r="C691" s="58">
        <v>5</v>
      </c>
      <c r="D691" s="58">
        <v>5</v>
      </c>
      <c r="E691" s="58">
        <v>7.5</v>
      </c>
      <c r="F691" s="58" t="s">
        <v>80</v>
      </c>
      <c r="G691" s="58" t="s">
        <v>107</v>
      </c>
      <c r="H691" s="48">
        <f>IF(G691&gt;0,VLOOKUP(G691,Apoio!$O$2:$P$24,2,0),"")</f>
        <v>7</v>
      </c>
      <c r="I691" s="44">
        <f t="shared" si="10"/>
        <v>52.5</v>
      </c>
      <c r="J691" s="18"/>
    </row>
    <row r="692" spans="1:10" hidden="1" x14ac:dyDescent="0.3">
      <c r="A692" s="58" t="s">
        <v>213</v>
      </c>
      <c r="B692" s="58" t="s">
        <v>33</v>
      </c>
      <c r="C692" s="58">
        <v>5</v>
      </c>
      <c r="D692" s="58">
        <v>5</v>
      </c>
      <c r="E692" s="58">
        <v>7.5</v>
      </c>
      <c r="F692" s="58" t="s">
        <v>80</v>
      </c>
      <c r="G692" s="58" t="s">
        <v>110</v>
      </c>
      <c r="H692" s="48">
        <f>IF(G692&gt;0,VLOOKUP(G692,Apoio!$O$2:$P$24,2,0),"")</f>
        <v>8</v>
      </c>
      <c r="I692" s="44">
        <f t="shared" si="10"/>
        <v>60</v>
      </c>
      <c r="J692" s="18"/>
    </row>
    <row r="693" spans="1:10" hidden="1" x14ac:dyDescent="0.3">
      <c r="A693" s="58" t="s">
        <v>213</v>
      </c>
      <c r="B693" s="58" t="s">
        <v>33</v>
      </c>
      <c r="C693" s="58">
        <v>5</v>
      </c>
      <c r="D693" s="58">
        <v>5</v>
      </c>
      <c r="E693" s="58">
        <v>7.5</v>
      </c>
      <c r="F693" s="58" t="s">
        <v>80</v>
      </c>
      <c r="G693" s="58" t="s">
        <v>113</v>
      </c>
      <c r="H693" s="49">
        <f>IF(G693&gt;0,VLOOKUP(G693,Apoio!$O$2:$P$24,2,0),"")</f>
        <v>7</v>
      </c>
      <c r="I693" s="44">
        <f t="shared" si="10"/>
        <v>52.5</v>
      </c>
      <c r="J693" s="36"/>
    </row>
    <row r="694" spans="1:10" hidden="1" x14ac:dyDescent="0.3">
      <c r="A694" s="58" t="s">
        <v>213</v>
      </c>
      <c r="B694" s="58" t="s">
        <v>33</v>
      </c>
      <c r="C694" s="58">
        <v>5</v>
      </c>
      <c r="D694" s="58">
        <v>5</v>
      </c>
      <c r="E694" s="58">
        <v>7.5</v>
      </c>
      <c r="F694" s="58" t="s">
        <v>80</v>
      </c>
      <c r="G694" s="58" t="s">
        <v>116</v>
      </c>
      <c r="H694" s="49">
        <f>IF(G694&gt;0,VLOOKUP(G694,Apoio!$O$2:$P$24,2,0),"")</f>
        <v>4</v>
      </c>
      <c r="I694" s="44">
        <f t="shared" si="10"/>
        <v>30</v>
      </c>
      <c r="J694" s="36"/>
    </row>
    <row r="695" spans="1:10" hidden="1" x14ac:dyDescent="0.3">
      <c r="A695" s="58" t="s">
        <v>213</v>
      </c>
      <c r="B695" s="58" t="s">
        <v>33</v>
      </c>
      <c r="C695" s="58">
        <v>4</v>
      </c>
      <c r="D695" s="56">
        <v>5.3</v>
      </c>
      <c r="E695" s="58">
        <v>7.5</v>
      </c>
      <c r="F695" s="58" t="s">
        <v>87</v>
      </c>
      <c r="G695" s="58" t="s">
        <v>119</v>
      </c>
      <c r="H695" s="49">
        <f>IF(G695&gt;0,VLOOKUP(G695,Apoio!$O$2:$P$24,2,0),"")</f>
        <v>12</v>
      </c>
      <c r="I695" s="44">
        <f t="shared" si="10"/>
        <v>67.924528301886795</v>
      </c>
      <c r="J695" s="36"/>
    </row>
    <row r="696" spans="1:10" hidden="1" x14ac:dyDescent="0.3">
      <c r="A696" s="58" t="s">
        <v>213</v>
      </c>
      <c r="B696" s="58" t="s">
        <v>33</v>
      </c>
      <c r="C696" s="58">
        <v>3</v>
      </c>
      <c r="D696" s="56">
        <v>5.3</v>
      </c>
      <c r="E696" s="58">
        <v>7.5</v>
      </c>
      <c r="F696" s="58" t="s">
        <v>87</v>
      </c>
      <c r="G696" s="58" t="s">
        <v>122</v>
      </c>
      <c r="H696" s="49">
        <f>IF(G696&gt;0,VLOOKUP(G696,Apoio!$O$2:$P$24,2,0),"")</f>
        <v>8</v>
      </c>
      <c r="I696" s="44">
        <f t="shared" si="10"/>
        <v>33.962264150943398</v>
      </c>
      <c r="J696" s="36"/>
    </row>
    <row r="697" spans="1:10" hidden="1" x14ac:dyDescent="0.3">
      <c r="A697" s="58" t="s">
        <v>213</v>
      </c>
      <c r="B697" s="58" t="s">
        <v>33</v>
      </c>
      <c r="C697" s="58">
        <v>4</v>
      </c>
      <c r="D697" s="56">
        <v>5.3</v>
      </c>
      <c r="E697" s="58">
        <v>7.5</v>
      </c>
      <c r="F697" s="58" t="s">
        <v>87</v>
      </c>
      <c r="G697" s="58" t="s">
        <v>125</v>
      </c>
      <c r="H697" s="49">
        <f>IF(G697&gt;0,VLOOKUP(G697,Apoio!$O$2:$P$24,2,0),"")</f>
        <v>8</v>
      </c>
      <c r="I697" s="44">
        <f t="shared" si="10"/>
        <v>45.283018867924532</v>
      </c>
      <c r="J697" s="36"/>
    </row>
    <row r="698" spans="1:10" hidden="1" x14ac:dyDescent="0.3">
      <c r="A698" s="58" t="s">
        <v>213</v>
      </c>
      <c r="B698" s="58" t="s">
        <v>33</v>
      </c>
      <c r="C698" s="58">
        <v>5</v>
      </c>
      <c r="D698" s="56">
        <v>5.3</v>
      </c>
      <c r="E698" s="58">
        <v>7.5</v>
      </c>
      <c r="F698" s="58" t="s">
        <v>87</v>
      </c>
      <c r="G698" s="58" t="s">
        <v>128</v>
      </c>
      <c r="H698" s="49">
        <f>IF(G698&gt;0,VLOOKUP(G698,Apoio!$O$2:$P$24,2,0),"")</f>
        <v>8</v>
      </c>
      <c r="I698" s="44">
        <f t="shared" si="10"/>
        <v>56.60377358490566</v>
      </c>
      <c r="J698" s="36"/>
    </row>
    <row r="699" spans="1:10" hidden="1" x14ac:dyDescent="0.3">
      <c r="A699" s="58" t="s">
        <v>213</v>
      </c>
      <c r="B699" s="58" t="s">
        <v>33</v>
      </c>
      <c r="C699" s="58">
        <v>5</v>
      </c>
      <c r="D699" s="56">
        <v>5.3</v>
      </c>
      <c r="E699" s="58">
        <v>7.5</v>
      </c>
      <c r="F699" s="58" t="s">
        <v>87</v>
      </c>
      <c r="G699" s="58" t="s">
        <v>131</v>
      </c>
      <c r="H699" s="49">
        <f>IF(G699&gt;0,VLOOKUP(G699,Apoio!$O$2:$P$24,2,0),"")</f>
        <v>8</v>
      </c>
      <c r="I699" s="44">
        <f t="shared" si="10"/>
        <v>56.60377358490566</v>
      </c>
      <c r="J699" s="36"/>
    </row>
    <row r="700" spans="1:10" hidden="1" x14ac:dyDescent="0.3">
      <c r="A700" s="58" t="s">
        <v>213</v>
      </c>
      <c r="B700" s="58" t="s">
        <v>33</v>
      </c>
      <c r="C700" s="58">
        <v>5</v>
      </c>
      <c r="D700" s="56">
        <v>5.3</v>
      </c>
      <c r="E700" s="58">
        <v>7.5</v>
      </c>
      <c r="F700" s="58" t="s">
        <v>87</v>
      </c>
      <c r="G700" s="58" t="s">
        <v>134</v>
      </c>
      <c r="H700" s="49">
        <f>IF(G700&gt;0,VLOOKUP(G700,Apoio!$O$2:$P$24,2,0),"")</f>
        <v>3</v>
      </c>
      <c r="I700" s="44">
        <f t="shared" si="10"/>
        <v>21.226415094339622</v>
      </c>
      <c r="J700" s="36"/>
    </row>
    <row r="701" spans="1:10" hidden="1" x14ac:dyDescent="0.3">
      <c r="A701" s="58" t="s">
        <v>213</v>
      </c>
      <c r="B701" s="58" t="s">
        <v>33</v>
      </c>
      <c r="C701" s="58">
        <v>2.8</v>
      </c>
      <c r="D701" s="58">
        <v>3.7</v>
      </c>
      <c r="E701" s="58">
        <v>7.5</v>
      </c>
      <c r="F701" s="58" t="s">
        <v>94</v>
      </c>
      <c r="G701" s="58" t="s">
        <v>137</v>
      </c>
      <c r="H701" s="49">
        <f>IF(G701&gt;0,VLOOKUP(G701,Apoio!$O$2:$P$24,2,0),"")</f>
        <v>13</v>
      </c>
      <c r="I701" s="44">
        <f t="shared" si="10"/>
        <v>73.783783783783775</v>
      </c>
      <c r="J701" s="36"/>
    </row>
    <row r="702" spans="1:10" hidden="1" x14ac:dyDescent="0.3">
      <c r="A702" s="58" t="s">
        <v>213</v>
      </c>
      <c r="B702" s="58" t="s">
        <v>33</v>
      </c>
      <c r="C702" s="58">
        <v>3</v>
      </c>
      <c r="D702" s="58">
        <v>3.7</v>
      </c>
      <c r="E702" s="58">
        <v>7.5</v>
      </c>
      <c r="F702" s="58" t="s">
        <v>94</v>
      </c>
      <c r="G702" s="58" t="s">
        <v>140</v>
      </c>
      <c r="H702" s="49">
        <f>IF(G702&gt;0,VLOOKUP(G702,Apoio!$O$2:$P$24,2,0),"")</f>
        <v>8</v>
      </c>
      <c r="I702" s="44">
        <f t="shared" si="10"/>
        <v>48.648648648648646</v>
      </c>
      <c r="J702" s="36"/>
    </row>
    <row r="703" spans="1:10" hidden="1" x14ac:dyDescent="0.3">
      <c r="A703" s="58" t="s">
        <v>213</v>
      </c>
      <c r="B703" s="58" t="s">
        <v>33</v>
      </c>
      <c r="C703" s="58">
        <v>3</v>
      </c>
      <c r="D703" s="58">
        <v>3.7</v>
      </c>
      <c r="E703" s="58">
        <v>7.5</v>
      </c>
      <c r="F703" s="58" t="s">
        <v>94</v>
      </c>
      <c r="G703" s="58" t="s">
        <v>143</v>
      </c>
      <c r="H703" s="49">
        <f>IF(G703&gt;0,VLOOKUP(G703,Apoio!$O$2:$P$24,2,0),"")</f>
        <v>8</v>
      </c>
      <c r="I703" s="44">
        <f t="shared" si="10"/>
        <v>48.648648648648646</v>
      </c>
      <c r="J703" s="36"/>
    </row>
    <row r="704" spans="1:10" hidden="1" x14ac:dyDescent="0.3">
      <c r="A704" s="58" t="s">
        <v>213</v>
      </c>
      <c r="B704" s="58" t="s">
        <v>33</v>
      </c>
      <c r="C704" s="58">
        <v>3.5</v>
      </c>
      <c r="D704" s="58">
        <v>3.7</v>
      </c>
      <c r="E704" s="58">
        <v>7.5</v>
      </c>
      <c r="F704" s="58" t="s">
        <v>94</v>
      </c>
      <c r="G704" s="58" t="s">
        <v>146</v>
      </c>
      <c r="H704" s="49">
        <f>IF(G704&gt;0,VLOOKUP(G704,Apoio!$O$2:$P$24,2,0),"")</f>
        <v>6</v>
      </c>
      <c r="I704" s="44">
        <f t="shared" si="10"/>
        <v>42.567567567567565</v>
      </c>
      <c r="J704" s="36"/>
    </row>
    <row r="705" spans="1:10" hidden="1" x14ac:dyDescent="0.3">
      <c r="A705" s="58" t="s">
        <v>213</v>
      </c>
      <c r="B705" s="58" t="s">
        <v>33</v>
      </c>
      <c r="C705" s="58">
        <v>4</v>
      </c>
      <c r="D705" s="58">
        <v>3.7</v>
      </c>
      <c r="E705" s="58">
        <v>7.5</v>
      </c>
      <c r="F705" s="58" t="s">
        <v>94</v>
      </c>
      <c r="G705" s="58" t="s">
        <v>149</v>
      </c>
      <c r="H705" s="49">
        <f>IF(G705&gt;0,VLOOKUP(G705,Apoio!$O$2:$P$24,2,0),"")</f>
        <v>8</v>
      </c>
      <c r="I705" s="44">
        <f t="shared" si="10"/>
        <v>64.864864864864856</v>
      </c>
      <c r="J705" s="36"/>
    </row>
    <row r="706" spans="1:10" hidden="1" x14ac:dyDescent="0.3">
      <c r="A706" s="58" t="s">
        <v>213</v>
      </c>
      <c r="B706" s="58" t="s">
        <v>33</v>
      </c>
      <c r="C706" s="58">
        <v>3.9</v>
      </c>
      <c r="D706" s="58">
        <v>3.7</v>
      </c>
      <c r="E706" s="58">
        <v>7.5</v>
      </c>
      <c r="F706" s="58" t="s">
        <v>94</v>
      </c>
      <c r="G706" s="58" t="s">
        <v>152</v>
      </c>
      <c r="H706" s="49">
        <f>IF(G706&gt;0,VLOOKUP(G706,Apoio!$O$2:$P$24,2,0),"")</f>
        <v>8</v>
      </c>
      <c r="I706" s="44">
        <f t="shared" ref="I706:I769" si="11">IF(D706&gt;0,(((H706*E706)*C706)/D706),"")</f>
        <v>63.243243243243242</v>
      </c>
      <c r="J706" s="36"/>
    </row>
    <row r="707" spans="1:10" hidden="1" x14ac:dyDescent="0.3">
      <c r="A707" s="58" t="s">
        <v>213</v>
      </c>
      <c r="B707" s="4" t="s">
        <v>201</v>
      </c>
      <c r="C707" s="58">
        <v>10</v>
      </c>
      <c r="D707" s="56">
        <v>5.9</v>
      </c>
      <c r="E707" s="51">
        <v>7.5</v>
      </c>
      <c r="F707" s="4" t="s">
        <v>73</v>
      </c>
      <c r="G707" s="4" t="s">
        <v>72</v>
      </c>
      <c r="H707" s="49">
        <f>IF(G707&gt;0,VLOOKUP(G707,Apoio!$O$2:$P$24,2,0),"")</f>
        <v>8</v>
      </c>
      <c r="I707" s="44">
        <f t="shared" si="11"/>
        <v>101.69491525423729</v>
      </c>
      <c r="J707" s="36"/>
    </row>
    <row r="708" spans="1:10" hidden="1" x14ac:dyDescent="0.3">
      <c r="A708" s="58" t="s">
        <v>213</v>
      </c>
      <c r="B708" s="4" t="s">
        <v>201</v>
      </c>
      <c r="C708" s="58">
        <v>10</v>
      </c>
      <c r="D708" s="56">
        <v>5.9</v>
      </c>
      <c r="E708" s="51">
        <v>7.5</v>
      </c>
      <c r="F708" s="4" t="s">
        <v>73</v>
      </c>
      <c r="G708" s="4" t="s">
        <v>79</v>
      </c>
      <c r="H708" s="49">
        <f>IF(G708&gt;0,VLOOKUP(G708,Apoio!$O$2:$P$24,2,0),"")</f>
        <v>6</v>
      </c>
      <c r="I708" s="44">
        <f t="shared" si="11"/>
        <v>76.271186440677965</v>
      </c>
      <c r="J708" s="36"/>
    </row>
    <row r="709" spans="1:10" hidden="1" x14ac:dyDescent="0.3">
      <c r="A709" s="58" t="s">
        <v>213</v>
      </c>
      <c r="B709" s="4" t="s">
        <v>201</v>
      </c>
      <c r="C709" s="58">
        <v>10</v>
      </c>
      <c r="D709" s="56">
        <v>5.9</v>
      </c>
      <c r="E709" s="51">
        <v>7.5</v>
      </c>
      <c r="F709" s="4" t="s">
        <v>73</v>
      </c>
      <c r="G709" s="4" t="s">
        <v>86</v>
      </c>
      <c r="H709" s="49">
        <f>IF(G709&gt;0,VLOOKUP(G709,Apoio!$O$2:$P$24,2,0),"")</f>
        <v>8</v>
      </c>
      <c r="I709" s="44">
        <f t="shared" si="11"/>
        <v>101.69491525423729</v>
      </c>
      <c r="J709" s="36"/>
    </row>
    <row r="710" spans="1:10" hidden="1" x14ac:dyDescent="0.3">
      <c r="A710" s="58" t="s">
        <v>213</v>
      </c>
      <c r="B710" s="4" t="s">
        <v>201</v>
      </c>
      <c r="C710" s="58">
        <v>10</v>
      </c>
      <c r="D710" s="56">
        <v>5.9</v>
      </c>
      <c r="E710" s="51">
        <v>7.5</v>
      </c>
      <c r="F710" s="4" t="s">
        <v>73</v>
      </c>
      <c r="G710" s="4" t="s">
        <v>93</v>
      </c>
      <c r="H710" s="49">
        <f>IF(G710&gt;0,VLOOKUP(G710,Apoio!$O$2:$P$24,2,0),"")</f>
        <v>8</v>
      </c>
      <c r="I710" s="44">
        <f t="shared" si="11"/>
        <v>101.69491525423729</v>
      </c>
      <c r="J710" s="36"/>
    </row>
    <row r="711" spans="1:10" hidden="1" x14ac:dyDescent="0.3">
      <c r="A711" s="58" t="s">
        <v>213</v>
      </c>
      <c r="B711" s="4" t="s">
        <v>201</v>
      </c>
      <c r="C711" s="58">
        <v>10</v>
      </c>
      <c r="D711" s="56">
        <v>5.9</v>
      </c>
      <c r="E711" s="51">
        <v>7.5</v>
      </c>
      <c r="F711" s="4" t="s">
        <v>73</v>
      </c>
      <c r="G711" s="4" t="s">
        <v>98</v>
      </c>
      <c r="H711" s="49">
        <f>IF(G711&gt;0,VLOOKUP(G711,Apoio!$O$2:$P$24,2,0),"")</f>
        <v>7</v>
      </c>
      <c r="I711" s="44">
        <f t="shared" si="11"/>
        <v>88.983050847457619</v>
      </c>
      <c r="J711" s="36"/>
    </row>
    <row r="712" spans="1:10" hidden="1" x14ac:dyDescent="0.3">
      <c r="A712" s="58" t="s">
        <v>213</v>
      </c>
      <c r="B712" s="4" t="s">
        <v>201</v>
      </c>
      <c r="C712" s="58">
        <v>10</v>
      </c>
      <c r="D712" s="56">
        <v>5.9</v>
      </c>
      <c r="E712" s="51">
        <v>7.5</v>
      </c>
      <c r="F712" s="4" t="s">
        <v>73</v>
      </c>
      <c r="G712" s="4" t="s">
        <v>101</v>
      </c>
      <c r="H712" s="49">
        <f>IF(G712&gt;0,VLOOKUP(G712,Apoio!$O$2:$P$24,2,0),"")</f>
        <v>3</v>
      </c>
      <c r="I712" s="44">
        <f t="shared" si="11"/>
        <v>38.135593220338983</v>
      </c>
      <c r="J712" s="36"/>
    </row>
    <row r="713" spans="1:10" hidden="1" x14ac:dyDescent="0.3">
      <c r="A713" s="58" t="s">
        <v>213</v>
      </c>
      <c r="B713" s="4" t="s">
        <v>201</v>
      </c>
      <c r="C713" s="58">
        <v>10</v>
      </c>
      <c r="D713" s="56">
        <v>7</v>
      </c>
      <c r="E713" s="51">
        <v>7.5</v>
      </c>
      <c r="F713" s="4" t="s">
        <v>80</v>
      </c>
      <c r="G713" s="4" t="s">
        <v>104</v>
      </c>
      <c r="H713" s="49">
        <f>IF(G713&gt;0,VLOOKUP(G713,Apoio!$O$2:$P$24,2,0),"")</f>
        <v>8</v>
      </c>
      <c r="I713" s="44">
        <f t="shared" si="11"/>
        <v>85.714285714285708</v>
      </c>
      <c r="J713" s="36"/>
    </row>
    <row r="714" spans="1:10" hidden="1" x14ac:dyDescent="0.3">
      <c r="A714" s="58" t="s">
        <v>213</v>
      </c>
      <c r="B714" s="4" t="s">
        <v>201</v>
      </c>
      <c r="C714" s="58">
        <v>10</v>
      </c>
      <c r="D714" s="56">
        <v>7</v>
      </c>
      <c r="E714" s="51">
        <v>7.5</v>
      </c>
      <c r="F714" s="4" t="s">
        <v>80</v>
      </c>
      <c r="G714" s="4" t="s">
        <v>107</v>
      </c>
      <c r="H714" s="49">
        <f>IF(G714&gt;0,VLOOKUP(G714,Apoio!$O$2:$P$24,2,0),"")</f>
        <v>7</v>
      </c>
      <c r="I714" s="44">
        <f t="shared" si="11"/>
        <v>75</v>
      </c>
      <c r="J714" s="36"/>
    </row>
    <row r="715" spans="1:10" hidden="1" x14ac:dyDescent="0.3">
      <c r="A715" s="58" t="s">
        <v>213</v>
      </c>
      <c r="B715" s="4" t="s">
        <v>201</v>
      </c>
      <c r="C715" s="58">
        <v>10</v>
      </c>
      <c r="D715" s="56">
        <v>7</v>
      </c>
      <c r="E715" s="51">
        <v>7.5</v>
      </c>
      <c r="F715" s="4" t="s">
        <v>80</v>
      </c>
      <c r="G715" s="4" t="s">
        <v>110</v>
      </c>
      <c r="H715" s="49">
        <f>IF(G715&gt;0,VLOOKUP(G715,Apoio!$O$2:$P$24,2,0),"")</f>
        <v>8</v>
      </c>
      <c r="I715" s="44">
        <f t="shared" si="11"/>
        <v>85.714285714285708</v>
      </c>
      <c r="J715" s="36"/>
    </row>
    <row r="716" spans="1:10" hidden="1" x14ac:dyDescent="0.3">
      <c r="A716" s="58" t="s">
        <v>213</v>
      </c>
      <c r="B716" s="4" t="s">
        <v>201</v>
      </c>
      <c r="C716" s="58">
        <v>10</v>
      </c>
      <c r="D716" s="56">
        <v>7</v>
      </c>
      <c r="E716" s="51">
        <v>7.5</v>
      </c>
      <c r="F716" s="4" t="s">
        <v>80</v>
      </c>
      <c r="G716" s="4" t="s">
        <v>113</v>
      </c>
      <c r="H716" s="49">
        <f>IF(G716&gt;0,VLOOKUP(G716,Apoio!$O$2:$P$24,2,0),"")</f>
        <v>7</v>
      </c>
      <c r="I716" s="44">
        <f t="shared" si="11"/>
        <v>75</v>
      </c>
      <c r="J716" s="36"/>
    </row>
    <row r="717" spans="1:10" hidden="1" x14ac:dyDescent="0.3">
      <c r="A717" s="58" t="s">
        <v>213</v>
      </c>
      <c r="B717" s="4" t="s">
        <v>201</v>
      </c>
      <c r="C717" s="58">
        <v>10</v>
      </c>
      <c r="D717" s="56">
        <v>7</v>
      </c>
      <c r="E717" s="51">
        <v>7.5</v>
      </c>
      <c r="F717" s="4" t="s">
        <v>80</v>
      </c>
      <c r="G717" s="4" t="s">
        <v>116</v>
      </c>
      <c r="H717" s="49">
        <f>IF(G717&gt;0,VLOOKUP(G717,Apoio!$O$2:$P$24,2,0),"")</f>
        <v>4</v>
      </c>
      <c r="I717" s="44">
        <f t="shared" si="11"/>
        <v>42.857142857142854</v>
      </c>
      <c r="J717" s="36"/>
    </row>
    <row r="718" spans="1:10" hidden="1" x14ac:dyDescent="0.3">
      <c r="A718" s="58" t="s">
        <v>213</v>
      </c>
      <c r="B718" s="4" t="s">
        <v>201</v>
      </c>
      <c r="C718" s="58">
        <v>9.5</v>
      </c>
      <c r="D718" s="56">
        <v>8.5</v>
      </c>
      <c r="E718" s="51">
        <v>6.5</v>
      </c>
      <c r="F718" s="4" t="s">
        <v>87</v>
      </c>
      <c r="G718" s="4" t="s">
        <v>119</v>
      </c>
      <c r="H718" s="49">
        <f>IF(G718&gt;0,VLOOKUP(G718,Apoio!$O$2:$P$24,2,0),"")</f>
        <v>12</v>
      </c>
      <c r="I718" s="44">
        <f t="shared" si="11"/>
        <v>87.17647058823529</v>
      </c>
      <c r="J718" s="36"/>
    </row>
    <row r="719" spans="1:10" hidden="1" x14ac:dyDescent="0.3">
      <c r="A719" s="58" t="s">
        <v>213</v>
      </c>
      <c r="B719" s="4" t="s">
        <v>201</v>
      </c>
      <c r="C719" s="58">
        <v>11</v>
      </c>
      <c r="D719" s="56">
        <v>8.5</v>
      </c>
      <c r="E719" s="51">
        <v>6.5</v>
      </c>
      <c r="F719" s="4" t="s">
        <v>87</v>
      </c>
      <c r="G719" s="4" t="s">
        <v>122</v>
      </c>
      <c r="H719" s="49">
        <f>IF(G719&gt;0,VLOOKUP(G719,Apoio!$O$2:$P$24,2,0),"")</f>
        <v>8</v>
      </c>
      <c r="I719" s="44">
        <f t="shared" si="11"/>
        <v>67.294117647058826</v>
      </c>
      <c r="J719" s="36"/>
    </row>
    <row r="720" spans="1:10" hidden="1" x14ac:dyDescent="0.3">
      <c r="A720" s="58" t="s">
        <v>213</v>
      </c>
      <c r="B720" s="4" t="s">
        <v>201</v>
      </c>
      <c r="C720" s="58">
        <v>11</v>
      </c>
      <c r="D720" s="56">
        <v>8.5</v>
      </c>
      <c r="E720" s="51">
        <v>6.5</v>
      </c>
      <c r="F720" s="4" t="s">
        <v>87</v>
      </c>
      <c r="G720" s="4" t="s">
        <v>125</v>
      </c>
      <c r="H720" s="49">
        <f>IF(G720&gt;0,VLOOKUP(G720,Apoio!$O$2:$P$24,2,0),"")</f>
        <v>8</v>
      </c>
      <c r="I720" s="44">
        <f t="shared" si="11"/>
        <v>67.294117647058826</v>
      </c>
      <c r="J720" s="36"/>
    </row>
    <row r="721" spans="1:10" hidden="1" x14ac:dyDescent="0.3">
      <c r="A721" s="58" t="s">
        <v>213</v>
      </c>
      <c r="B721" s="4" t="s">
        <v>201</v>
      </c>
      <c r="C721" s="58">
        <v>11</v>
      </c>
      <c r="D721" s="56">
        <v>8.5</v>
      </c>
      <c r="E721" s="51">
        <v>6.5</v>
      </c>
      <c r="F721" s="4" t="s">
        <v>87</v>
      </c>
      <c r="G721" s="4" t="s">
        <v>128</v>
      </c>
      <c r="H721" s="49">
        <f>IF(G721&gt;0,VLOOKUP(G721,Apoio!$O$2:$P$24,2,0),"")</f>
        <v>8</v>
      </c>
      <c r="I721" s="44">
        <f t="shared" si="11"/>
        <v>67.294117647058826</v>
      </c>
      <c r="J721" s="36"/>
    </row>
    <row r="722" spans="1:10" hidden="1" x14ac:dyDescent="0.3">
      <c r="A722" s="58" t="s">
        <v>213</v>
      </c>
      <c r="B722" s="4" t="s">
        <v>201</v>
      </c>
      <c r="C722" s="58">
        <v>11</v>
      </c>
      <c r="D722" s="56">
        <v>8.5</v>
      </c>
      <c r="E722" s="51">
        <v>6.5</v>
      </c>
      <c r="F722" s="4" t="s">
        <v>87</v>
      </c>
      <c r="G722" s="4" t="s">
        <v>131</v>
      </c>
      <c r="H722" s="49">
        <f>IF(G722&gt;0,VLOOKUP(G722,Apoio!$O$2:$P$24,2,0),"")</f>
        <v>8</v>
      </c>
      <c r="I722" s="44">
        <f t="shared" si="11"/>
        <v>67.294117647058826</v>
      </c>
      <c r="J722" s="36"/>
    </row>
    <row r="723" spans="1:10" hidden="1" x14ac:dyDescent="0.3">
      <c r="A723" s="58" t="s">
        <v>213</v>
      </c>
      <c r="B723" s="4" t="s">
        <v>201</v>
      </c>
      <c r="C723" s="58">
        <v>11</v>
      </c>
      <c r="D723" s="56">
        <v>8.5</v>
      </c>
      <c r="E723" s="51">
        <v>6.5</v>
      </c>
      <c r="F723" s="4" t="s">
        <v>87</v>
      </c>
      <c r="G723" s="4" t="s">
        <v>134</v>
      </c>
      <c r="H723" s="49">
        <f>IF(G723&gt;0,VLOOKUP(G723,Apoio!$O$2:$P$24,2,0),"")</f>
        <v>3</v>
      </c>
      <c r="I723" s="44">
        <f t="shared" si="11"/>
        <v>25.235294117647058</v>
      </c>
      <c r="J723" s="36"/>
    </row>
    <row r="724" spans="1:10" hidden="1" x14ac:dyDescent="0.3">
      <c r="A724" s="58" t="s">
        <v>213</v>
      </c>
      <c r="B724" s="4" t="s">
        <v>201</v>
      </c>
      <c r="C724" s="58">
        <v>10</v>
      </c>
      <c r="D724" s="56">
        <v>7</v>
      </c>
      <c r="E724" s="51">
        <v>6.5</v>
      </c>
      <c r="F724" s="4" t="s">
        <v>94</v>
      </c>
      <c r="G724" s="4" t="s">
        <v>137</v>
      </c>
      <c r="H724" s="49">
        <f>IF(G724&gt;0,VLOOKUP(G724,Apoio!$O$2:$P$24,2,0),"")</f>
        <v>13</v>
      </c>
      <c r="I724" s="44">
        <f t="shared" si="11"/>
        <v>120.71428571428571</v>
      </c>
      <c r="J724" s="36"/>
    </row>
    <row r="725" spans="1:10" hidden="1" x14ac:dyDescent="0.3">
      <c r="A725" s="58" t="s">
        <v>213</v>
      </c>
      <c r="B725" s="4" t="s">
        <v>201</v>
      </c>
      <c r="C725" s="58">
        <v>11</v>
      </c>
      <c r="D725" s="56">
        <v>7</v>
      </c>
      <c r="E725" s="51">
        <v>6.5</v>
      </c>
      <c r="F725" s="4" t="s">
        <v>94</v>
      </c>
      <c r="G725" s="4" t="s">
        <v>140</v>
      </c>
      <c r="H725" s="49">
        <f>IF(G725&gt;0,VLOOKUP(G725,Apoio!$O$2:$P$24,2,0),"")</f>
        <v>8</v>
      </c>
      <c r="I725" s="44">
        <f t="shared" si="11"/>
        <v>81.714285714285708</v>
      </c>
      <c r="J725" s="36"/>
    </row>
    <row r="726" spans="1:10" hidden="1" x14ac:dyDescent="0.3">
      <c r="A726" s="58" t="s">
        <v>213</v>
      </c>
      <c r="B726" s="4" t="s">
        <v>201</v>
      </c>
      <c r="C726" s="58">
        <v>11</v>
      </c>
      <c r="D726" s="56">
        <v>7</v>
      </c>
      <c r="E726" s="51">
        <v>6.5</v>
      </c>
      <c r="F726" s="4" t="s">
        <v>94</v>
      </c>
      <c r="G726" s="4" t="s">
        <v>143</v>
      </c>
      <c r="H726" s="49">
        <f>IF(G726&gt;0,VLOOKUP(G726,Apoio!$O$2:$P$24,2,0),"")</f>
        <v>8</v>
      </c>
      <c r="I726" s="44">
        <f t="shared" si="11"/>
        <v>81.714285714285708</v>
      </c>
      <c r="J726" s="36"/>
    </row>
    <row r="727" spans="1:10" hidden="1" x14ac:dyDescent="0.3">
      <c r="A727" s="58" t="s">
        <v>213</v>
      </c>
      <c r="B727" s="4" t="s">
        <v>201</v>
      </c>
      <c r="C727" s="58">
        <v>12</v>
      </c>
      <c r="D727" s="56">
        <v>7</v>
      </c>
      <c r="E727" s="51">
        <v>6.5</v>
      </c>
      <c r="F727" s="4" t="s">
        <v>94</v>
      </c>
      <c r="G727" s="4" t="s">
        <v>146</v>
      </c>
      <c r="H727" s="49">
        <f>IF(G727&gt;0,VLOOKUP(G727,Apoio!$O$2:$P$24,2,0),"")</f>
        <v>6</v>
      </c>
      <c r="I727" s="44">
        <f t="shared" si="11"/>
        <v>66.857142857142861</v>
      </c>
      <c r="J727" s="36"/>
    </row>
    <row r="728" spans="1:10" hidden="1" x14ac:dyDescent="0.3">
      <c r="A728" s="58" t="s">
        <v>213</v>
      </c>
      <c r="B728" s="4" t="s">
        <v>201</v>
      </c>
      <c r="C728" s="58">
        <v>11</v>
      </c>
      <c r="D728" s="56">
        <v>7</v>
      </c>
      <c r="E728" s="51">
        <v>6.5</v>
      </c>
      <c r="F728" s="4" t="s">
        <v>94</v>
      </c>
      <c r="G728" s="4" t="s">
        <v>149</v>
      </c>
      <c r="H728" s="49">
        <f>IF(G728&gt;0,VLOOKUP(G728,Apoio!$O$2:$P$24,2,0),"")</f>
        <v>8</v>
      </c>
      <c r="I728" s="44">
        <f t="shared" si="11"/>
        <v>81.714285714285708</v>
      </c>
      <c r="J728" s="36"/>
    </row>
    <row r="729" spans="1:10" hidden="1" x14ac:dyDescent="0.3">
      <c r="A729" s="58" t="s">
        <v>213</v>
      </c>
      <c r="B729" s="4" t="s">
        <v>201</v>
      </c>
      <c r="C729" s="58">
        <v>12</v>
      </c>
      <c r="D729" s="56">
        <v>7</v>
      </c>
      <c r="E729" s="51">
        <v>6.5</v>
      </c>
      <c r="F729" s="4" t="s">
        <v>94</v>
      </c>
      <c r="G729" s="4" t="s">
        <v>152</v>
      </c>
      <c r="H729" s="49">
        <f>IF(G729&gt;0,VLOOKUP(G729,Apoio!$O$2:$P$24,2,0),"")</f>
        <v>8</v>
      </c>
      <c r="I729" s="44">
        <f t="shared" si="11"/>
        <v>89.142857142857139</v>
      </c>
      <c r="J729" s="36"/>
    </row>
    <row r="730" spans="1:10" hidden="1" x14ac:dyDescent="0.3">
      <c r="A730" s="58" t="s">
        <v>213</v>
      </c>
      <c r="B730" s="58" t="s">
        <v>35</v>
      </c>
      <c r="C730" s="58">
        <v>2</v>
      </c>
      <c r="D730" s="58">
        <v>2.8</v>
      </c>
      <c r="E730" s="58">
        <v>7.5</v>
      </c>
      <c r="F730" s="58" t="s">
        <v>73</v>
      </c>
      <c r="G730" s="58" t="s">
        <v>72</v>
      </c>
      <c r="H730" s="49">
        <v>7</v>
      </c>
      <c r="I730" s="44">
        <f t="shared" si="11"/>
        <v>37.5</v>
      </c>
      <c r="J730" s="36"/>
    </row>
    <row r="731" spans="1:10" hidden="1" x14ac:dyDescent="0.3">
      <c r="A731" s="58" t="s">
        <v>213</v>
      </c>
      <c r="B731" s="58" t="s">
        <v>35</v>
      </c>
      <c r="C731" s="58">
        <v>2</v>
      </c>
      <c r="D731" s="58">
        <v>2.8</v>
      </c>
      <c r="E731" s="58">
        <v>7.5</v>
      </c>
      <c r="F731" s="58" t="s">
        <v>73</v>
      </c>
      <c r="G731" s="58" t="s">
        <v>79</v>
      </c>
      <c r="H731" s="49">
        <f>IF(G731&gt;0,VLOOKUP(G731,Apoio!$O$2:$P$24,2,0),"")</f>
        <v>6</v>
      </c>
      <c r="I731" s="44">
        <f t="shared" si="11"/>
        <v>32.142857142857146</v>
      </c>
      <c r="J731" s="36"/>
    </row>
    <row r="732" spans="1:10" hidden="1" x14ac:dyDescent="0.3">
      <c r="A732" s="58" t="s">
        <v>213</v>
      </c>
      <c r="B732" s="58" t="s">
        <v>35</v>
      </c>
      <c r="C732" s="58">
        <v>2</v>
      </c>
      <c r="D732" s="58">
        <v>2.8</v>
      </c>
      <c r="E732" s="58">
        <v>7.5</v>
      </c>
      <c r="F732" s="58" t="s">
        <v>73</v>
      </c>
      <c r="G732" s="58" t="s">
        <v>86</v>
      </c>
      <c r="H732" s="49">
        <f>IF(G732&gt;0,VLOOKUP(G732,Apoio!$O$2:$P$24,2,0),"")</f>
        <v>8</v>
      </c>
      <c r="I732" s="44">
        <f t="shared" si="11"/>
        <v>42.857142857142861</v>
      </c>
      <c r="J732" s="36"/>
    </row>
    <row r="733" spans="1:10" hidden="1" x14ac:dyDescent="0.3">
      <c r="A733" s="58" t="s">
        <v>213</v>
      </c>
      <c r="B733" s="58" t="s">
        <v>35</v>
      </c>
      <c r="C733" s="58">
        <v>2</v>
      </c>
      <c r="D733" s="58">
        <v>2.8</v>
      </c>
      <c r="E733" s="58">
        <v>7.5</v>
      </c>
      <c r="F733" s="58" t="s">
        <v>73</v>
      </c>
      <c r="G733" s="58" t="s">
        <v>93</v>
      </c>
      <c r="H733" s="49">
        <f>IF(G733&gt;0,VLOOKUP(G733,Apoio!$O$2:$P$24,2,0),"")</f>
        <v>8</v>
      </c>
      <c r="I733" s="44">
        <f t="shared" si="11"/>
        <v>42.857142857142861</v>
      </c>
      <c r="J733" s="36"/>
    </row>
    <row r="734" spans="1:10" hidden="1" x14ac:dyDescent="0.3">
      <c r="A734" s="58" t="s">
        <v>213</v>
      </c>
      <c r="B734" s="58" t="s">
        <v>35</v>
      </c>
      <c r="C734" s="58">
        <v>2</v>
      </c>
      <c r="D734" s="58">
        <v>2.8</v>
      </c>
      <c r="E734" s="58">
        <v>7.5</v>
      </c>
      <c r="F734" s="58" t="s">
        <v>73</v>
      </c>
      <c r="G734" s="58" t="s">
        <v>98</v>
      </c>
      <c r="H734" s="49">
        <f>IF(G734&gt;0,VLOOKUP(G734,Apoio!$O$2:$P$24,2,0),"")</f>
        <v>7</v>
      </c>
      <c r="I734" s="44">
        <f t="shared" si="11"/>
        <v>37.5</v>
      </c>
      <c r="J734" s="36"/>
    </row>
    <row r="735" spans="1:10" hidden="1" x14ac:dyDescent="0.3">
      <c r="A735" s="58" t="s">
        <v>213</v>
      </c>
      <c r="B735" s="58" t="s">
        <v>35</v>
      </c>
      <c r="C735" s="58">
        <v>2</v>
      </c>
      <c r="D735" s="58">
        <v>2.8</v>
      </c>
      <c r="E735" s="58">
        <v>7.5</v>
      </c>
      <c r="F735" s="58" t="s">
        <v>73</v>
      </c>
      <c r="G735" s="58" t="s">
        <v>101</v>
      </c>
      <c r="H735" s="49">
        <f>IF(G735&gt;0,VLOOKUP(G735,Apoio!$O$2:$P$24,2,0),"")</f>
        <v>3</v>
      </c>
      <c r="I735" s="44">
        <f t="shared" si="11"/>
        <v>16.071428571428573</v>
      </c>
      <c r="J735" s="36"/>
    </row>
    <row r="736" spans="1:10" hidden="1" x14ac:dyDescent="0.3">
      <c r="A736" s="58" t="s">
        <v>213</v>
      </c>
      <c r="B736" s="58" t="s">
        <v>35</v>
      </c>
      <c r="C736" s="58">
        <v>2</v>
      </c>
      <c r="D736" s="58">
        <v>2</v>
      </c>
      <c r="E736" s="58">
        <v>7.5</v>
      </c>
      <c r="F736" s="58" t="s">
        <v>80</v>
      </c>
      <c r="G736" s="58" t="s">
        <v>104</v>
      </c>
      <c r="H736" s="49">
        <f>IF(G736&gt;0,VLOOKUP(G736,Apoio!$O$2:$P$24,2,0),"")</f>
        <v>8</v>
      </c>
      <c r="I736" s="44">
        <f t="shared" si="11"/>
        <v>60</v>
      </c>
      <c r="J736" s="36"/>
    </row>
    <row r="737" spans="1:10" hidden="1" x14ac:dyDescent="0.3">
      <c r="A737" s="58" t="s">
        <v>213</v>
      </c>
      <c r="B737" s="58" t="s">
        <v>35</v>
      </c>
      <c r="C737" s="58">
        <v>2</v>
      </c>
      <c r="D737" s="58">
        <v>2</v>
      </c>
      <c r="E737" s="58">
        <v>7.5</v>
      </c>
      <c r="F737" s="58" t="s">
        <v>80</v>
      </c>
      <c r="G737" s="58" t="s">
        <v>107</v>
      </c>
      <c r="H737" s="49">
        <f>IF(G737&gt;0,VLOOKUP(G737,Apoio!$O$2:$P$24,2,0),"")</f>
        <v>7</v>
      </c>
      <c r="I737" s="44">
        <f t="shared" si="11"/>
        <v>52.5</v>
      </c>
      <c r="J737" s="36"/>
    </row>
    <row r="738" spans="1:10" hidden="1" x14ac:dyDescent="0.3">
      <c r="A738" s="58" t="s">
        <v>213</v>
      </c>
      <c r="B738" s="58" t="s">
        <v>35</v>
      </c>
      <c r="C738" s="58">
        <v>2</v>
      </c>
      <c r="D738" s="58">
        <v>2</v>
      </c>
      <c r="E738" s="58">
        <v>7.5</v>
      </c>
      <c r="F738" s="58" t="s">
        <v>80</v>
      </c>
      <c r="G738" s="58" t="s">
        <v>110</v>
      </c>
      <c r="H738" s="49">
        <f>IF(G738&gt;0,VLOOKUP(G738,Apoio!$O$2:$P$24,2,0),"")</f>
        <v>8</v>
      </c>
      <c r="I738" s="44">
        <f t="shared" si="11"/>
        <v>60</v>
      </c>
      <c r="J738" s="36"/>
    </row>
    <row r="739" spans="1:10" hidden="1" x14ac:dyDescent="0.3">
      <c r="A739" s="58" t="s">
        <v>213</v>
      </c>
      <c r="B739" s="58" t="s">
        <v>35</v>
      </c>
      <c r="C739" s="58">
        <v>2</v>
      </c>
      <c r="D739" s="58">
        <v>2</v>
      </c>
      <c r="E739" s="58">
        <v>7.5</v>
      </c>
      <c r="F739" s="58" t="s">
        <v>80</v>
      </c>
      <c r="G739" s="58" t="s">
        <v>113</v>
      </c>
      <c r="H739" s="49">
        <f>IF(G739&gt;0,VLOOKUP(G739,Apoio!$O$2:$P$24,2,0),"")</f>
        <v>7</v>
      </c>
      <c r="I739" s="44">
        <f t="shared" si="11"/>
        <v>52.5</v>
      </c>
      <c r="J739" s="36"/>
    </row>
    <row r="740" spans="1:10" hidden="1" x14ac:dyDescent="0.3">
      <c r="A740" s="58" t="s">
        <v>213</v>
      </c>
      <c r="B740" s="58" t="s">
        <v>35</v>
      </c>
      <c r="C740" s="58">
        <v>2</v>
      </c>
      <c r="D740" s="58">
        <v>2</v>
      </c>
      <c r="E740" s="58">
        <v>7.5</v>
      </c>
      <c r="F740" s="58" t="s">
        <v>80</v>
      </c>
      <c r="G740" s="58" t="s">
        <v>116</v>
      </c>
      <c r="H740" s="49">
        <f>IF(G740&gt;0,VLOOKUP(G740,Apoio!$O$2:$P$24,2,0),"")</f>
        <v>4</v>
      </c>
      <c r="I740" s="44">
        <f t="shared" si="11"/>
        <v>30</v>
      </c>
      <c r="J740" s="36"/>
    </row>
    <row r="741" spans="1:10" hidden="1" x14ac:dyDescent="0.3">
      <c r="A741" s="58" t="s">
        <v>213</v>
      </c>
      <c r="B741" s="58" t="s">
        <v>35</v>
      </c>
      <c r="C741" s="58">
        <v>2</v>
      </c>
      <c r="D741" s="56">
        <v>5.3</v>
      </c>
      <c r="E741" s="58">
        <v>7.5</v>
      </c>
      <c r="F741" s="58" t="s">
        <v>87</v>
      </c>
      <c r="G741" s="58" t="s">
        <v>119</v>
      </c>
      <c r="H741" s="49">
        <f>IF(G741&gt;0,VLOOKUP(G741,Apoio!$O$2:$P$24,2,0),"")</f>
        <v>12</v>
      </c>
      <c r="I741" s="44">
        <f t="shared" si="11"/>
        <v>33.962264150943398</v>
      </c>
      <c r="J741" s="36"/>
    </row>
    <row r="742" spans="1:10" hidden="1" x14ac:dyDescent="0.3">
      <c r="A742" s="58" t="s">
        <v>213</v>
      </c>
      <c r="B742" s="58" t="s">
        <v>35</v>
      </c>
      <c r="C742" s="58">
        <v>2</v>
      </c>
      <c r="D742" s="56">
        <v>5.3</v>
      </c>
      <c r="E742" s="58">
        <v>7.5</v>
      </c>
      <c r="F742" s="58" t="s">
        <v>87</v>
      </c>
      <c r="G742" s="58" t="s">
        <v>122</v>
      </c>
      <c r="H742" s="49">
        <f>IF(G742&gt;0,VLOOKUP(G742,Apoio!$O$2:$P$24,2,0),"")</f>
        <v>8</v>
      </c>
      <c r="I742" s="44">
        <f t="shared" si="11"/>
        <v>22.641509433962266</v>
      </c>
      <c r="J742" s="36"/>
    </row>
    <row r="743" spans="1:10" hidden="1" x14ac:dyDescent="0.3">
      <c r="A743" s="58" t="s">
        <v>213</v>
      </c>
      <c r="B743" s="58" t="s">
        <v>35</v>
      </c>
      <c r="C743" s="58">
        <v>2</v>
      </c>
      <c r="D743" s="56">
        <v>5.3</v>
      </c>
      <c r="E743" s="58">
        <v>7.5</v>
      </c>
      <c r="F743" s="58" t="s">
        <v>87</v>
      </c>
      <c r="G743" s="58" t="s">
        <v>125</v>
      </c>
      <c r="H743" s="49">
        <f>IF(G743&gt;0,VLOOKUP(G743,Apoio!$O$2:$P$24,2,0),"")</f>
        <v>8</v>
      </c>
      <c r="I743" s="44">
        <f t="shared" si="11"/>
        <v>22.641509433962266</v>
      </c>
      <c r="J743" s="36"/>
    </row>
    <row r="744" spans="1:10" hidden="1" x14ac:dyDescent="0.3">
      <c r="A744" s="58" t="s">
        <v>213</v>
      </c>
      <c r="B744" s="58" t="s">
        <v>35</v>
      </c>
      <c r="C744" s="58">
        <v>2</v>
      </c>
      <c r="D744" s="56">
        <v>5.3</v>
      </c>
      <c r="E744" s="58">
        <v>7.5</v>
      </c>
      <c r="F744" s="58" t="s">
        <v>87</v>
      </c>
      <c r="G744" s="58" t="s">
        <v>128</v>
      </c>
      <c r="H744" s="49">
        <f>IF(G744&gt;0,VLOOKUP(G744,Apoio!$O$2:$P$24,2,0),"")</f>
        <v>8</v>
      </c>
      <c r="I744" s="44">
        <f t="shared" si="11"/>
        <v>22.641509433962266</v>
      </c>
      <c r="J744" s="36"/>
    </row>
    <row r="745" spans="1:10" hidden="1" x14ac:dyDescent="0.3">
      <c r="A745" s="58" t="s">
        <v>213</v>
      </c>
      <c r="B745" s="58" t="s">
        <v>35</v>
      </c>
      <c r="C745" s="58">
        <v>2</v>
      </c>
      <c r="D745" s="56">
        <v>5.3</v>
      </c>
      <c r="E745" s="58">
        <v>7.5</v>
      </c>
      <c r="F745" s="58" t="s">
        <v>87</v>
      </c>
      <c r="G745" s="58" t="s">
        <v>131</v>
      </c>
      <c r="H745" s="49">
        <f>IF(G745&gt;0,VLOOKUP(G745,Apoio!$O$2:$P$24,2,0),"")</f>
        <v>8</v>
      </c>
      <c r="I745" s="44">
        <f t="shared" si="11"/>
        <v>22.641509433962266</v>
      </c>
      <c r="J745" s="36"/>
    </row>
    <row r="746" spans="1:10" hidden="1" x14ac:dyDescent="0.3">
      <c r="A746" s="58" t="s">
        <v>213</v>
      </c>
      <c r="B746" s="58" t="s">
        <v>35</v>
      </c>
      <c r="C746" s="58">
        <v>2</v>
      </c>
      <c r="D746" s="56">
        <v>5.3</v>
      </c>
      <c r="E746" s="58">
        <v>7.5</v>
      </c>
      <c r="F746" s="58" t="s">
        <v>87</v>
      </c>
      <c r="G746" s="58" t="s">
        <v>134</v>
      </c>
      <c r="H746" s="49">
        <f>IF(G746&gt;0,VLOOKUP(G746,Apoio!$O$2:$P$24,2,0),"")</f>
        <v>3</v>
      </c>
      <c r="I746" s="44">
        <f t="shared" si="11"/>
        <v>8.4905660377358494</v>
      </c>
      <c r="J746" s="36"/>
    </row>
    <row r="747" spans="1:10" hidden="1" x14ac:dyDescent="0.3">
      <c r="A747" s="58" t="s">
        <v>213</v>
      </c>
      <c r="B747" s="58" t="s">
        <v>35</v>
      </c>
      <c r="C747" s="58">
        <v>2</v>
      </c>
      <c r="D747" s="58">
        <v>5</v>
      </c>
      <c r="E747" s="58">
        <v>7.5</v>
      </c>
      <c r="F747" s="58" t="s">
        <v>94</v>
      </c>
      <c r="G747" s="58" t="s">
        <v>137</v>
      </c>
      <c r="H747" s="49">
        <f>IF(G747&gt;0,VLOOKUP(G747,Apoio!$O$2:$P$24,2,0),"")</f>
        <v>13</v>
      </c>
      <c r="I747" s="44">
        <f t="shared" si="11"/>
        <v>39</v>
      </c>
      <c r="J747" s="36"/>
    </row>
    <row r="748" spans="1:10" hidden="1" x14ac:dyDescent="0.3">
      <c r="A748" s="58" t="s">
        <v>213</v>
      </c>
      <c r="B748" s="58" t="s">
        <v>35</v>
      </c>
      <c r="C748" s="58">
        <v>2</v>
      </c>
      <c r="D748" s="58">
        <v>5</v>
      </c>
      <c r="E748" s="58">
        <v>7.5</v>
      </c>
      <c r="F748" s="58" t="s">
        <v>94</v>
      </c>
      <c r="G748" s="58" t="s">
        <v>140</v>
      </c>
      <c r="H748" s="49">
        <f>IF(G748&gt;0,VLOOKUP(G748,Apoio!$O$2:$P$24,2,0),"")</f>
        <v>8</v>
      </c>
      <c r="I748" s="44">
        <f t="shared" si="11"/>
        <v>24</v>
      </c>
      <c r="J748" s="36"/>
    </row>
    <row r="749" spans="1:10" hidden="1" x14ac:dyDescent="0.3">
      <c r="A749" s="58" t="s">
        <v>213</v>
      </c>
      <c r="B749" s="58" t="s">
        <v>35</v>
      </c>
      <c r="C749" s="58">
        <v>2</v>
      </c>
      <c r="D749" s="58">
        <v>5</v>
      </c>
      <c r="E749" s="58">
        <v>7.5</v>
      </c>
      <c r="F749" s="58" t="s">
        <v>94</v>
      </c>
      <c r="G749" s="58" t="s">
        <v>143</v>
      </c>
      <c r="H749" s="49">
        <f>IF(G749&gt;0,VLOOKUP(G749,Apoio!$O$2:$P$24,2,0),"")</f>
        <v>8</v>
      </c>
      <c r="I749" s="44">
        <f t="shared" si="11"/>
        <v>24</v>
      </c>
      <c r="J749" s="36"/>
    </row>
    <row r="750" spans="1:10" hidden="1" x14ac:dyDescent="0.3">
      <c r="A750" s="58" t="s">
        <v>213</v>
      </c>
      <c r="B750" s="58" t="s">
        <v>35</v>
      </c>
      <c r="C750" s="58">
        <v>2</v>
      </c>
      <c r="D750" s="58">
        <v>5</v>
      </c>
      <c r="E750" s="58">
        <v>7.5</v>
      </c>
      <c r="F750" s="58" t="s">
        <v>94</v>
      </c>
      <c r="G750" s="58" t="s">
        <v>146</v>
      </c>
      <c r="H750" s="49">
        <f>IF(G750&gt;0,VLOOKUP(G750,Apoio!$O$2:$P$24,2,0),"")</f>
        <v>6</v>
      </c>
      <c r="I750" s="44">
        <f t="shared" si="11"/>
        <v>18</v>
      </c>
      <c r="J750" s="36"/>
    </row>
    <row r="751" spans="1:10" hidden="1" x14ac:dyDescent="0.3">
      <c r="A751" s="58" t="s">
        <v>213</v>
      </c>
      <c r="B751" s="58" t="s">
        <v>35</v>
      </c>
      <c r="C751" s="58">
        <v>2</v>
      </c>
      <c r="D751" s="58">
        <v>5</v>
      </c>
      <c r="E751" s="58">
        <v>7.5</v>
      </c>
      <c r="F751" s="58" t="s">
        <v>94</v>
      </c>
      <c r="G751" s="58" t="s">
        <v>149</v>
      </c>
      <c r="H751" s="49">
        <f>IF(G751&gt;0,VLOOKUP(G751,Apoio!$O$2:$P$24,2,0),"")</f>
        <v>8</v>
      </c>
      <c r="I751" s="44">
        <f t="shared" si="11"/>
        <v>24</v>
      </c>
      <c r="J751" s="36"/>
    </row>
    <row r="752" spans="1:10" hidden="1" x14ac:dyDescent="0.3">
      <c r="A752" s="58" t="s">
        <v>213</v>
      </c>
      <c r="B752" s="58" t="s">
        <v>35</v>
      </c>
      <c r="C752" s="58">
        <v>2</v>
      </c>
      <c r="D752" s="58">
        <v>5</v>
      </c>
      <c r="E752" s="58">
        <v>7.5</v>
      </c>
      <c r="F752" s="58" t="s">
        <v>94</v>
      </c>
      <c r="G752" s="58" t="s">
        <v>152</v>
      </c>
      <c r="H752" s="49">
        <f>IF(G752&gt;0,VLOOKUP(G752,Apoio!$O$2:$P$24,2,0),"")</f>
        <v>8</v>
      </c>
      <c r="I752" s="44">
        <f t="shared" si="11"/>
        <v>24</v>
      </c>
      <c r="J752" s="36"/>
    </row>
    <row r="753" spans="1:10" hidden="1" x14ac:dyDescent="0.3">
      <c r="A753" s="4" t="s">
        <v>36</v>
      </c>
      <c r="B753" s="4" t="s">
        <v>214</v>
      </c>
      <c r="C753" s="58">
        <v>7</v>
      </c>
      <c r="D753" s="56">
        <v>6.6</v>
      </c>
      <c r="E753" s="51">
        <v>7.5</v>
      </c>
      <c r="F753" s="4" t="s">
        <v>73</v>
      </c>
      <c r="G753" s="4" t="s">
        <v>72</v>
      </c>
      <c r="H753" s="49">
        <f>IF(G753&gt;0,VLOOKUP(G753,Apoio!$O$2:$P$24,2,0),"")</f>
        <v>8</v>
      </c>
      <c r="I753" s="44">
        <f t="shared" si="11"/>
        <v>63.63636363636364</v>
      </c>
      <c r="J753" s="36"/>
    </row>
    <row r="754" spans="1:10" hidden="1" x14ac:dyDescent="0.3">
      <c r="A754" s="4" t="s">
        <v>36</v>
      </c>
      <c r="B754" s="4" t="s">
        <v>214</v>
      </c>
      <c r="C754" s="58">
        <v>7</v>
      </c>
      <c r="D754" s="56">
        <v>6.6</v>
      </c>
      <c r="E754" s="51">
        <v>7.5</v>
      </c>
      <c r="F754" s="4" t="s">
        <v>73</v>
      </c>
      <c r="G754" s="4" t="s">
        <v>79</v>
      </c>
      <c r="H754" s="49">
        <f>IF(G754&gt;0,VLOOKUP(G754,Apoio!$O$2:$P$24,2,0),"")</f>
        <v>6</v>
      </c>
      <c r="I754" s="44">
        <f t="shared" si="11"/>
        <v>47.727272727272727</v>
      </c>
      <c r="J754" s="36"/>
    </row>
    <row r="755" spans="1:10" hidden="1" x14ac:dyDescent="0.3">
      <c r="A755" s="4" t="s">
        <v>36</v>
      </c>
      <c r="B755" s="4" t="s">
        <v>214</v>
      </c>
      <c r="C755" s="58">
        <v>7</v>
      </c>
      <c r="D755" s="56">
        <v>6.6</v>
      </c>
      <c r="E755" s="51">
        <v>7.5</v>
      </c>
      <c r="F755" s="4" t="s">
        <v>73</v>
      </c>
      <c r="G755" s="4" t="s">
        <v>86</v>
      </c>
      <c r="H755" s="49">
        <f>IF(G755&gt;0,VLOOKUP(G755,Apoio!$O$2:$P$24,2,0),"")</f>
        <v>8</v>
      </c>
      <c r="I755" s="44">
        <f t="shared" si="11"/>
        <v>63.63636363636364</v>
      </c>
      <c r="J755" s="36"/>
    </row>
    <row r="756" spans="1:10" hidden="1" x14ac:dyDescent="0.3">
      <c r="A756" s="4" t="s">
        <v>36</v>
      </c>
      <c r="B756" s="4" t="s">
        <v>214</v>
      </c>
      <c r="C756" s="58">
        <v>7</v>
      </c>
      <c r="D756" s="56">
        <v>6.6</v>
      </c>
      <c r="E756" s="51">
        <v>7.5</v>
      </c>
      <c r="F756" s="4" t="s">
        <v>73</v>
      </c>
      <c r="G756" s="4" t="s">
        <v>93</v>
      </c>
      <c r="H756" s="49">
        <f>IF(G756&gt;0,VLOOKUP(G756,Apoio!$O$2:$P$24,2,0),"")</f>
        <v>8</v>
      </c>
      <c r="I756" s="44">
        <f t="shared" si="11"/>
        <v>63.63636363636364</v>
      </c>
      <c r="J756" s="36"/>
    </row>
    <row r="757" spans="1:10" hidden="1" x14ac:dyDescent="0.3">
      <c r="A757" s="4" t="s">
        <v>36</v>
      </c>
      <c r="B757" s="4" t="s">
        <v>214</v>
      </c>
      <c r="C757" s="58">
        <v>7</v>
      </c>
      <c r="D757" s="56">
        <v>6.6</v>
      </c>
      <c r="E757" s="51">
        <v>7.5</v>
      </c>
      <c r="F757" s="4" t="s">
        <v>73</v>
      </c>
      <c r="G757" s="4" t="s">
        <v>98</v>
      </c>
      <c r="H757" s="49">
        <f>IF(G757&gt;0,VLOOKUP(G757,Apoio!$O$2:$P$24,2,0),"")</f>
        <v>7</v>
      </c>
      <c r="I757" s="44">
        <f t="shared" si="11"/>
        <v>55.681818181818187</v>
      </c>
      <c r="J757" s="36"/>
    </row>
    <row r="758" spans="1:10" hidden="1" x14ac:dyDescent="0.3">
      <c r="A758" s="4" t="s">
        <v>36</v>
      </c>
      <c r="B758" s="4" t="s">
        <v>214</v>
      </c>
      <c r="C758" s="58">
        <v>7</v>
      </c>
      <c r="D758" s="56">
        <v>6.6</v>
      </c>
      <c r="E758" s="51">
        <v>7.5</v>
      </c>
      <c r="F758" s="4" t="s">
        <v>73</v>
      </c>
      <c r="G758" s="4" t="s">
        <v>101</v>
      </c>
      <c r="H758" s="49">
        <f>IF(G758&gt;0,VLOOKUP(G758,Apoio!$O$2:$P$24,2,0),"")</f>
        <v>3</v>
      </c>
      <c r="I758" s="44">
        <f t="shared" si="11"/>
        <v>23.863636363636363</v>
      </c>
      <c r="J758" s="36"/>
    </row>
    <row r="759" spans="1:10" hidden="1" x14ac:dyDescent="0.3">
      <c r="A759" s="4" t="s">
        <v>36</v>
      </c>
      <c r="B759" s="4" t="s">
        <v>214</v>
      </c>
      <c r="C759" s="58">
        <v>7</v>
      </c>
      <c r="D759" s="56">
        <v>8.4</v>
      </c>
      <c r="E759" s="51">
        <v>7.5</v>
      </c>
      <c r="F759" s="4" t="s">
        <v>80</v>
      </c>
      <c r="G759" s="4" t="s">
        <v>104</v>
      </c>
      <c r="H759" s="49">
        <f>IF(G759&gt;0,VLOOKUP(G759,Apoio!$O$2:$P$24,2,0),"")</f>
        <v>8</v>
      </c>
      <c r="I759" s="44">
        <f t="shared" si="11"/>
        <v>50</v>
      </c>
      <c r="J759" s="36"/>
    </row>
    <row r="760" spans="1:10" hidden="1" x14ac:dyDescent="0.3">
      <c r="A760" s="4" t="s">
        <v>36</v>
      </c>
      <c r="B760" s="4" t="s">
        <v>214</v>
      </c>
      <c r="C760" s="58">
        <v>7</v>
      </c>
      <c r="D760" s="56">
        <v>8.4</v>
      </c>
      <c r="E760" s="51">
        <v>7.5</v>
      </c>
      <c r="F760" s="4" t="s">
        <v>80</v>
      </c>
      <c r="G760" s="4" t="s">
        <v>107</v>
      </c>
      <c r="H760" s="49">
        <f>IF(G760&gt;0,VLOOKUP(G760,Apoio!$O$2:$P$24,2,0),"")</f>
        <v>7</v>
      </c>
      <c r="I760" s="44">
        <f t="shared" si="11"/>
        <v>43.75</v>
      </c>
      <c r="J760" s="36"/>
    </row>
    <row r="761" spans="1:10" hidden="1" x14ac:dyDescent="0.3">
      <c r="A761" s="4" t="s">
        <v>36</v>
      </c>
      <c r="B761" s="4" t="s">
        <v>214</v>
      </c>
      <c r="C761" s="58">
        <v>7</v>
      </c>
      <c r="D761" s="56">
        <v>8.4</v>
      </c>
      <c r="E761" s="51">
        <v>7.5</v>
      </c>
      <c r="F761" s="4" t="s">
        <v>80</v>
      </c>
      <c r="G761" s="4" t="s">
        <v>110</v>
      </c>
      <c r="H761" s="49">
        <f>IF(G761&gt;0,VLOOKUP(G761,Apoio!$O$2:$P$24,2,0),"")</f>
        <v>8</v>
      </c>
      <c r="I761" s="44">
        <f t="shared" si="11"/>
        <v>50</v>
      </c>
      <c r="J761" s="36"/>
    </row>
    <row r="762" spans="1:10" hidden="1" x14ac:dyDescent="0.3">
      <c r="A762" s="4" t="s">
        <v>36</v>
      </c>
      <c r="B762" s="9" t="s">
        <v>214</v>
      </c>
      <c r="C762" s="58">
        <v>7</v>
      </c>
      <c r="D762" s="56">
        <v>8.4</v>
      </c>
      <c r="E762" s="51">
        <v>7.5</v>
      </c>
      <c r="F762" s="4" t="s">
        <v>80</v>
      </c>
      <c r="G762" s="4" t="s">
        <v>113</v>
      </c>
      <c r="H762" s="49">
        <f>IF(G762&gt;0,VLOOKUP(G762,Apoio!$O$2:$P$24,2,0),"")</f>
        <v>7</v>
      </c>
      <c r="I762" s="44">
        <f t="shared" si="11"/>
        <v>43.75</v>
      </c>
      <c r="J762" s="36"/>
    </row>
    <row r="763" spans="1:10" hidden="1" x14ac:dyDescent="0.3">
      <c r="A763" s="4" t="s">
        <v>36</v>
      </c>
      <c r="B763" s="9" t="s">
        <v>214</v>
      </c>
      <c r="C763" s="58">
        <v>7</v>
      </c>
      <c r="D763" s="56">
        <v>8.4</v>
      </c>
      <c r="E763" s="51">
        <v>7.5</v>
      </c>
      <c r="F763" s="4" t="s">
        <v>80</v>
      </c>
      <c r="G763" s="4" t="s">
        <v>116</v>
      </c>
      <c r="H763" s="49">
        <f>IF(G763&gt;0,VLOOKUP(G763,Apoio!$O$2:$P$24,2,0),"")</f>
        <v>4</v>
      </c>
      <c r="I763" s="44">
        <f t="shared" si="11"/>
        <v>25</v>
      </c>
      <c r="J763" s="36"/>
    </row>
    <row r="764" spans="1:10" hidden="1" x14ac:dyDescent="0.3">
      <c r="A764" s="4" t="s">
        <v>36</v>
      </c>
      <c r="B764" s="9" t="s">
        <v>214</v>
      </c>
      <c r="C764" s="58">
        <v>7</v>
      </c>
      <c r="D764" s="56">
        <v>7.2</v>
      </c>
      <c r="E764" s="51">
        <v>7.5</v>
      </c>
      <c r="F764" s="4" t="s">
        <v>87</v>
      </c>
      <c r="G764" s="4" t="s">
        <v>119</v>
      </c>
      <c r="H764" s="49">
        <f>IF(G764&gt;0,VLOOKUP(G764,Apoio!$O$2:$P$24,2,0),"")</f>
        <v>12</v>
      </c>
      <c r="I764" s="44">
        <f t="shared" si="11"/>
        <v>87.5</v>
      </c>
      <c r="J764" s="36"/>
    </row>
    <row r="765" spans="1:10" hidden="1" x14ac:dyDescent="0.3">
      <c r="A765" s="4" t="s">
        <v>36</v>
      </c>
      <c r="B765" s="9" t="s">
        <v>214</v>
      </c>
      <c r="C765" s="58">
        <v>7</v>
      </c>
      <c r="D765" s="56">
        <v>7.2</v>
      </c>
      <c r="E765" s="51">
        <v>7.5</v>
      </c>
      <c r="F765" s="4" t="s">
        <v>87</v>
      </c>
      <c r="G765" s="4" t="s">
        <v>122</v>
      </c>
      <c r="H765" s="49">
        <f>IF(G765&gt;0,VLOOKUP(G765,Apoio!$O$2:$P$24,2,0),"")</f>
        <v>8</v>
      </c>
      <c r="I765" s="44">
        <f t="shared" si="11"/>
        <v>58.333333333333329</v>
      </c>
      <c r="J765" s="36"/>
    </row>
    <row r="766" spans="1:10" hidden="1" x14ac:dyDescent="0.3">
      <c r="A766" s="4" t="s">
        <v>36</v>
      </c>
      <c r="B766" s="9" t="s">
        <v>214</v>
      </c>
      <c r="C766" s="58">
        <v>7</v>
      </c>
      <c r="D766" s="56">
        <v>7.2</v>
      </c>
      <c r="E766" s="51">
        <v>7.5</v>
      </c>
      <c r="F766" s="4" t="s">
        <v>87</v>
      </c>
      <c r="G766" s="4" t="s">
        <v>125</v>
      </c>
      <c r="H766" s="49">
        <f>IF(G766&gt;0,VLOOKUP(G766,Apoio!$O$2:$P$24,2,0),"")</f>
        <v>8</v>
      </c>
      <c r="I766" s="44">
        <f t="shared" si="11"/>
        <v>58.333333333333329</v>
      </c>
      <c r="J766" s="36"/>
    </row>
    <row r="767" spans="1:10" hidden="1" x14ac:dyDescent="0.3">
      <c r="A767" s="52" t="s">
        <v>36</v>
      </c>
      <c r="B767" s="53" t="s">
        <v>214</v>
      </c>
      <c r="C767" s="58">
        <v>7</v>
      </c>
      <c r="D767" s="56">
        <v>7.2</v>
      </c>
      <c r="E767" s="51">
        <v>7.5</v>
      </c>
      <c r="F767" s="4" t="s">
        <v>87</v>
      </c>
      <c r="G767" s="4" t="s">
        <v>128</v>
      </c>
      <c r="H767" s="49">
        <f>IF(G767&gt;0,VLOOKUP(G767,Apoio!$O$2:$P$24,2,0),"")</f>
        <v>8</v>
      </c>
      <c r="I767" s="44">
        <f t="shared" si="11"/>
        <v>58.333333333333329</v>
      </c>
      <c r="J767" s="36"/>
    </row>
    <row r="768" spans="1:10" hidden="1" x14ac:dyDescent="0.3">
      <c r="A768" s="4" t="s">
        <v>36</v>
      </c>
      <c r="B768" s="54" t="s">
        <v>214</v>
      </c>
      <c r="C768" s="58">
        <v>7</v>
      </c>
      <c r="D768" s="56">
        <v>7.2</v>
      </c>
      <c r="E768" s="51">
        <v>7.5</v>
      </c>
      <c r="F768" s="4" t="s">
        <v>87</v>
      </c>
      <c r="G768" s="4" t="s">
        <v>131</v>
      </c>
      <c r="H768" s="49">
        <f>IF(G768&gt;0,VLOOKUP(G768,Apoio!$O$2:$P$24,2,0),"")</f>
        <v>8</v>
      </c>
      <c r="I768" s="44">
        <f t="shared" si="11"/>
        <v>58.333333333333329</v>
      </c>
      <c r="J768" s="36"/>
    </row>
    <row r="769" spans="1:10" hidden="1" x14ac:dyDescent="0.3">
      <c r="A769" s="4" t="s">
        <v>36</v>
      </c>
      <c r="B769" s="9" t="s">
        <v>214</v>
      </c>
      <c r="C769" s="58">
        <v>7</v>
      </c>
      <c r="D769" s="56">
        <v>7.2</v>
      </c>
      <c r="E769" s="51">
        <v>7.5</v>
      </c>
      <c r="F769" s="4" t="s">
        <v>87</v>
      </c>
      <c r="G769" s="4" t="s">
        <v>134</v>
      </c>
      <c r="H769" s="49">
        <f>IF(G769&gt;0,VLOOKUP(G769,Apoio!$O$2:$P$24,2,0),"")</f>
        <v>3</v>
      </c>
      <c r="I769" s="44">
        <f t="shared" si="11"/>
        <v>21.875</v>
      </c>
      <c r="J769" s="36"/>
    </row>
    <row r="770" spans="1:10" hidden="1" x14ac:dyDescent="0.3">
      <c r="A770" s="4" t="s">
        <v>36</v>
      </c>
      <c r="B770" s="68" t="s">
        <v>214</v>
      </c>
      <c r="C770" s="55">
        <v>6</v>
      </c>
      <c r="D770" s="70">
        <v>6.2</v>
      </c>
      <c r="E770" s="71">
        <v>7.5</v>
      </c>
      <c r="F770" s="68" t="s">
        <v>94</v>
      </c>
      <c r="G770" s="68" t="s">
        <v>137</v>
      </c>
      <c r="H770" s="48">
        <f>IF(G770&gt;0,VLOOKUP(G770,Apoio!$O$2:$P$24,2,0),"")</f>
        <v>13</v>
      </c>
      <c r="I770" s="44">
        <f t="shared" ref="I770:I833" si="12">IF(D770&gt;0,(((H770*E770)*C770)/D770),"")</f>
        <v>94.354838709677423</v>
      </c>
      <c r="J770" s="36"/>
    </row>
    <row r="771" spans="1:10" hidden="1" x14ac:dyDescent="0.3">
      <c r="A771" s="4" t="s">
        <v>36</v>
      </c>
      <c r="B771" s="68" t="s">
        <v>214</v>
      </c>
      <c r="C771" s="55">
        <v>6</v>
      </c>
      <c r="D771" s="70">
        <v>6.2</v>
      </c>
      <c r="E771" s="71">
        <v>7.5</v>
      </c>
      <c r="F771" s="68" t="s">
        <v>94</v>
      </c>
      <c r="G771" s="68" t="s">
        <v>140</v>
      </c>
      <c r="H771" s="48">
        <f>IF(G771&gt;0,VLOOKUP(G771,Apoio!$O$2:$P$24,2,0),"")</f>
        <v>8</v>
      </c>
      <c r="I771" s="44">
        <f t="shared" si="12"/>
        <v>58.064516129032256</v>
      </c>
      <c r="J771" s="36"/>
    </row>
    <row r="772" spans="1:10" hidden="1" x14ac:dyDescent="0.3">
      <c r="A772" s="4" t="s">
        <v>36</v>
      </c>
      <c r="B772" s="68" t="s">
        <v>214</v>
      </c>
      <c r="C772" s="55">
        <v>6.5</v>
      </c>
      <c r="D772" s="70">
        <v>6.2</v>
      </c>
      <c r="E772" s="71">
        <v>7.5</v>
      </c>
      <c r="F772" s="68" t="s">
        <v>94</v>
      </c>
      <c r="G772" s="68" t="s">
        <v>143</v>
      </c>
      <c r="H772" s="48">
        <f>IF(G772&gt;0,VLOOKUP(G772,Apoio!$O$2:$P$24,2,0),"")</f>
        <v>8</v>
      </c>
      <c r="I772" s="44">
        <f t="shared" si="12"/>
        <v>62.903225806451609</v>
      </c>
      <c r="J772" s="36"/>
    </row>
    <row r="773" spans="1:10" hidden="1" x14ac:dyDescent="0.3">
      <c r="A773" s="4" t="s">
        <v>36</v>
      </c>
      <c r="B773" s="68" t="s">
        <v>214</v>
      </c>
      <c r="C773" s="55">
        <v>6.5</v>
      </c>
      <c r="D773" s="70">
        <v>6.2</v>
      </c>
      <c r="E773" s="71">
        <v>7.5</v>
      </c>
      <c r="F773" s="68" t="s">
        <v>94</v>
      </c>
      <c r="G773" s="68" t="s">
        <v>146</v>
      </c>
      <c r="H773" s="48">
        <f>IF(G773&gt;0,VLOOKUP(G773,Apoio!$O$2:$P$24,2,0),"")</f>
        <v>6</v>
      </c>
      <c r="I773" s="44">
        <f t="shared" si="12"/>
        <v>47.177419354838712</v>
      </c>
      <c r="J773" s="36"/>
    </row>
    <row r="774" spans="1:10" hidden="1" x14ac:dyDescent="0.3">
      <c r="A774" s="4" t="s">
        <v>36</v>
      </c>
      <c r="B774" s="68" t="s">
        <v>214</v>
      </c>
      <c r="C774" s="55">
        <v>6</v>
      </c>
      <c r="D774" s="70">
        <v>6.2</v>
      </c>
      <c r="E774" s="71">
        <v>7.5</v>
      </c>
      <c r="F774" s="68" t="s">
        <v>94</v>
      </c>
      <c r="G774" s="68" t="s">
        <v>149</v>
      </c>
      <c r="H774" s="48">
        <f>IF(G774&gt;0,VLOOKUP(G774,Apoio!$O$2:$P$24,2,0),"")</f>
        <v>8</v>
      </c>
      <c r="I774" s="44">
        <f t="shared" si="12"/>
        <v>58.064516129032256</v>
      </c>
      <c r="J774" s="36"/>
    </row>
    <row r="775" spans="1:10" hidden="1" x14ac:dyDescent="0.3">
      <c r="A775" s="4" t="s">
        <v>36</v>
      </c>
      <c r="B775" s="68" t="s">
        <v>214</v>
      </c>
      <c r="C775" s="55">
        <v>6</v>
      </c>
      <c r="D775" s="70">
        <v>6.2</v>
      </c>
      <c r="E775" s="71">
        <v>7.5</v>
      </c>
      <c r="F775" s="68" t="s">
        <v>94</v>
      </c>
      <c r="G775" s="68" t="s">
        <v>152</v>
      </c>
      <c r="H775" s="48">
        <f>IF(G775&gt;0,VLOOKUP(G775,Apoio!$O$2:$P$24,2,0),"")</f>
        <v>8</v>
      </c>
      <c r="I775" s="44">
        <f t="shared" si="12"/>
        <v>58.064516129032256</v>
      </c>
      <c r="J775" s="36"/>
    </row>
    <row r="776" spans="1:10" hidden="1" x14ac:dyDescent="0.3">
      <c r="A776" s="67" t="s">
        <v>36</v>
      </c>
      <c r="B776" s="68" t="s">
        <v>29</v>
      </c>
      <c r="C776" s="55">
        <v>4.5</v>
      </c>
      <c r="D776" s="70">
        <v>7.1</v>
      </c>
      <c r="E776" s="71">
        <v>7.5</v>
      </c>
      <c r="F776" s="68" t="s">
        <v>87</v>
      </c>
      <c r="G776" s="68" t="s">
        <v>119</v>
      </c>
      <c r="H776" s="50">
        <f>IF(G776&gt;0,VLOOKUP(G776,Apoio!$O$2:$P$24,2,0),"")</f>
        <v>12</v>
      </c>
      <c r="I776" s="44">
        <f t="shared" si="12"/>
        <v>57.04225352112676</v>
      </c>
      <c r="J776" s="36"/>
    </row>
    <row r="777" spans="1:10" hidden="1" x14ac:dyDescent="0.3">
      <c r="A777" s="4" t="s">
        <v>36</v>
      </c>
      <c r="B777" s="68" t="s">
        <v>29</v>
      </c>
      <c r="C777" s="55">
        <v>4</v>
      </c>
      <c r="D777" s="70">
        <v>7.1</v>
      </c>
      <c r="E777" s="71">
        <v>7.5</v>
      </c>
      <c r="F777" s="68" t="s">
        <v>87</v>
      </c>
      <c r="G777" s="68" t="s">
        <v>122</v>
      </c>
      <c r="H777" s="48">
        <f>IF(G777&gt;0,VLOOKUP(G777,Apoio!$O$2:$P$24,2,0),"")</f>
        <v>8</v>
      </c>
      <c r="I777" s="44">
        <f t="shared" si="12"/>
        <v>33.802816901408455</v>
      </c>
      <c r="J777" s="36"/>
    </row>
    <row r="778" spans="1:10" hidden="1" x14ac:dyDescent="0.3">
      <c r="A778" s="4" t="s">
        <v>36</v>
      </c>
      <c r="B778" s="68" t="s">
        <v>29</v>
      </c>
      <c r="C778" s="55">
        <v>5.25</v>
      </c>
      <c r="D778" s="70">
        <v>7.1</v>
      </c>
      <c r="E778" s="71">
        <v>7.5</v>
      </c>
      <c r="F778" s="68" t="s">
        <v>87</v>
      </c>
      <c r="G778" s="68" t="s">
        <v>125</v>
      </c>
      <c r="H778" s="48">
        <f>IF(G778&gt;0,VLOOKUP(G778,Apoio!$O$2:$P$24,2,0),"")</f>
        <v>8</v>
      </c>
      <c r="I778" s="44">
        <f t="shared" si="12"/>
        <v>44.366197183098592</v>
      </c>
      <c r="J778" s="36"/>
    </row>
    <row r="779" spans="1:10" hidden="1" x14ac:dyDescent="0.3">
      <c r="A779" s="4" t="s">
        <v>36</v>
      </c>
      <c r="B779" s="68" t="s">
        <v>29</v>
      </c>
      <c r="C779" s="55">
        <v>5.5</v>
      </c>
      <c r="D779" s="70">
        <v>7.1</v>
      </c>
      <c r="E779" s="71">
        <v>7.5</v>
      </c>
      <c r="F779" s="68" t="s">
        <v>87</v>
      </c>
      <c r="G779" s="68" t="s">
        <v>128</v>
      </c>
      <c r="H779" s="48">
        <f>IF(G779&gt;0,VLOOKUP(G779,Apoio!$O$2:$P$24,2,0),"")</f>
        <v>8</v>
      </c>
      <c r="I779" s="44">
        <f t="shared" si="12"/>
        <v>46.478873239436624</v>
      </c>
      <c r="J779" s="36"/>
    </row>
    <row r="780" spans="1:10" hidden="1" x14ac:dyDescent="0.3">
      <c r="A780" s="4" t="s">
        <v>36</v>
      </c>
      <c r="B780" s="68" t="s">
        <v>29</v>
      </c>
      <c r="C780" s="55">
        <v>5.5</v>
      </c>
      <c r="D780" s="70">
        <v>7.1</v>
      </c>
      <c r="E780" s="71">
        <v>7.5</v>
      </c>
      <c r="F780" s="68" t="s">
        <v>87</v>
      </c>
      <c r="G780" s="68" t="s">
        <v>131</v>
      </c>
      <c r="H780" s="48">
        <f>IF(G780&gt;0,VLOOKUP(G780,Apoio!$O$2:$P$24,2,0),"")</f>
        <v>8</v>
      </c>
      <c r="I780" s="44">
        <f t="shared" si="12"/>
        <v>46.478873239436624</v>
      </c>
      <c r="J780" s="36"/>
    </row>
    <row r="781" spans="1:10" hidden="1" x14ac:dyDescent="0.3">
      <c r="A781" s="4" t="s">
        <v>36</v>
      </c>
      <c r="B781" s="68" t="s">
        <v>29</v>
      </c>
      <c r="C781" s="55">
        <v>5.5</v>
      </c>
      <c r="D781" s="70">
        <v>7.1</v>
      </c>
      <c r="E781" s="71">
        <v>7.5</v>
      </c>
      <c r="F781" s="68" t="s">
        <v>87</v>
      </c>
      <c r="G781" s="68" t="s">
        <v>134</v>
      </c>
      <c r="H781" s="48">
        <f>IF(G781&gt;0,VLOOKUP(G781,Apoio!$O$2:$P$24,2,0),"")</f>
        <v>3</v>
      </c>
      <c r="I781" s="44">
        <f t="shared" si="12"/>
        <v>17.429577464788732</v>
      </c>
      <c r="J781" s="36"/>
    </row>
    <row r="782" spans="1:10" hidden="1" x14ac:dyDescent="0.3">
      <c r="A782" s="67" t="s">
        <v>36</v>
      </c>
      <c r="B782" s="68" t="s">
        <v>29</v>
      </c>
      <c r="C782" s="55">
        <v>5.5</v>
      </c>
      <c r="D782" s="70">
        <v>7</v>
      </c>
      <c r="E782" s="71">
        <v>7.5</v>
      </c>
      <c r="F782" s="68" t="s">
        <v>94</v>
      </c>
      <c r="G782" s="68" t="s">
        <v>137</v>
      </c>
      <c r="H782" s="50">
        <f>IF(G782&gt;0,VLOOKUP(G782,Apoio!$O$2:$P$24,2,0),"")</f>
        <v>13</v>
      </c>
      <c r="I782" s="44">
        <f t="shared" si="12"/>
        <v>76.607142857142861</v>
      </c>
      <c r="J782" s="36"/>
    </row>
    <row r="783" spans="1:10" hidden="1" x14ac:dyDescent="0.3">
      <c r="A783" s="4" t="s">
        <v>36</v>
      </c>
      <c r="B783" s="68" t="s">
        <v>29</v>
      </c>
      <c r="C783" s="55">
        <v>5</v>
      </c>
      <c r="D783" s="70">
        <v>7</v>
      </c>
      <c r="E783" s="71">
        <v>7.5</v>
      </c>
      <c r="F783" s="68" t="s">
        <v>94</v>
      </c>
      <c r="G783" s="68" t="s">
        <v>140</v>
      </c>
      <c r="H783" s="48">
        <f>IF(G783&gt;0,VLOOKUP(G783,Apoio!$O$2:$P$24,2,0),"")</f>
        <v>8</v>
      </c>
      <c r="I783" s="44">
        <f t="shared" si="12"/>
        <v>42.857142857142854</v>
      </c>
      <c r="J783" s="36"/>
    </row>
    <row r="784" spans="1:10" hidden="1" x14ac:dyDescent="0.3">
      <c r="A784" s="4" t="s">
        <v>36</v>
      </c>
      <c r="B784" s="68" t="s">
        <v>29</v>
      </c>
      <c r="C784" s="55">
        <v>5</v>
      </c>
      <c r="D784" s="70">
        <v>7</v>
      </c>
      <c r="E784" s="71">
        <v>7.5</v>
      </c>
      <c r="F784" s="68" t="s">
        <v>94</v>
      </c>
      <c r="G784" s="68" t="s">
        <v>143</v>
      </c>
      <c r="H784" s="48">
        <f>IF(G784&gt;0,VLOOKUP(G784,Apoio!$O$2:$P$24,2,0),"")</f>
        <v>8</v>
      </c>
      <c r="I784" s="44">
        <f t="shared" si="12"/>
        <v>42.857142857142854</v>
      </c>
      <c r="J784" s="36"/>
    </row>
    <row r="785" spans="1:10" hidden="1" x14ac:dyDescent="0.3">
      <c r="A785" s="4" t="s">
        <v>36</v>
      </c>
      <c r="B785" s="68" t="s">
        <v>29</v>
      </c>
      <c r="C785" s="55">
        <v>5.5</v>
      </c>
      <c r="D785" s="70">
        <v>7</v>
      </c>
      <c r="E785" s="71">
        <v>7.5</v>
      </c>
      <c r="F785" s="68" t="s">
        <v>94</v>
      </c>
      <c r="G785" s="68" t="s">
        <v>146</v>
      </c>
      <c r="H785" s="48">
        <f>IF(G785&gt;0,VLOOKUP(G785,Apoio!$O$2:$P$24,2,0),"")</f>
        <v>6</v>
      </c>
      <c r="I785" s="44">
        <f t="shared" si="12"/>
        <v>35.357142857142854</v>
      </c>
      <c r="J785" s="36"/>
    </row>
    <row r="786" spans="1:10" hidden="1" x14ac:dyDescent="0.3">
      <c r="A786" s="4" t="s">
        <v>36</v>
      </c>
      <c r="B786" s="68" t="s">
        <v>29</v>
      </c>
      <c r="C786" s="55">
        <v>5.5</v>
      </c>
      <c r="D786" s="70">
        <v>7</v>
      </c>
      <c r="E786" s="71">
        <v>7.5</v>
      </c>
      <c r="F786" s="68" t="s">
        <v>94</v>
      </c>
      <c r="G786" s="68" t="s">
        <v>149</v>
      </c>
      <c r="H786" s="48">
        <f>IF(G786&gt;0,VLOOKUP(G786,Apoio!$O$2:$P$24,2,0),"")</f>
        <v>8</v>
      </c>
      <c r="I786" s="44">
        <f t="shared" si="12"/>
        <v>47.142857142857146</v>
      </c>
      <c r="J786" s="36"/>
    </row>
    <row r="787" spans="1:10" hidden="1" x14ac:dyDescent="0.3">
      <c r="A787" s="4" t="s">
        <v>36</v>
      </c>
      <c r="B787" s="68" t="s">
        <v>29</v>
      </c>
      <c r="C787" s="55">
        <v>4.5</v>
      </c>
      <c r="D787" s="70">
        <v>7</v>
      </c>
      <c r="E787" s="71">
        <v>7.5</v>
      </c>
      <c r="F787" s="68" t="s">
        <v>94</v>
      </c>
      <c r="G787" s="68" t="s">
        <v>152</v>
      </c>
      <c r="H787" s="48">
        <f>IF(G787&gt;0,VLOOKUP(G787,Apoio!$O$2:$P$24,2,0),"")</f>
        <v>8</v>
      </c>
      <c r="I787" s="44">
        <f t="shared" si="12"/>
        <v>38.571428571428569</v>
      </c>
      <c r="J787" s="36"/>
    </row>
    <row r="788" spans="1:10" hidden="1" x14ac:dyDescent="0.3">
      <c r="A788" s="67" t="s">
        <v>36</v>
      </c>
      <c r="B788" s="68" t="s">
        <v>198</v>
      </c>
      <c r="C788" s="55">
        <v>4</v>
      </c>
      <c r="D788" s="70">
        <v>7.7</v>
      </c>
      <c r="E788" s="71">
        <v>7.5</v>
      </c>
      <c r="F788" s="68" t="s">
        <v>73</v>
      </c>
      <c r="G788" s="68" t="s">
        <v>72</v>
      </c>
      <c r="H788" s="50">
        <f>IF(G788&gt;0,VLOOKUP(G788,Apoio!$O$2:$P$24,2,0),"")</f>
        <v>8</v>
      </c>
      <c r="I788" s="44">
        <f t="shared" si="12"/>
        <v>31.168831168831169</v>
      </c>
      <c r="J788" s="36"/>
    </row>
    <row r="789" spans="1:10" hidden="1" x14ac:dyDescent="0.3">
      <c r="A789" s="4" t="s">
        <v>36</v>
      </c>
      <c r="B789" s="68" t="s">
        <v>198</v>
      </c>
      <c r="C789" s="55">
        <v>4</v>
      </c>
      <c r="D789" s="70">
        <v>7.7</v>
      </c>
      <c r="E789" s="71">
        <v>7.5</v>
      </c>
      <c r="F789" s="68" t="s">
        <v>73</v>
      </c>
      <c r="G789" s="68" t="s">
        <v>79</v>
      </c>
      <c r="H789" s="48">
        <f>IF(G789&gt;0,VLOOKUP(G789,Apoio!$O$2:$P$24,2,0),"")</f>
        <v>6</v>
      </c>
      <c r="I789" s="44">
        <f t="shared" si="12"/>
        <v>23.376623376623375</v>
      </c>
      <c r="J789" s="36"/>
    </row>
    <row r="790" spans="1:10" hidden="1" x14ac:dyDescent="0.3">
      <c r="A790" s="4" t="s">
        <v>36</v>
      </c>
      <c r="B790" s="68" t="s">
        <v>198</v>
      </c>
      <c r="C790" s="55">
        <v>4</v>
      </c>
      <c r="D790" s="70">
        <v>7.7</v>
      </c>
      <c r="E790" s="71">
        <v>7.5</v>
      </c>
      <c r="F790" s="68" t="s">
        <v>73</v>
      </c>
      <c r="G790" s="68" t="s">
        <v>86</v>
      </c>
      <c r="H790" s="48">
        <f>IF(G790&gt;0,VLOOKUP(G790,Apoio!$O$2:$P$24,2,0),"")</f>
        <v>8</v>
      </c>
      <c r="I790" s="44">
        <f t="shared" si="12"/>
        <v>31.168831168831169</v>
      </c>
      <c r="J790" s="36"/>
    </row>
    <row r="791" spans="1:10" hidden="1" x14ac:dyDescent="0.3">
      <c r="A791" s="4" t="s">
        <v>36</v>
      </c>
      <c r="B791" s="68" t="s">
        <v>198</v>
      </c>
      <c r="C791" s="55">
        <v>4</v>
      </c>
      <c r="D791" s="70">
        <v>7.7</v>
      </c>
      <c r="E791" s="71">
        <v>7.5</v>
      </c>
      <c r="F791" s="68" t="s">
        <v>73</v>
      </c>
      <c r="G791" s="68" t="s">
        <v>93</v>
      </c>
      <c r="H791" s="48">
        <f>IF(G791&gt;0,VLOOKUP(G791,Apoio!$O$2:$P$24,2,0),"")</f>
        <v>8</v>
      </c>
      <c r="I791" s="44">
        <f t="shared" si="12"/>
        <v>31.168831168831169</v>
      </c>
      <c r="J791" s="36"/>
    </row>
    <row r="792" spans="1:10" hidden="1" x14ac:dyDescent="0.3">
      <c r="A792" s="4" t="s">
        <v>36</v>
      </c>
      <c r="B792" s="68" t="s">
        <v>198</v>
      </c>
      <c r="C792" s="55">
        <v>4</v>
      </c>
      <c r="D792" s="70">
        <v>7.7</v>
      </c>
      <c r="E792" s="71">
        <v>7.5</v>
      </c>
      <c r="F792" s="68" t="s">
        <v>73</v>
      </c>
      <c r="G792" s="68" t="s">
        <v>98</v>
      </c>
      <c r="H792" s="48">
        <f>IF(G792&gt;0,VLOOKUP(G792,Apoio!$O$2:$P$24,2,0),"")</f>
        <v>7</v>
      </c>
      <c r="I792" s="44">
        <f t="shared" si="12"/>
        <v>27.272727272727273</v>
      </c>
      <c r="J792" s="36"/>
    </row>
    <row r="793" spans="1:10" hidden="1" x14ac:dyDescent="0.3">
      <c r="A793" s="4" t="s">
        <v>36</v>
      </c>
      <c r="B793" s="68" t="s">
        <v>198</v>
      </c>
      <c r="C793" s="55">
        <v>4</v>
      </c>
      <c r="D793" s="70">
        <v>7.7</v>
      </c>
      <c r="E793" s="71">
        <v>7.5</v>
      </c>
      <c r="F793" s="68" t="s">
        <v>73</v>
      </c>
      <c r="G793" s="68" t="s">
        <v>101</v>
      </c>
      <c r="H793" s="48">
        <f>IF(G793&gt;0,VLOOKUP(G793,Apoio!$O$2:$P$24,2,0),"")</f>
        <v>3</v>
      </c>
      <c r="I793" s="44">
        <f t="shared" si="12"/>
        <v>11.688311688311687</v>
      </c>
      <c r="J793" s="36"/>
    </row>
    <row r="794" spans="1:10" hidden="1" x14ac:dyDescent="0.3">
      <c r="A794" s="67" t="s">
        <v>36</v>
      </c>
      <c r="B794" s="68" t="s">
        <v>198</v>
      </c>
      <c r="C794" s="55">
        <v>4</v>
      </c>
      <c r="D794" s="70">
        <v>10.7</v>
      </c>
      <c r="E794" s="71">
        <v>7.5</v>
      </c>
      <c r="F794" s="68" t="s">
        <v>80</v>
      </c>
      <c r="G794" s="68" t="s">
        <v>104</v>
      </c>
      <c r="H794" s="50">
        <f>IF(G794&gt;0,VLOOKUP(G794,Apoio!$O$2:$P$24,2,0),"")</f>
        <v>8</v>
      </c>
      <c r="I794" s="44">
        <f t="shared" si="12"/>
        <v>22.429906542056077</v>
      </c>
      <c r="J794" s="36"/>
    </row>
    <row r="795" spans="1:10" hidden="1" x14ac:dyDescent="0.3">
      <c r="A795" s="4" t="s">
        <v>36</v>
      </c>
      <c r="B795" s="68" t="s">
        <v>198</v>
      </c>
      <c r="C795" s="55">
        <v>4</v>
      </c>
      <c r="D795" s="70">
        <v>10.7</v>
      </c>
      <c r="E795" s="71">
        <v>7.5</v>
      </c>
      <c r="F795" s="68" t="s">
        <v>80</v>
      </c>
      <c r="G795" s="68" t="s">
        <v>107</v>
      </c>
      <c r="H795" s="48">
        <f>IF(G795&gt;0,VLOOKUP(G795,Apoio!$O$2:$P$24,2,0),"")</f>
        <v>7</v>
      </c>
      <c r="I795" s="44">
        <f t="shared" si="12"/>
        <v>19.626168224299068</v>
      </c>
      <c r="J795" s="36"/>
    </row>
    <row r="796" spans="1:10" hidden="1" x14ac:dyDescent="0.3">
      <c r="A796" s="4" t="s">
        <v>36</v>
      </c>
      <c r="B796" s="68" t="s">
        <v>198</v>
      </c>
      <c r="C796" s="55">
        <v>4</v>
      </c>
      <c r="D796" s="70">
        <v>10.7</v>
      </c>
      <c r="E796" s="71">
        <v>7.5</v>
      </c>
      <c r="F796" s="68" t="s">
        <v>80</v>
      </c>
      <c r="G796" s="68" t="s">
        <v>110</v>
      </c>
      <c r="H796" s="48">
        <f>IF(G796&gt;0,VLOOKUP(G796,Apoio!$O$2:$P$24,2,0),"")</f>
        <v>8</v>
      </c>
      <c r="I796" s="44">
        <f t="shared" si="12"/>
        <v>22.429906542056077</v>
      </c>
      <c r="J796" s="36"/>
    </row>
    <row r="797" spans="1:10" hidden="1" x14ac:dyDescent="0.3">
      <c r="A797" s="4" t="s">
        <v>36</v>
      </c>
      <c r="B797" s="68" t="s">
        <v>198</v>
      </c>
      <c r="C797" s="55">
        <v>4</v>
      </c>
      <c r="D797" s="70">
        <v>10.7</v>
      </c>
      <c r="E797" s="71">
        <v>7.5</v>
      </c>
      <c r="F797" s="68" t="s">
        <v>80</v>
      </c>
      <c r="G797" s="68" t="s">
        <v>113</v>
      </c>
      <c r="H797" s="48">
        <f>IF(G797&gt;0,VLOOKUP(G797,Apoio!$O$2:$P$24,2,0),"")</f>
        <v>7</v>
      </c>
      <c r="I797" s="44">
        <f t="shared" si="12"/>
        <v>19.626168224299068</v>
      </c>
      <c r="J797" s="36"/>
    </row>
    <row r="798" spans="1:10" hidden="1" x14ac:dyDescent="0.3">
      <c r="A798" s="4" t="s">
        <v>36</v>
      </c>
      <c r="B798" s="68" t="s">
        <v>198</v>
      </c>
      <c r="C798" s="55">
        <v>4</v>
      </c>
      <c r="D798" s="70">
        <v>10.7</v>
      </c>
      <c r="E798" s="71">
        <v>7.5</v>
      </c>
      <c r="F798" s="68" t="s">
        <v>80</v>
      </c>
      <c r="G798" s="68" t="s">
        <v>116</v>
      </c>
      <c r="H798" s="48">
        <f>IF(G798&gt;0,VLOOKUP(G798,Apoio!$O$2:$P$24,2,0),"")</f>
        <v>4</v>
      </c>
      <c r="I798" s="44">
        <f t="shared" si="12"/>
        <v>11.214953271028039</v>
      </c>
      <c r="J798" s="36"/>
    </row>
    <row r="799" spans="1:10" hidden="1" x14ac:dyDescent="0.3">
      <c r="A799" s="4" t="s">
        <v>36</v>
      </c>
      <c r="B799" s="68" t="s">
        <v>198</v>
      </c>
      <c r="C799" s="55">
        <v>7</v>
      </c>
      <c r="D799" s="70">
        <v>6.4</v>
      </c>
      <c r="E799" s="71">
        <v>7.5</v>
      </c>
      <c r="F799" s="68" t="s">
        <v>87</v>
      </c>
      <c r="G799" s="68" t="s">
        <v>119</v>
      </c>
      <c r="H799" s="48">
        <f>IF(G799&gt;0,VLOOKUP(G799,Apoio!$O$2:$P$24,2,0),"")</f>
        <v>12</v>
      </c>
      <c r="I799" s="44">
        <f t="shared" si="12"/>
        <v>98.4375</v>
      </c>
      <c r="J799" s="36"/>
    </row>
    <row r="800" spans="1:10" hidden="1" x14ac:dyDescent="0.3">
      <c r="A800" s="67" t="s">
        <v>36</v>
      </c>
      <c r="B800" s="68" t="s">
        <v>198</v>
      </c>
      <c r="C800" s="55">
        <v>6.5</v>
      </c>
      <c r="D800" s="70">
        <v>6.4</v>
      </c>
      <c r="E800" s="71">
        <v>7.5</v>
      </c>
      <c r="F800" s="68" t="s">
        <v>87</v>
      </c>
      <c r="G800" s="68" t="s">
        <v>122</v>
      </c>
      <c r="H800" s="50">
        <f>IF(G800&gt;0,VLOOKUP(G800,Apoio!$O$2:$P$24,2,0),"")</f>
        <v>8</v>
      </c>
      <c r="I800" s="44">
        <f t="shared" si="12"/>
        <v>60.9375</v>
      </c>
      <c r="J800" s="36"/>
    </row>
    <row r="801" spans="1:10" hidden="1" x14ac:dyDescent="0.3">
      <c r="A801" s="4" t="s">
        <v>36</v>
      </c>
      <c r="B801" s="68" t="s">
        <v>198</v>
      </c>
      <c r="C801" s="55">
        <v>7.5</v>
      </c>
      <c r="D801" s="70">
        <v>6.4</v>
      </c>
      <c r="E801" s="71">
        <v>7.5</v>
      </c>
      <c r="F801" s="68" t="s">
        <v>87</v>
      </c>
      <c r="G801" s="68" t="s">
        <v>125</v>
      </c>
      <c r="H801" s="48">
        <f>IF(G801&gt;0,VLOOKUP(G801,Apoio!$O$2:$P$24,2,0),"")</f>
        <v>8</v>
      </c>
      <c r="I801" s="44">
        <f t="shared" si="12"/>
        <v>70.3125</v>
      </c>
      <c r="J801" s="36"/>
    </row>
    <row r="802" spans="1:10" hidden="1" x14ac:dyDescent="0.3">
      <c r="A802" s="4" t="s">
        <v>36</v>
      </c>
      <c r="B802" s="68" t="s">
        <v>198</v>
      </c>
      <c r="C802" s="55">
        <v>7.5</v>
      </c>
      <c r="D802" s="70">
        <v>6.4</v>
      </c>
      <c r="E802" s="71">
        <v>7.5</v>
      </c>
      <c r="F802" s="68" t="s">
        <v>87</v>
      </c>
      <c r="G802" s="68" t="s">
        <v>128</v>
      </c>
      <c r="H802" s="48">
        <f>IF(G802&gt;0,VLOOKUP(G802,Apoio!$O$2:$P$24,2,0),"")</f>
        <v>8</v>
      </c>
      <c r="I802" s="44">
        <f t="shared" si="12"/>
        <v>70.3125</v>
      </c>
      <c r="J802" s="36"/>
    </row>
    <row r="803" spans="1:10" hidden="1" x14ac:dyDescent="0.3">
      <c r="A803" s="4" t="s">
        <v>36</v>
      </c>
      <c r="B803" s="68" t="s">
        <v>198</v>
      </c>
      <c r="C803" s="55">
        <v>7.5</v>
      </c>
      <c r="D803" s="70">
        <v>6.4</v>
      </c>
      <c r="E803" s="71">
        <v>7.5</v>
      </c>
      <c r="F803" s="68" t="s">
        <v>87</v>
      </c>
      <c r="G803" s="68" t="s">
        <v>131</v>
      </c>
      <c r="H803" s="48">
        <f>IF(G803&gt;0,VLOOKUP(G803,Apoio!$O$2:$P$24,2,0),"")</f>
        <v>8</v>
      </c>
      <c r="I803" s="44">
        <f t="shared" si="12"/>
        <v>70.3125</v>
      </c>
      <c r="J803" s="36"/>
    </row>
    <row r="804" spans="1:10" hidden="1" x14ac:dyDescent="0.3">
      <c r="A804" s="4" t="s">
        <v>36</v>
      </c>
      <c r="B804" s="68" t="s">
        <v>198</v>
      </c>
      <c r="C804" s="55">
        <v>7.5</v>
      </c>
      <c r="D804" s="70">
        <v>6.4</v>
      </c>
      <c r="E804" s="71">
        <v>7.5</v>
      </c>
      <c r="F804" s="68" t="s">
        <v>87</v>
      </c>
      <c r="G804" s="68" t="s">
        <v>134</v>
      </c>
      <c r="H804" s="48">
        <f>IF(G804&gt;0,VLOOKUP(G804,Apoio!$O$2:$P$24,2,0),"")</f>
        <v>3</v>
      </c>
      <c r="I804" s="44">
        <f t="shared" si="12"/>
        <v>26.3671875</v>
      </c>
      <c r="J804" s="36"/>
    </row>
    <row r="805" spans="1:10" hidden="1" x14ac:dyDescent="0.3">
      <c r="A805" s="4" t="s">
        <v>36</v>
      </c>
      <c r="B805" s="68" t="s">
        <v>198</v>
      </c>
      <c r="C805" s="55">
        <v>6.5</v>
      </c>
      <c r="D805" s="70">
        <v>6.7</v>
      </c>
      <c r="E805" s="71">
        <v>7.5</v>
      </c>
      <c r="F805" s="68" t="s">
        <v>94</v>
      </c>
      <c r="G805" s="68" t="s">
        <v>137</v>
      </c>
      <c r="H805" s="48">
        <f>IF(G805&gt;0,VLOOKUP(G805,Apoio!$O$2:$P$24,2,0),"")</f>
        <v>13</v>
      </c>
      <c r="I805" s="44">
        <f t="shared" si="12"/>
        <v>94.589552238805965</v>
      </c>
      <c r="J805" s="36"/>
    </row>
    <row r="806" spans="1:10" hidden="1" x14ac:dyDescent="0.3">
      <c r="A806" s="67" t="s">
        <v>36</v>
      </c>
      <c r="B806" s="68" t="s">
        <v>198</v>
      </c>
      <c r="C806" s="55">
        <v>6</v>
      </c>
      <c r="D806" s="70">
        <v>6.7</v>
      </c>
      <c r="E806" s="71">
        <v>7.5</v>
      </c>
      <c r="F806" s="68" t="s">
        <v>94</v>
      </c>
      <c r="G806" s="68" t="s">
        <v>140</v>
      </c>
      <c r="H806" s="50">
        <f>IF(G806&gt;0,VLOOKUP(G806,Apoio!$O$2:$P$24,2,0),"")</f>
        <v>8</v>
      </c>
      <c r="I806" s="44">
        <f t="shared" si="12"/>
        <v>53.731343283582085</v>
      </c>
      <c r="J806" s="36"/>
    </row>
    <row r="807" spans="1:10" hidden="1" x14ac:dyDescent="0.3">
      <c r="A807" s="4" t="s">
        <v>36</v>
      </c>
      <c r="B807" s="68" t="s">
        <v>198</v>
      </c>
      <c r="C807" s="55">
        <v>5</v>
      </c>
      <c r="D807" s="70">
        <v>6.7</v>
      </c>
      <c r="E807" s="71">
        <v>7.5</v>
      </c>
      <c r="F807" s="68" t="s">
        <v>94</v>
      </c>
      <c r="G807" s="68" t="s">
        <v>143</v>
      </c>
      <c r="H807" s="48">
        <f>IF(G807&gt;0,VLOOKUP(G807,Apoio!$O$2:$P$24,2,0),"")</f>
        <v>8</v>
      </c>
      <c r="I807" s="44">
        <f t="shared" si="12"/>
        <v>44.776119402985074</v>
      </c>
      <c r="J807" s="36"/>
    </row>
    <row r="808" spans="1:10" hidden="1" x14ac:dyDescent="0.3">
      <c r="A808" s="4" t="s">
        <v>36</v>
      </c>
      <c r="B808" s="68" t="s">
        <v>198</v>
      </c>
      <c r="C808" s="55">
        <v>5.5</v>
      </c>
      <c r="D808" s="70">
        <v>6.7</v>
      </c>
      <c r="E808" s="71">
        <v>7.5</v>
      </c>
      <c r="F808" s="68" t="s">
        <v>94</v>
      </c>
      <c r="G808" s="68" t="s">
        <v>146</v>
      </c>
      <c r="H808" s="48">
        <f>IF(G808&gt;0,VLOOKUP(G808,Apoio!$O$2:$P$24,2,0),"")</f>
        <v>6</v>
      </c>
      <c r="I808" s="44">
        <f t="shared" si="12"/>
        <v>36.940298507462686</v>
      </c>
      <c r="J808" s="36"/>
    </row>
    <row r="809" spans="1:10" hidden="1" x14ac:dyDescent="0.3">
      <c r="A809" s="4" t="s">
        <v>36</v>
      </c>
      <c r="B809" s="68" t="s">
        <v>198</v>
      </c>
      <c r="C809" s="55">
        <v>6</v>
      </c>
      <c r="D809" s="70">
        <v>6.7</v>
      </c>
      <c r="E809" s="71">
        <v>7.5</v>
      </c>
      <c r="F809" s="68" t="s">
        <v>94</v>
      </c>
      <c r="G809" s="68" t="s">
        <v>149</v>
      </c>
      <c r="H809" s="48">
        <f>IF(G809&gt;0,VLOOKUP(G809,Apoio!$O$2:$P$24,2,0),"")</f>
        <v>8</v>
      </c>
      <c r="I809" s="44">
        <f t="shared" si="12"/>
        <v>53.731343283582085</v>
      </c>
      <c r="J809" s="36"/>
    </row>
    <row r="810" spans="1:10" hidden="1" x14ac:dyDescent="0.3">
      <c r="A810" s="4" t="s">
        <v>36</v>
      </c>
      <c r="B810" s="68" t="s">
        <v>198</v>
      </c>
      <c r="C810" s="55">
        <v>6</v>
      </c>
      <c r="D810" s="70">
        <v>6.7</v>
      </c>
      <c r="E810" s="71">
        <v>7.5</v>
      </c>
      <c r="F810" s="68" t="s">
        <v>94</v>
      </c>
      <c r="G810" s="68" t="s">
        <v>152</v>
      </c>
      <c r="H810" s="48">
        <v>7</v>
      </c>
      <c r="I810" s="44">
        <f t="shared" si="12"/>
        <v>47.014925373134325</v>
      </c>
      <c r="J810" s="36"/>
    </row>
    <row r="811" spans="1:10" hidden="1" x14ac:dyDescent="0.3">
      <c r="A811" s="4" t="s">
        <v>36</v>
      </c>
      <c r="B811" s="68" t="s">
        <v>215</v>
      </c>
      <c r="C811" s="55">
        <v>4</v>
      </c>
      <c r="D811" s="70">
        <v>9</v>
      </c>
      <c r="E811" s="71">
        <v>7.5</v>
      </c>
      <c r="F811" s="68" t="s">
        <v>73</v>
      </c>
      <c r="G811" s="68" t="s">
        <v>72</v>
      </c>
      <c r="H811" s="48">
        <f>IF(G811&gt;0,VLOOKUP(G811,Apoio!$O$2:$P$24,2,0),"")</f>
        <v>8</v>
      </c>
      <c r="I811" s="44">
        <f t="shared" si="12"/>
        <v>26.666666666666668</v>
      </c>
      <c r="J811" s="36"/>
    </row>
    <row r="812" spans="1:10" hidden="1" x14ac:dyDescent="0.3">
      <c r="A812" s="67" t="s">
        <v>36</v>
      </c>
      <c r="B812" s="68" t="s">
        <v>215</v>
      </c>
      <c r="C812" s="55">
        <v>4</v>
      </c>
      <c r="D812" s="70">
        <v>9</v>
      </c>
      <c r="E812" s="71">
        <v>7.5</v>
      </c>
      <c r="F812" s="68" t="s">
        <v>73</v>
      </c>
      <c r="G812" s="68" t="s">
        <v>79</v>
      </c>
      <c r="H812" s="50">
        <f>IF(G812&gt;0,VLOOKUP(G812,Apoio!$O$2:$P$24,2,0),"")</f>
        <v>6</v>
      </c>
      <c r="I812" s="44">
        <f t="shared" si="12"/>
        <v>20</v>
      </c>
      <c r="J812" s="36"/>
    </row>
    <row r="813" spans="1:10" hidden="1" x14ac:dyDescent="0.3">
      <c r="A813" s="4" t="s">
        <v>36</v>
      </c>
      <c r="B813" s="68" t="s">
        <v>215</v>
      </c>
      <c r="C813" s="55">
        <v>4</v>
      </c>
      <c r="D813" s="70">
        <v>9</v>
      </c>
      <c r="E813" s="71">
        <v>7.5</v>
      </c>
      <c r="F813" s="68" t="s">
        <v>73</v>
      </c>
      <c r="G813" s="68" t="s">
        <v>86</v>
      </c>
      <c r="H813" s="48">
        <f>IF(G813&gt;0,VLOOKUP(G813,Apoio!$O$2:$P$24,2,0),"")</f>
        <v>8</v>
      </c>
      <c r="I813" s="44">
        <f t="shared" si="12"/>
        <v>26.666666666666668</v>
      </c>
      <c r="J813" s="36"/>
    </row>
    <row r="814" spans="1:10" hidden="1" x14ac:dyDescent="0.3">
      <c r="A814" s="4" t="s">
        <v>36</v>
      </c>
      <c r="B814" s="68" t="s">
        <v>215</v>
      </c>
      <c r="C814" s="55">
        <v>4</v>
      </c>
      <c r="D814" s="70">
        <v>9</v>
      </c>
      <c r="E814" s="71">
        <v>7.5</v>
      </c>
      <c r="F814" s="68" t="s">
        <v>73</v>
      </c>
      <c r="G814" s="68" t="s">
        <v>93</v>
      </c>
      <c r="H814" s="48">
        <f>IF(G814&gt;0,VLOOKUP(G814,Apoio!$O$2:$P$24,2,0),"")</f>
        <v>8</v>
      </c>
      <c r="I814" s="44">
        <f t="shared" si="12"/>
        <v>26.666666666666668</v>
      </c>
      <c r="J814" s="36"/>
    </row>
    <row r="815" spans="1:10" hidden="1" x14ac:dyDescent="0.3">
      <c r="A815" s="4" t="s">
        <v>36</v>
      </c>
      <c r="B815" s="68" t="s">
        <v>215</v>
      </c>
      <c r="C815" s="55">
        <v>4</v>
      </c>
      <c r="D815" s="70">
        <v>9</v>
      </c>
      <c r="E815" s="71">
        <v>7.5</v>
      </c>
      <c r="F815" s="68" t="s">
        <v>73</v>
      </c>
      <c r="G815" s="68" t="s">
        <v>98</v>
      </c>
      <c r="H815" s="48">
        <f>IF(G815&gt;0,VLOOKUP(G815,Apoio!$O$2:$P$24,2,0),"")</f>
        <v>7</v>
      </c>
      <c r="I815" s="44">
        <f t="shared" si="12"/>
        <v>23.333333333333332</v>
      </c>
      <c r="J815" s="36"/>
    </row>
    <row r="816" spans="1:10" hidden="1" x14ac:dyDescent="0.3">
      <c r="A816" s="4" t="s">
        <v>36</v>
      </c>
      <c r="B816" s="68" t="s">
        <v>215</v>
      </c>
      <c r="C816" s="55">
        <v>4</v>
      </c>
      <c r="D816" s="70">
        <v>9</v>
      </c>
      <c r="E816" s="71">
        <v>7.5</v>
      </c>
      <c r="F816" s="68" t="s">
        <v>73</v>
      </c>
      <c r="G816" s="68" t="s">
        <v>101</v>
      </c>
      <c r="H816" s="48">
        <f>IF(G816&gt;0,VLOOKUP(G816,Apoio!$O$2:$P$24,2,0),"")</f>
        <v>3</v>
      </c>
      <c r="I816" s="44">
        <f t="shared" si="12"/>
        <v>10</v>
      </c>
      <c r="J816" s="36"/>
    </row>
    <row r="817" spans="1:10" hidden="1" x14ac:dyDescent="0.3">
      <c r="A817" s="4" t="s">
        <v>36</v>
      </c>
      <c r="B817" s="68" t="s">
        <v>215</v>
      </c>
      <c r="C817" s="55">
        <v>4</v>
      </c>
      <c r="D817" s="70">
        <v>7.2</v>
      </c>
      <c r="E817" s="71">
        <v>7.5</v>
      </c>
      <c r="F817" s="68" t="s">
        <v>80</v>
      </c>
      <c r="G817" s="68" t="s">
        <v>104</v>
      </c>
      <c r="H817" s="48">
        <f>IF(G817&gt;0,VLOOKUP(G817,Apoio!$O$2:$P$24,2,0),"")</f>
        <v>8</v>
      </c>
      <c r="I817" s="44">
        <f t="shared" si="12"/>
        <v>33.333333333333336</v>
      </c>
      <c r="J817" s="36"/>
    </row>
    <row r="818" spans="1:10" hidden="1" x14ac:dyDescent="0.3">
      <c r="A818" s="4" t="s">
        <v>36</v>
      </c>
      <c r="B818" s="68" t="s">
        <v>215</v>
      </c>
      <c r="C818" s="58">
        <v>4</v>
      </c>
      <c r="D818" s="70">
        <v>7.2</v>
      </c>
      <c r="E818" s="71">
        <v>7.5</v>
      </c>
      <c r="F818" s="68" t="s">
        <v>80</v>
      </c>
      <c r="G818" s="68" t="s">
        <v>107</v>
      </c>
      <c r="H818" s="49">
        <f>IF(G818&gt;0,VLOOKUP(G818,Apoio!$O$2:$P$24,2,0),"")</f>
        <v>7</v>
      </c>
      <c r="I818" s="44">
        <f t="shared" si="12"/>
        <v>29.166666666666664</v>
      </c>
      <c r="J818" s="36"/>
    </row>
    <row r="819" spans="1:10" hidden="1" x14ac:dyDescent="0.3">
      <c r="A819" s="4" t="s">
        <v>36</v>
      </c>
      <c r="B819" s="68" t="s">
        <v>215</v>
      </c>
      <c r="C819" s="58">
        <v>4</v>
      </c>
      <c r="D819" s="70">
        <v>7.2</v>
      </c>
      <c r="E819" s="71">
        <v>7.5</v>
      </c>
      <c r="F819" s="68" t="s">
        <v>80</v>
      </c>
      <c r="G819" s="68" t="s">
        <v>110</v>
      </c>
      <c r="H819" s="49">
        <f>IF(G819&gt;0,VLOOKUP(G819,Apoio!$O$2:$P$24,2,0),"")</f>
        <v>8</v>
      </c>
      <c r="I819" s="44">
        <f t="shared" si="12"/>
        <v>33.333333333333336</v>
      </c>
      <c r="J819" s="36"/>
    </row>
    <row r="820" spans="1:10" hidden="1" x14ac:dyDescent="0.3">
      <c r="A820" s="4" t="s">
        <v>36</v>
      </c>
      <c r="B820" s="68" t="s">
        <v>215</v>
      </c>
      <c r="C820" s="58">
        <v>4</v>
      </c>
      <c r="D820" s="70">
        <v>7.2</v>
      </c>
      <c r="E820" s="71">
        <v>7.5</v>
      </c>
      <c r="F820" s="68" t="s">
        <v>80</v>
      </c>
      <c r="G820" s="68" t="s">
        <v>113</v>
      </c>
      <c r="H820" s="49">
        <f>IF(G820&gt;0,VLOOKUP(G820,Apoio!$O$2:$P$24,2,0),"")</f>
        <v>7</v>
      </c>
      <c r="I820" s="44">
        <f t="shared" si="12"/>
        <v>29.166666666666664</v>
      </c>
      <c r="J820" s="36"/>
    </row>
    <row r="821" spans="1:10" hidden="1" x14ac:dyDescent="0.3">
      <c r="A821" s="4" t="s">
        <v>36</v>
      </c>
      <c r="B821" s="68" t="s">
        <v>215</v>
      </c>
      <c r="C821" s="58">
        <v>4</v>
      </c>
      <c r="D821" s="70">
        <v>7.2</v>
      </c>
      <c r="E821" s="71">
        <v>7.5</v>
      </c>
      <c r="F821" s="68" t="s">
        <v>80</v>
      </c>
      <c r="G821" s="68" t="s">
        <v>116</v>
      </c>
      <c r="H821" s="49">
        <f>IF(G821&gt;0,VLOOKUP(G821,Apoio!$O$2:$P$24,2,0),"")</f>
        <v>4</v>
      </c>
      <c r="I821" s="44">
        <f t="shared" si="12"/>
        <v>16.666666666666668</v>
      </c>
      <c r="J821" s="36"/>
    </row>
    <row r="822" spans="1:10" hidden="1" x14ac:dyDescent="0.3">
      <c r="A822" s="4" t="s">
        <v>36</v>
      </c>
      <c r="B822" s="68" t="s">
        <v>215</v>
      </c>
      <c r="C822" s="58">
        <v>5</v>
      </c>
      <c r="D822" s="70">
        <v>7.9</v>
      </c>
      <c r="E822" s="71">
        <v>7.5</v>
      </c>
      <c r="F822" s="68" t="s">
        <v>87</v>
      </c>
      <c r="G822" s="68" t="s">
        <v>119</v>
      </c>
      <c r="H822" s="49">
        <f>IF(G822&gt;0,VLOOKUP(G822,Apoio!$O$2:$P$24,2,0),"")</f>
        <v>12</v>
      </c>
      <c r="I822" s="44">
        <f t="shared" si="12"/>
        <v>56.962025316455694</v>
      </c>
      <c r="J822" s="36"/>
    </row>
    <row r="823" spans="1:10" hidden="1" x14ac:dyDescent="0.3">
      <c r="A823" s="4" t="s">
        <v>36</v>
      </c>
      <c r="B823" s="68" t="s">
        <v>215</v>
      </c>
      <c r="C823" s="58">
        <v>5</v>
      </c>
      <c r="D823" s="70">
        <v>7.9</v>
      </c>
      <c r="E823" s="71">
        <v>7.5</v>
      </c>
      <c r="F823" s="68" t="s">
        <v>87</v>
      </c>
      <c r="G823" s="68" t="s">
        <v>122</v>
      </c>
      <c r="H823" s="49">
        <f>IF(G823&gt;0,VLOOKUP(G823,Apoio!$O$2:$P$24,2,0),"")</f>
        <v>8</v>
      </c>
      <c r="I823" s="44">
        <f t="shared" si="12"/>
        <v>37.974683544303794</v>
      </c>
      <c r="J823" s="36"/>
    </row>
    <row r="824" spans="1:10" hidden="1" x14ac:dyDescent="0.3">
      <c r="A824" s="4" t="s">
        <v>36</v>
      </c>
      <c r="B824" s="68" t="s">
        <v>215</v>
      </c>
      <c r="C824" s="58">
        <v>4</v>
      </c>
      <c r="D824" s="70">
        <v>7.9</v>
      </c>
      <c r="E824" s="71">
        <v>7.5</v>
      </c>
      <c r="F824" s="68" t="s">
        <v>87</v>
      </c>
      <c r="G824" s="68" t="s">
        <v>125</v>
      </c>
      <c r="H824" s="49">
        <f>IF(G824&gt;0,VLOOKUP(G824,Apoio!$O$2:$P$24,2,0),"")</f>
        <v>8</v>
      </c>
      <c r="I824" s="44">
        <f t="shared" si="12"/>
        <v>30.379746835443036</v>
      </c>
      <c r="J824" s="36"/>
    </row>
    <row r="825" spans="1:10" hidden="1" x14ac:dyDescent="0.3">
      <c r="A825" s="4" t="s">
        <v>36</v>
      </c>
      <c r="B825" s="68" t="s">
        <v>215</v>
      </c>
      <c r="C825" s="58">
        <v>5</v>
      </c>
      <c r="D825" s="70">
        <v>7.9</v>
      </c>
      <c r="E825" s="71">
        <v>7.5</v>
      </c>
      <c r="F825" s="68" t="s">
        <v>87</v>
      </c>
      <c r="G825" s="68" t="s">
        <v>128</v>
      </c>
      <c r="H825" s="49">
        <f>IF(G825&gt;0,VLOOKUP(G825,Apoio!$O$2:$P$24,2,0),"")</f>
        <v>8</v>
      </c>
      <c r="I825" s="44">
        <f t="shared" si="12"/>
        <v>37.974683544303794</v>
      </c>
      <c r="J825" s="36"/>
    </row>
    <row r="826" spans="1:10" hidden="1" x14ac:dyDescent="0.3">
      <c r="A826" s="4" t="s">
        <v>36</v>
      </c>
      <c r="B826" s="68" t="s">
        <v>215</v>
      </c>
      <c r="C826" s="58">
        <v>5</v>
      </c>
      <c r="D826" s="70">
        <v>7.9</v>
      </c>
      <c r="E826" s="71">
        <v>7.5</v>
      </c>
      <c r="F826" s="68" t="s">
        <v>87</v>
      </c>
      <c r="G826" s="68" t="s">
        <v>131</v>
      </c>
      <c r="H826" s="49">
        <f>IF(G826&gt;0,VLOOKUP(G826,Apoio!$O$2:$P$24,2,0),"")</f>
        <v>8</v>
      </c>
      <c r="I826" s="44">
        <f t="shared" si="12"/>
        <v>37.974683544303794</v>
      </c>
      <c r="J826" s="36"/>
    </row>
    <row r="827" spans="1:10" hidden="1" x14ac:dyDescent="0.3">
      <c r="A827" s="4" t="s">
        <v>36</v>
      </c>
      <c r="B827" s="68" t="s">
        <v>215</v>
      </c>
      <c r="C827" s="58">
        <v>4</v>
      </c>
      <c r="D827" s="70">
        <v>7.9</v>
      </c>
      <c r="E827" s="71">
        <v>7.5</v>
      </c>
      <c r="F827" s="68" t="s">
        <v>87</v>
      </c>
      <c r="G827" s="68" t="s">
        <v>134</v>
      </c>
      <c r="H827" s="49">
        <f>IF(G827&gt;0,VLOOKUP(G827,Apoio!$O$2:$P$24,2,0),"")</f>
        <v>3</v>
      </c>
      <c r="I827" s="44">
        <f t="shared" si="12"/>
        <v>11.39240506329114</v>
      </c>
      <c r="J827" s="36"/>
    </row>
    <row r="828" spans="1:10" hidden="1" x14ac:dyDescent="0.3">
      <c r="A828" s="4" t="s">
        <v>36</v>
      </c>
      <c r="B828" s="68" t="s">
        <v>215</v>
      </c>
      <c r="C828" s="58">
        <v>4</v>
      </c>
      <c r="D828" s="70">
        <v>7.5</v>
      </c>
      <c r="E828" s="71">
        <v>7.5</v>
      </c>
      <c r="F828" s="68" t="s">
        <v>94</v>
      </c>
      <c r="G828" s="68" t="s">
        <v>137</v>
      </c>
      <c r="H828" s="49">
        <f>IF(G828&gt;0,VLOOKUP(G828,Apoio!$O$2:$P$24,2,0),"")</f>
        <v>13</v>
      </c>
      <c r="I828" s="44">
        <f t="shared" si="12"/>
        <v>52</v>
      </c>
      <c r="J828" s="36"/>
    </row>
    <row r="829" spans="1:10" hidden="1" x14ac:dyDescent="0.3">
      <c r="A829" s="4" t="s">
        <v>36</v>
      </c>
      <c r="B829" s="68" t="s">
        <v>215</v>
      </c>
      <c r="C829" s="58">
        <v>4.5</v>
      </c>
      <c r="D829" s="70">
        <v>7.5</v>
      </c>
      <c r="E829" s="71">
        <v>7.5</v>
      </c>
      <c r="F829" s="68" t="s">
        <v>94</v>
      </c>
      <c r="G829" s="68" t="s">
        <v>140</v>
      </c>
      <c r="H829" s="49">
        <f>IF(G829&gt;0,VLOOKUP(G829,Apoio!$O$2:$P$24,2,0),"")</f>
        <v>8</v>
      </c>
      <c r="I829" s="44">
        <f t="shared" si="12"/>
        <v>36</v>
      </c>
      <c r="J829" s="36"/>
    </row>
    <row r="830" spans="1:10" hidden="1" x14ac:dyDescent="0.3">
      <c r="A830" s="4" t="s">
        <v>36</v>
      </c>
      <c r="B830" s="68" t="s">
        <v>215</v>
      </c>
      <c r="C830" s="58">
        <v>4</v>
      </c>
      <c r="D830" s="70">
        <v>7.5</v>
      </c>
      <c r="E830" s="71">
        <v>7.5</v>
      </c>
      <c r="F830" s="68" t="s">
        <v>94</v>
      </c>
      <c r="G830" s="68" t="s">
        <v>143</v>
      </c>
      <c r="H830" s="49">
        <f>IF(G830&gt;0,VLOOKUP(G830,Apoio!$O$2:$P$24,2,0),"")</f>
        <v>8</v>
      </c>
      <c r="I830" s="44">
        <f t="shared" si="12"/>
        <v>32</v>
      </c>
      <c r="J830" s="36"/>
    </row>
    <row r="831" spans="1:10" hidden="1" x14ac:dyDescent="0.3">
      <c r="A831" s="4" t="s">
        <v>36</v>
      </c>
      <c r="B831" s="68" t="s">
        <v>215</v>
      </c>
      <c r="C831" s="58">
        <v>4</v>
      </c>
      <c r="D831" s="70">
        <v>7.5</v>
      </c>
      <c r="E831" s="71">
        <v>7.5</v>
      </c>
      <c r="F831" s="68" t="s">
        <v>94</v>
      </c>
      <c r="G831" s="68" t="s">
        <v>146</v>
      </c>
      <c r="H831" s="49">
        <f>IF(G831&gt;0,VLOOKUP(G831,Apoio!$O$2:$P$24,2,0),"")</f>
        <v>6</v>
      </c>
      <c r="I831" s="44">
        <f t="shared" si="12"/>
        <v>24</v>
      </c>
      <c r="J831" s="36"/>
    </row>
    <row r="832" spans="1:10" hidden="1" x14ac:dyDescent="0.3">
      <c r="A832" s="4" t="s">
        <v>36</v>
      </c>
      <c r="B832" s="68" t="s">
        <v>215</v>
      </c>
      <c r="C832" s="58">
        <v>5</v>
      </c>
      <c r="D832" s="70">
        <v>7.5</v>
      </c>
      <c r="E832" s="71">
        <v>7.5</v>
      </c>
      <c r="F832" s="68" t="s">
        <v>94</v>
      </c>
      <c r="G832" s="68" t="s">
        <v>149</v>
      </c>
      <c r="H832" s="49">
        <f>IF(G832&gt;0,VLOOKUP(G832,Apoio!$O$2:$P$24,2,0),"")</f>
        <v>8</v>
      </c>
      <c r="I832" s="44">
        <f t="shared" si="12"/>
        <v>40</v>
      </c>
      <c r="J832" s="36"/>
    </row>
    <row r="833" spans="1:10" hidden="1" x14ac:dyDescent="0.3">
      <c r="A833" s="4" t="s">
        <v>36</v>
      </c>
      <c r="B833" s="68" t="s">
        <v>215</v>
      </c>
      <c r="C833" s="58">
        <v>5</v>
      </c>
      <c r="D833" s="70">
        <v>7.5</v>
      </c>
      <c r="E833" s="71">
        <v>7.5</v>
      </c>
      <c r="F833" s="68" t="s">
        <v>94</v>
      </c>
      <c r="G833" s="68" t="s">
        <v>152</v>
      </c>
      <c r="H833" s="49">
        <f>IF(G833&gt;0,VLOOKUP(G833,Apoio!$O$2:$P$24,2,0),"")</f>
        <v>8</v>
      </c>
      <c r="I833" s="44">
        <f t="shared" si="12"/>
        <v>40</v>
      </c>
      <c r="J833" s="36"/>
    </row>
    <row r="834" spans="1:10" hidden="1" x14ac:dyDescent="0.3">
      <c r="A834" s="4" t="s">
        <v>36</v>
      </c>
      <c r="B834" s="68" t="s">
        <v>38</v>
      </c>
      <c r="C834" s="58">
        <v>5</v>
      </c>
      <c r="D834" s="70">
        <v>8.9</v>
      </c>
      <c r="E834" s="71">
        <v>7.5</v>
      </c>
      <c r="F834" s="68" t="s">
        <v>73</v>
      </c>
      <c r="G834" s="68" t="s">
        <v>72</v>
      </c>
      <c r="H834" s="49">
        <f>IF(G834&gt;0,VLOOKUP(G834,Apoio!$O$2:$P$24,2,0),"")</f>
        <v>8</v>
      </c>
      <c r="I834" s="44">
        <f t="shared" ref="I834:I897" si="13">IF(D834&gt;0,(((H834*E834)*C834)/D834),"")</f>
        <v>33.707865168539321</v>
      </c>
      <c r="J834" s="36"/>
    </row>
    <row r="835" spans="1:10" hidden="1" x14ac:dyDescent="0.3">
      <c r="A835" s="4" t="s">
        <v>36</v>
      </c>
      <c r="B835" s="68" t="s">
        <v>38</v>
      </c>
      <c r="C835" s="58">
        <v>5</v>
      </c>
      <c r="D835" s="70">
        <v>8.9</v>
      </c>
      <c r="E835" s="71">
        <v>7.5</v>
      </c>
      <c r="F835" s="68" t="s">
        <v>73</v>
      </c>
      <c r="G835" s="68" t="s">
        <v>79</v>
      </c>
      <c r="H835" s="49">
        <f>IF(G835&gt;0,VLOOKUP(G835,Apoio!$O$2:$P$24,2,0),"")</f>
        <v>6</v>
      </c>
      <c r="I835" s="44">
        <f t="shared" si="13"/>
        <v>25.280898876404493</v>
      </c>
      <c r="J835" s="36"/>
    </row>
    <row r="836" spans="1:10" hidden="1" x14ac:dyDescent="0.3">
      <c r="A836" s="4" t="s">
        <v>36</v>
      </c>
      <c r="B836" s="68" t="s">
        <v>38</v>
      </c>
      <c r="C836" s="58">
        <v>5</v>
      </c>
      <c r="D836" s="70">
        <v>8.9</v>
      </c>
      <c r="E836" s="71">
        <v>7.5</v>
      </c>
      <c r="F836" s="68" t="s">
        <v>73</v>
      </c>
      <c r="G836" s="68" t="s">
        <v>86</v>
      </c>
      <c r="H836" s="49">
        <f>IF(G836&gt;0,VLOOKUP(G836,Apoio!$O$2:$P$24,2,0),"")</f>
        <v>8</v>
      </c>
      <c r="I836" s="44">
        <f t="shared" si="13"/>
        <v>33.707865168539321</v>
      </c>
      <c r="J836" s="36"/>
    </row>
    <row r="837" spans="1:10" hidden="1" x14ac:dyDescent="0.3">
      <c r="A837" s="4" t="s">
        <v>36</v>
      </c>
      <c r="B837" s="68" t="s">
        <v>38</v>
      </c>
      <c r="C837" s="58">
        <v>5</v>
      </c>
      <c r="D837" s="70">
        <v>8.9</v>
      </c>
      <c r="E837" s="71">
        <v>7.5</v>
      </c>
      <c r="F837" s="68" t="s">
        <v>73</v>
      </c>
      <c r="G837" s="68" t="s">
        <v>93</v>
      </c>
      <c r="H837" s="49">
        <f>IF(G837&gt;0,VLOOKUP(G837,Apoio!$O$2:$P$24,2,0),"")</f>
        <v>8</v>
      </c>
      <c r="I837" s="44">
        <f t="shared" si="13"/>
        <v>33.707865168539321</v>
      </c>
      <c r="J837" s="36"/>
    </row>
    <row r="838" spans="1:10" hidden="1" x14ac:dyDescent="0.3">
      <c r="A838" s="4" t="s">
        <v>36</v>
      </c>
      <c r="B838" s="68" t="s">
        <v>38</v>
      </c>
      <c r="C838" s="58">
        <v>5</v>
      </c>
      <c r="D838" s="70">
        <v>8.9</v>
      </c>
      <c r="E838" s="71">
        <v>7.5</v>
      </c>
      <c r="F838" s="68" t="s">
        <v>73</v>
      </c>
      <c r="G838" s="68" t="s">
        <v>98</v>
      </c>
      <c r="H838" s="49">
        <f>IF(G838&gt;0,VLOOKUP(G838,Apoio!$O$2:$P$24,2,0),"")</f>
        <v>7</v>
      </c>
      <c r="I838" s="44">
        <f t="shared" si="13"/>
        <v>29.49438202247191</v>
      </c>
      <c r="J838" s="36"/>
    </row>
    <row r="839" spans="1:10" hidden="1" x14ac:dyDescent="0.3">
      <c r="A839" s="4" t="s">
        <v>36</v>
      </c>
      <c r="B839" s="68" t="s">
        <v>38</v>
      </c>
      <c r="C839" s="58">
        <v>5</v>
      </c>
      <c r="D839" s="70">
        <v>8.9</v>
      </c>
      <c r="E839" s="71">
        <v>7.5</v>
      </c>
      <c r="F839" s="68" t="s">
        <v>73</v>
      </c>
      <c r="G839" s="68" t="s">
        <v>101</v>
      </c>
      <c r="H839" s="49">
        <f>IF(G839&gt;0,VLOOKUP(G839,Apoio!$O$2:$P$24,2,0),"")</f>
        <v>3</v>
      </c>
      <c r="I839" s="44">
        <f t="shared" si="13"/>
        <v>12.640449438202246</v>
      </c>
      <c r="J839" s="36"/>
    </row>
    <row r="840" spans="1:10" hidden="1" x14ac:dyDescent="0.3">
      <c r="A840" s="4" t="s">
        <v>36</v>
      </c>
      <c r="B840" s="68" t="s">
        <v>38</v>
      </c>
      <c r="C840" s="58">
        <v>5</v>
      </c>
      <c r="D840" s="70">
        <v>6.8</v>
      </c>
      <c r="E840" s="71">
        <v>7.5</v>
      </c>
      <c r="F840" s="68" t="s">
        <v>80</v>
      </c>
      <c r="G840" s="68" t="s">
        <v>104</v>
      </c>
      <c r="H840" s="49">
        <f>IF(G840&gt;0,VLOOKUP(G840,Apoio!$O$2:$P$24,2,0),"")</f>
        <v>8</v>
      </c>
      <c r="I840" s="44">
        <f t="shared" si="13"/>
        <v>44.117647058823529</v>
      </c>
      <c r="J840" s="36"/>
    </row>
    <row r="841" spans="1:10" hidden="1" x14ac:dyDescent="0.3">
      <c r="A841" s="4" t="s">
        <v>36</v>
      </c>
      <c r="B841" s="68" t="s">
        <v>38</v>
      </c>
      <c r="C841" s="58">
        <v>5</v>
      </c>
      <c r="D841" s="70">
        <v>6.8</v>
      </c>
      <c r="E841" s="71">
        <v>7.5</v>
      </c>
      <c r="F841" s="68" t="s">
        <v>80</v>
      </c>
      <c r="G841" s="68" t="s">
        <v>107</v>
      </c>
      <c r="H841" s="49">
        <f>IF(G841&gt;0,VLOOKUP(G841,Apoio!$O$2:$P$24,2,0),"")</f>
        <v>7</v>
      </c>
      <c r="I841" s="44">
        <f t="shared" si="13"/>
        <v>38.602941176470587</v>
      </c>
      <c r="J841" s="36"/>
    </row>
    <row r="842" spans="1:10" hidden="1" x14ac:dyDescent="0.3">
      <c r="A842" s="4" t="s">
        <v>36</v>
      </c>
      <c r="B842" s="68" t="s">
        <v>38</v>
      </c>
      <c r="C842" s="58">
        <v>5</v>
      </c>
      <c r="D842" s="70">
        <v>6.8</v>
      </c>
      <c r="E842" s="71">
        <v>7.5</v>
      </c>
      <c r="F842" s="68" t="s">
        <v>80</v>
      </c>
      <c r="G842" s="68" t="s">
        <v>110</v>
      </c>
      <c r="H842" s="49">
        <f>IF(G842&gt;0,VLOOKUP(G842,Apoio!$O$2:$P$24,2,0),"")</f>
        <v>8</v>
      </c>
      <c r="I842" s="44">
        <f t="shared" si="13"/>
        <v>44.117647058823529</v>
      </c>
      <c r="J842" s="36"/>
    </row>
    <row r="843" spans="1:10" hidden="1" x14ac:dyDescent="0.3">
      <c r="A843" s="4" t="s">
        <v>36</v>
      </c>
      <c r="B843" s="68" t="s">
        <v>38</v>
      </c>
      <c r="C843" s="58">
        <v>5</v>
      </c>
      <c r="D843" s="70">
        <v>6.8</v>
      </c>
      <c r="E843" s="71">
        <v>7.5</v>
      </c>
      <c r="F843" s="68" t="s">
        <v>80</v>
      </c>
      <c r="G843" s="68" t="s">
        <v>113</v>
      </c>
      <c r="H843" s="49">
        <f>IF(G843&gt;0,VLOOKUP(G843,Apoio!$O$2:$P$24,2,0),"")</f>
        <v>7</v>
      </c>
      <c r="I843" s="44">
        <f t="shared" si="13"/>
        <v>38.602941176470587</v>
      </c>
      <c r="J843" s="36"/>
    </row>
    <row r="844" spans="1:10" hidden="1" x14ac:dyDescent="0.3">
      <c r="A844" s="4" t="s">
        <v>36</v>
      </c>
      <c r="B844" s="68" t="s">
        <v>38</v>
      </c>
      <c r="C844" s="58">
        <v>5</v>
      </c>
      <c r="D844" s="70">
        <v>6.8</v>
      </c>
      <c r="E844" s="71">
        <v>7.5</v>
      </c>
      <c r="F844" s="68" t="s">
        <v>80</v>
      </c>
      <c r="G844" s="68" t="s">
        <v>116</v>
      </c>
      <c r="H844" s="49">
        <f>IF(G844&gt;0,VLOOKUP(G844,Apoio!$O$2:$P$24,2,0),"")</f>
        <v>4</v>
      </c>
      <c r="I844" s="44">
        <f t="shared" si="13"/>
        <v>22.058823529411764</v>
      </c>
      <c r="J844" s="36"/>
    </row>
    <row r="845" spans="1:10" hidden="1" x14ac:dyDescent="0.3">
      <c r="A845" s="4" t="s">
        <v>36</v>
      </c>
      <c r="B845" s="68" t="s">
        <v>38</v>
      </c>
      <c r="C845" s="58">
        <v>2</v>
      </c>
      <c r="D845" s="70">
        <v>6</v>
      </c>
      <c r="E845" s="71">
        <v>7.5</v>
      </c>
      <c r="F845" s="68" t="s">
        <v>87</v>
      </c>
      <c r="G845" s="68" t="s">
        <v>119</v>
      </c>
      <c r="H845" s="49">
        <f>IF(G845&gt;0,VLOOKUP(G845,Apoio!$O$2:$P$24,2,0),"")</f>
        <v>12</v>
      </c>
      <c r="I845" s="44">
        <f t="shared" si="13"/>
        <v>30</v>
      </c>
      <c r="J845" s="36"/>
    </row>
    <row r="846" spans="1:10" hidden="1" x14ac:dyDescent="0.3">
      <c r="A846" s="4" t="s">
        <v>36</v>
      </c>
      <c r="B846" s="68" t="s">
        <v>38</v>
      </c>
      <c r="C846" s="58">
        <v>2</v>
      </c>
      <c r="D846" s="70">
        <v>6</v>
      </c>
      <c r="E846" s="71">
        <v>7.5</v>
      </c>
      <c r="F846" s="68" t="s">
        <v>87</v>
      </c>
      <c r="G846" s="68" t="s">
        <v>122</v>
      </c>
      <c r="H846" s="49">
        <f>IF(G846&gt;0,VLOOKUP(G846,Apoio!$O$2:$P$24,2,0),"")</f>
        <v>8</v>
      </c>
      <c r="I846" s="44">
        <f t="shared" si="13"/>
        <v>20</v>
      </c>
      <c r="J846" s="36"/>
    </row>
    <row r="847" spans="1:10" hidden="1" x14ac:dyDescent="0.3">
      <c r="A847" s="4" t="s">
        <v>36</v>
      </c>
      <c r="B847" s="68" t="s">
        <v>38</v>
      </c>
      <c r="C847" s="58">
        <v>2</v>
      </c>
      <c r="D847" s="70">
        <v>6</v>
      </c>
      <c r="E847" s="71">
        <v>7.5</v>
      </c>
      <c r="F847" s="68" t="s">
        <v>87</v>
      </c>
      <c r="G847" s="68" t="s">
        <v>125</v>
      </c>
      <c r="H847" s="49">
        <f>IF(G847&gt;0,VLOOKUP(G847,Apoio!$O$2:$P$24,2,0),"")</f>
        <v>8</v>
      </c>
      <c r="I847" s="44">
        <f t="shared" si="13"/>
        <v>20</v>
      </c>
      <c r="J847" s="36"/>
    </row>
    <row r="848" spans="1:10" hidden="1" x14ac:dyDescent="0.3">
      <c r="A848" s="4" t="s">
        <v>36</v>
      </c>
      <c r="B848" s="68" t="s">
        <v>38</v>
      </c>
      <c r="C848" s="58">
        <v>2</v>
      </c>
      <c r="D848" s="70">
        <v>6</v>
      </c>
      <c r="E848" s="71">
        <v>7.5</v>
      </c>
      <c r="F848" s="68" t="s">
        <v>87</v>
      </c>
      <c r="G848" s="68" t="s">
        <v>128</v>
      </c>
      <c r="H848" s="49">
        <f>IF(G848&gt;0,VLOOKUP(G848,Apoio!$O$2:$P$24,2,0),"")</f>
        <v>8</v>
      </c>
      <c r="I848" s="44">
        <f t="shared" si="13"/>
        <v>20</v>
      </c>
      <c r="J848" s="36"/>
    </row>
    <row r="849" spans="1:10" hidden="1" x14ac:dyDescent="0.3">
      <c r="A849" s="4" t="s">
        <v>36</v>
      </c>
      <c r="B849" s="68" t="s">
        <v>38</v>
      </c>
      <c r="C849" s="58">
        <v>2</v>
      </c>
      <c r="D849" s="70">
        <v>6</v>
      </c>
      <c r="E849" s="71">
        <v>7.5</v>
      </c>
      <c r="F849" s="68" t="s">
        <v>87</v>
      </c>
      <c r="G849" s="68" t="s">
        <v>131</v>
      </c>
      <c r="H849" s="49">
        <f>IF(G849&gt;0,VLOOKUP(G849,Apoio!$O$2:$P$24,2,0),"")</f>
        <v>8</v>
      </c>
      <c r="I849" s="44">
        <f t="shared" si="13"/>
        <v>20</v>
      </c>
      <c r="J849" s="36"/>
    </row>
    <row r="850" spans="1:10" hidden="1" x14ac:dyDescent="0.3">
      <c r="A850" s="4" t="s">
        <v>36</v>
      </c>
      <c r="B850" s="68" t="s">
        <v>38</v>
      </c>
      <c r="C850" s="58">
        <v>2</v>
      </c>
      <c r="D850" s="70">
        <v>6</v>
      </c>
      <c r="E850" s="71">
        <v>7.5</v>
      </c>
      <c r="F850" s="68" t="s">
        <v>87</v>
      </c>
      <c r="G850" s="68" t="s">
        <v>134</v>
      </c>
      <c r="H850" s="49">
        <f>IF(G850&gt;0,VLOOKUP(G850,Apoio!$O$2:$P$24,2,0),"")</f>
        <v>3</v>
      </c>
      <c r="I850" s="44">
        <f t="shared" si="13"/>
        <v>7.5</v>
      </c>
      <c r="J850" s="36"/>
    </row>
    <row r="851" spans="1:10" hidden="1" x14ac:dyDescent="0.3">
      <c r="A851" s="4" t="s">
        <v>36</v>
      </c>
      <c r="B851" s="68" t="s">
        <v>38</v>
      </c>
      <c r="C851" s="58">
        <v>2</v>
      </c>
      <c r="D851" s="70">
        <v>5.5</v>
      </c>
      <c r="E851" s="71">
        <v>7.5</v>
      </c>
      <c r="F851" s="68" t="s">
        <v>94</v>
      </c>
      <c r="G851" s="68" t="s">
        <v>137</v>
      </c>
      <c r="H851" s="49">
        <f>IF(G851&gt;0,VLOOKUP(G851,Apoio!$O$2:$P$24,2,0),"")</f>
        <v>13</v>
      </c>
      <c r="I851" s="44">
        <f t="shared" si="13"/>
        <v>35.454545454545453</v>
      </c>
      <c r="J851" s="36"/>
    </row>
    <row r="852" spans="1:10" hidden="1" x14ac:dyDescent="0.3">
      <c r="A852" s="4" t="s">
        <v>36</v>
      </c>
      <c r="B852" s="68" t="s">
        <v>38</v>
      </c>
      <c r="C852" s="58">
        <v>1.5</v>
      </c>
      <c r="D852" s="70">
        <v>5.5</v>
      </c>
      <c r="E852" s="71">
        <v>7.5</v>
      </c>
      <c r="F852" s="68" t="s">
        <v>94</v>
      </c>
      <c r="G852" s="68" t="s">
        <v>140</v>
      </c>
      <c r="H852" s="49">
        <f>IF(G852&gt;0,VLOOKUP(G852,Apoio!$O$2:$P$24,2,0),"")</f>
        <v>8</v>
      </c>
      <c r="I852" s="44">
        <f t="shared" si="13"/>
        <v>16.363636363636363</v>
      </c>
      <c r="J852" s="36"/>
    </row>
    <row r="853" spans="1:10" hidden="1" x14ac:dyDescent="0.3">
      <c r="A853" s="4" t="s">
        <v>36</v>
      </c>
      <c r="B853" s="68" t="s">
        <v>38</v>
      </c>
      <c r="C853" s="58">
        <v>2</v>
      </c>
      <c r="D853" s="70">
        <v>5.5</v>
      </c>
      <c r="E853" s="71">
        <v>7.5</v>
      </c>
      <c r="F853" s="68" t="s">
        <v>94</v>
      </c>
      <c r="G853" s="68" t="s">
        <v>143</v>
      </c>
      <c r="H853" s="49">
        <f>IF(G853&gt;0,VLOOKUP(G853,Apoio!$O$2:$P$24,2,0),"")</f>
        <v>8</v>
      </c>
      <c r="I853" s="44">
        <f t="shared" si="13"/>
        <v>21.818181818181817</v>
      </c>
      <c r="J853" s="36"/>
    </row>
    <row r="854" spans="1:10" hidden="1" x14ac:dyDescent="0.3">
      <c r="A854" s="67" t="s">
        <v>36</v>
      </c>
      <c r="B854" s="68" t="s">
        <v>38</v>
      </c>
      <c r="C854" s="58">
        <v>3</v>
      </c>
      <c r="D854" s="70">
        <v>5.5</v>
      </c>
      <c r="E854" s="71">
        <v>7.5</v>
      </c>
      <c r="F854" s="68" t="s">
        <v>94</v>
      </c>
      <c r="G854" s="68" t="s">
        <v>146</v>
      </c>
      <c r="H854" s="49">
        <f>IF(G854&gt;0,VLOOKUP(G854,Apoio!$O$2:$P$24,2,0),"")</f>
        <v>6</v>
      </c>
      <c r="I854" s="44">
        <f t="shared" si="13"/>
        <v>24.545454545454547</v>
      </c>
      <c r="J854" s="36"/>
    </row>
    <row r="855" spans="1:10" hidden="1" x14ac:dyDescent="0.3">
      <c r="A855" s="67" t="s">
        <v>36</v>
      </c>
      <c r="B855" s="68" t="s">
        <v>38</v>
      </c>
      <c r="C855" s="58">
        <v>4</v>
      </c>
      <c r="D855" s="70">
        <v>5.5</v>
      </c>
      <c r="E855" s="71">
        <v>7.5</v>
      </c>
      <c r="F855" s="68" t="s">
        <v>94</v>
      </c>
      <c r="G855" s="68" t="s">
        <v>149</v>
      </c>
      <c r="H855" s="49">
        <f>IF(G855&gt;0,VLOOKUP(G855,Apoio!$O$2:$P$24,2,0),"")</f>
        <v>8</v>
      </c>
      <c r="I855" s="44">
        <f t="shared" si="13"/>
        <v>43.636363636363633</v>
      </c>
      <c r="J855" s="36"/>
    </row>
    <row r="856" spans="1:10" hidden="1" x14ac:dyDescent="0.3">
      <c r="A856" s="67" t="s">
        <v>36</v>
      </c>
      <c r="B856" s="68" t="s">
        <v>38</v>
      </c>
      <c r="C856" s="58">
        <v>4</v>
      </c>
      <c r="D856" s="70">
        <v>5.5</v>
      </c>
      <c r="E856" s="71">
        <v>7.5</v>
      </c>
      <c r="F856" s="68" t="s">
        <v>94</v>
      </c>
      <c r="G856" s="68" t="s">
        <v>152</v>
      </c>
      <c r="H856" s="49">
        <f>IF(G856&gt;0,VLOOKUP(G856,Apoio!$O$2:$P$24,2,0),"")</f>
        <v>8</v>
      </c>
      <c r="I856" s="44">
        <f t="shared" si="13"/>
        <v>43.636363636363633</v>
      </c>
      <c r="J856" s="36"/>
    </row>
    <row r="857" spans="1:10" x14ac:dyDescent="0.3">
      <c r="A857" s="67" t="s">
        <v>39</v>
      </c>
      <c r="B857" s="68" t="s">
        <v>40</v>
      </c>
      <c r="C857" s="58">
        <v>4</v>
      </c>
      <c r="D857" s="71">
        <v>6.8</v>
      </c>
      <c r="E857" s="71">
        <v>7.5</v>
      </c>
      <c r="F857" s="68" t="s">
        <v>73</v>
      </c>
      <c r="G857" s="68" t="s">
        <v>72</v>
      </c>
      <c r="H857" s="49">
        <f>IF(G857&gt;0,VLOOKUP(G857,Apoio!$O$2:$P$24,2,0),"")</f>
        <v>8</v>
      </c>
      <c r="I857" s="44">
        <f t="shared" si="13"/>
        <v>35.294117647058826</v>
      </c>
      <c r="J857" s="36"/>
    </row>
    <row r="858" spans="1:10" x14ac:dyDescent="0.3">
      <c r="A858" s="67" t="s">
        <v>39</v>
      </c>
      <c r="B858" s="68" t="s">
        <v>40</v>
      </c>
      <c r="C858" s="58">
        <v>4</v>
      </c>
      <c r="D858" s="71">
        <v>6.8</v>
      </c>
      <c r="E858" s="71">
        <v>7.5</v>
      </c>
      <c r="F858" s="68" t="s">
        <v>73</v>
      </c>
      <c r="G858" s="68" t="s">
        <v>79</v>
      </c>
      <c r="H858" s="49">
        <f>IF(G858&gt;0,VLOOKUP(G858,Apoio!$O$2:$P$24,2,0),"")</f>
        <v>6</v>
      </c>
      <c r="I858" s="44">
        <f t="shared" si="13"/>
        <v>26.47058823529412</v>
      </c>
      <c r="J858" s="36"/>
    </row>
    <row r="859" spans="1:10" x14ac:dyDescent="0.3">
      <c r="A859" s="67" t="s">
        <v>39</v>
      </c>
      <c r="B859" s="68" t="s">
        <v>40</v>
      </c>
      <c r="C859" s="58">
        <v>4</v>
      </c>
      <c r="D859" s="71">
        <v>6.8</v>
      </c>
      <c r="E859" s="71">
        <v>7.5</v>
      </c>
      <c r="F859" s="68" t="s">
        <v>73</v>
      </c>
      <c r="G859" s="68" t="s">
        <v>86</v>
      </c>
      <c r="H859" s="49">
        <f>IF(G859&gt;0,VLOOKUP(G859,Apoio!$O$2:$P$24,2,0),"")</f>
        <v>8</v>
      </c>
      <c r="I859" s="44">
        <f t="shared" si="13"/>
        <v>35.294117647058826</v>
      </c>
      <c r="J859" s="36"/>
    </row>
    <row r="860" spans="1:10" x14ac:dyDescent="0.3">
      <c r="A860" s="67" t="s">
        <v>39</v>
      </c>
      <c r="B860" s="68" t="s">
        <v>40</v>
      </c>
      <c r="C860" s="58">
        <v>4</v>
      </c>
      <c r="D860" s="71">
        <v>6.8</v>
      </c>
      <c r="E860" s="71">
        <v>7.5</v>
      </c>
      <c r="F860" s="68" t="s">
        <v>73</v>
      </c>
      <c r="G860" s="68" t="s">
        <v>93</v>
      </c>
      <c r="H860" s="49">
        <f>IF(G860&gt;0,VLOOKUP(G860,Apoio!$O$2:$P$24,2,0),"")</f>
        <v>8</v>
      </c>
      <c r="I860" s="44">
        <f t="shared" si="13"/>
        <v>35.294117647058826</v>
      </c>
      <c r="J860" s="36"/>
    </row>
    <row r="861" spans="1:10" x14ac:dyDescent="0.3">
      <c r="A861" s="67" t="s">
        <v>39</v>
      </c>
      <c r="B861" s="68" t="s">
        <v>40</v>
      </c>
      <c r="C861" s="58">
        <v>4</v>
      </c>
      <c r="D861" s="71">
        <v>6.8</v>
      </c>
      <c r="E861" s="71">
        <v>7.5</v>
      </c>
      <c r="F861" s="68" t="s">
        <v>73</v>
      </c>
      <c r="G861" s="68" t="s">
        <v>98</v>
      </c>
      <c r="H861" s="49">
        <f>IF(G861&gt;0,VLOOKUP(G861,Apoio!$O$2:$P$24,2,0),"")</f>
        <v>7</v>
      </c>
      <c r="I861" s="44">
        <f t="shared" si="13"/>
        <v>30.882352941176471</v>
      </c>
      <c r="J861" s="36"/>
    </row>
    <row r="862" spans="1:10" x14ac:dyDescent="0.3">
      <c r="A862" s="67" t="s">
        <v>39</v>
      </c>
      <c r="B862" s="68" t="s">
        <v>40</v>
      </c>
      <c r="C862" s="58">
        <v>4</v>
      </c>
      <c r="D862" s="71">
        <v>6.8</v>
      </c>
      <c r="E862" s="71">
        <v>7.5</v>
      </c>
      <c r="F862" s="68" t="s">
        <v>73</v>
      </c>
      <c r="G862" s="68" t="s">
        <v>101</v>
      </c>
      <c r="H862" s="49">
        <f>IF(G862&gt;0,VLOOKUP(G862,Apoio!$O$2:$P$24,2,0),"")</f>
        <v>3</v>
      </c>
      <c r="I862" s="44">
        <f t="shared" si="13"/>
        <v>13.23529411764706</v>
      </c>
      <c r="J862" s="36"/>
    </row>
    <row r="863" spans="1:10" x14ac:dyDescent="0.3">
      <c r="A863" s="67" t="s">
        <v>39</v>
      </c>
      <c r="B863" s="68" t="s">
        <v>40</v>
      </c>
      <c r="C863" s="58">
        <v>5</v>
      </c>
      <c r="D863" s="71">
        <v>5.4</v>
      </c>
      <c r="E863" s="71">
        <v>7.5</v>
      </c>
      <c r="F863" s="68" t="s">
        <v>80</v>
      </c>
      <c r="G863" s="68" t="s">
        <v>104</v>
      </c>
      <c r="H863" s="49">
        <f>IF(G863&gt;0,VLOOKUP(G863,Apoio!$O$2:$P$24,2,0),"")</f>
        <v>8</v>
      </c>
      <c r="I863" s="44">
        <f t="shared" si="13"/>
        <v>55.55555555555555</v>
      </c>
      <c r="J863" s="36"/>
    </row>
    <row r="864" spans="1:10" x14ac:dyDescent="0.3">
      <c r="A864" s="4" t="s">
        <v>39</v>
      </c>
      <c r="B864" s="68" t="s">
        <v>40</v>
      </c>
      <c r="C864" s="58">
        <v>4.8</v>
      </c>
      <c r="D864" s="71">
        <v>5.4</v>
      </c>
      <c r="E864" s="71">
        <v>7.5</v>
      </c>
      <c r="F864" s="68" t="s">
        <v>80</v>
      </c>
      <c r="G864" s="68" t="s">
        <v>107</v>
      </c>
      <c r="H864" s="49">
        <f>IF(G864&gt;0,VLOOKUP(G864,Apoio!$O$2:$P$24,2,0),"")</f>
        <v>7</v>
      </c>
      <c r="I864" s="44">
        <f t="shared" si="13"/>
        <v>46.666666666666664</v>
      </c>
      <c r="J864" s="36"/>
    </row>
    <row r="865" spans="1:10" x14ac:dyDescent="0.3">
      <c r="A865" s="4" t="s">
        <v>39</v>
      </c>
      <c r="B865" s="68" t="s">
        <v>40</v>
      </c>
      <c r="C865" s="58">
        <v>5</v>
      </c>
      <c r="D865" s="71">
        <v>5.4</v>
      </c>
      <c r="E865" s="71">
        <v>7.5</v>
      </c>
      <c r="F865" s="68" t="s">
        <v>80</v>
      </c>
      <c r="G865" s="68" t="s">
        <v>110</v>
      </c>
      <c r="H865" s="49">
        <f>IF(G865&gt;0,VLOOKUP(G865,Apoio!$O$2:$P$24,2,0),"")</f>
        <v>8</v>
      </c>
      <c r="I865" s="44">
        <f t="shared" si="13"/>
        <v>55.55555555555555</v>
      </c>
      <c r="J865" s="36"/>
    </row>
    <row r="866" spans="1:10" x14ac:dyDescent="0.3">
      <c r="A866" s="4" t="s">
        <v>39</v>
      </c>
      <c r="B866" s="68" t="s">
        <v>40</v>
      </c>
      <c r="C866" s="58">
        <v>5</v>
      </c>
      <c r="D866" s="71">
        <v>5.4</v>
      </c>
      <c r="E866" s="71">
        <v>7.5</v>
      </c>
      <c r="F866" s="68" t="s">
        <v>80</v>
      </c>
      <c r="G866" s="68" t="s">
        <v>113</v>
      </c>
      <c r="H866" s="49">
        <v>7</v>
      </c>
      <c r="I866" s="44">
        <f t="shared" si="13"/>
        <v>48.611111111111107</v>
      </c>
      <c r="J866" s="36"/>
    </row>
    <row r="867" spans="1:10" x14ac:dyDescent="0.3">
      <c r="A867" s="4" t="s">
        <v>39</v>
      </c>
      <c r="B867" s="68" t="s">
        <v>40</v>
      </c>
      <c r="C867" s="58">
        <v>5</v>
      </c>
      <c r="D867" s="71">
        <v>5.4</v>
      </c>
      <c r="E867" s="71">
        <v>7.5</v>
      </c>
      <c r="F867" s="68" t="s">
        <v>80</v>
      </c>
      <c r="G867" s="68" t="s">
        <v>116</v>
      </c>
      <c r="H867" s="49">
        <f>IF(G867&gt;0,VLOOKUP(G867,Apoio!$O$2:$P$24,2,0),"")</f>
        <v>4</v>
      </c>
      <c r="I867" s="44">
        <f t="shared" si="13"/>
        <v>27.777777777777775</v>
      </c>
      <c r="J867" s="36"/>
    </row>
    <row r="868" spans="1:10" x14ac:dyDescent="0.3">
      <c r="A868" s="4" t="s">
        <v>39</v>
      </c>
      <c r="B868" s="68" t="s">
        <v>40</v>
      </c>
      <c r="C868" s="58">
        <v>5.8</v>
      </c>
      <c r="D868" s="71">
        <v>7.8</v>
      </c>
      <c r="E868" s="71">
        <v>7.5</v>
      </c>
      <c r="F868" s="68" t="s">
        <v>87</v>
      </c>
      <c r="G868" s="68" t="s">
        <v>119</v>
      </c>
      <c r="H868" s="49">
        <f>IF(G868&gt;0,VLOOKUP(G868,Apoio!$O$2:$P$24,2,0),"")</f>
        <v>12</v>
      </c>
      <c r="I868" s="44">
        <f t="shared" si="13"/>
        <v>66.92307692307692</v>
      </c>
      <c r="J868" s="36"/>
    </row>
    <row r="869" spans="1:10" x14ac:dyDescent="0.3">
      <c r="A869" s="4" t="s">
        <v>39</v>
      </c>
      <c r="B869" s="68" t="s">
        <v>40</v>
      </c>
      <c r="C869" s="58">
        <v>5</v>
      </c>
      <c r="D869" s="71">
        <v>7.8</v>
      </c>
      <c r="E869" s="71">
        <v>7.5</v>
      </c>
      <c r="F869" s="68" t="s">
        <v>87</v>
      </c>
      <c r="G869" s="68" t="s">
        <v>122</v>
      </c>
      <c r="H869" s="49">
        <f>IF(G869&gt;0,VLOOKUP(G869,Apoio!$O$2:$P$24,2,0),"")</f>
        <v>8</v>
      </c>
      <c r="I869" s="44">
        <f t="shared" si="13"/>
        <v>38.46153846153846</v>
      </c>
      <c r="J869" s="36"/>
    </row>
    <row r="870" spans="1:10" x14ac:dyDescent="0.3">
      <c r="A870" s="4" t="s">
        <v>39</v>
      </c>
      <c r="B870" s="68" t="s">
        <v>40</v>
      </c>
      <c r="C870" s="58">
        <v>5</v>
      </c>
      <c r="D870" s="71">
        <v>7.8</v>
      </c>
      <c r="E870" s="71">
        <v>7.5</v>
      </c>
      <c r="F870" s="68" t="s">
        <v>87</v>
      </c>
      <c r="G870" s="68" t="s">
        <v>125</v>
      </c>
      <c r="H870" s="49">
        <f>IF(G870&gt;0,VLOOKUP(G870,Apoio!$O$2:$P$24,2,0),"")</f>
        <v>8</v>
      </c>
      <c r="I870" s="44">
        <f t="shared" si="13"/>
        <v>38.46153846153846</v>
      </c>
      <c r="J870" s="36"/>
    </row>
    <row r="871" spans="1:10" x14ac:dyDescent="0.3">
      <c r="A871" s="4" t="s">
        <v>39</v>
      </c>
      <c r="B871" s="68" t="s">
        <v>40</v>
      </c>
      <c r="C871" s="58">
        <v>5</v>
      </c>
      <c r="D871" s="71">
        <v>7.8</v>
      </c>
      <c r="E871" s="71">
        <v>7.5</v>
      </c>
      <c r="F871" s="68" t="s">
        <v>87</v>
      </c>
      <c r="G871" s="68" t="s">
        <v>128</v>
      </c>
      <c r="H871" s="49">
        <f>IF(G871&gt;0,VLOOKUP(G871,Apoio!$O$2:$P$24,2,0),"")</f>
        <v>8</v>
      </c>
      <c r="I871" s="44">
        <f t="shared" si="13"/>
        <v>38.46153846153846</v>
      </c>
      <c r="J871" s="36"/>
    </row>
    <row r="872" spans="1:10" x14ac:dyDescent="0.3">
      <c r="A872" s="4" t="s">
        <v>39</v>
      </c>
      <c r="B872" s="68" t="s">
        <v>40</v>
      </c>
      <c r="C872" s="58">
        <v>4.5</v>
      </c>
      <c r="D872" s="71">
        <v>7.8</v>
      </c>
      <c r="E872" s="71">
        <v>7.5</v>
      </c>
      <c r="F872" s="68" t="s">
        <v>87</v>
      </c>
      <c r="G872" s="68" t="s">
        <v>131</v>
      </c>
      <c r="H872" s="49">
        <f>IF(G872&gt;0,VLOOKUP(G872,Apoio!$O$2:$P$24,2,0),"")</f>
        <v>8</v>
      </c>
      <c r="I872" s="44">
        <f t="shared" si="13"/>
        <v>34.615384615384613</v>
      </c>
      <c r="J872" s="36"/>
    </row>
    <row r="873" spans="1:10" x14ac:dyDescent="0.3">
      <c r="A873" s="4" t="s">
        <v>39</v>
      </c>
      <c r="B873" s="68" t="s">
        <v>40</v>
      </c>
      <c r="C873" s="58">
        <v>5</v>
      </c>
      <c r="D873" s="71">
        <v>7.8</v>
      </c>
      <c r="E873" s="71">
        <v>7.5</v>
      </c>
      <c r="F873" s="68" t="s">
        <v>87</v>
      </c>
      <c r="G873" s="68" t="s">
        <v>134</v>
      </c>
      <c r="H873" s="49">
        <f>IF(G873&gt;0,VLOOKUP(G873,Apoio!$O$2:$P$24,2,0),"")</f>
        <v>3</v>
      </c>
      <c r="I873" s="44">
        <f t="shared" si="13"/>
        <v>14.423076923076923</v>
      </c>
      <c r="J873" s="36"/>
    </row>
    <row r="874" spans="1:10" x14ac:dyDescent="0.3">
      <c r="A874" s="4" t="s">
        <v>39</v>
      </c>
      <c r="B874" s="68" t="s">
        <v>40</v>
      </c>
      <c r="C874" s="58">
        <v>5</v>
      </c>
      <c r="D874" s="71">
        <v>5.5</v>
      </c>
      <c r="E874" s="71">
        <v>7.5</v>
      </c>
      <c r="F874" s="68" t="s">
        <v>94</v>
      </c>
      <c r="G874" s="68" t="s">
        <v>137</v>
      </c>
      <c r="H874" s="49">
        <f>IF(G874&gt;0,VLOOKUP(G874,Apoio!$O$2:$P$24,2,0),"")</f>
        <v>13</v>
      </c>
      <c r="I874" s="44">
        <f t="shared" si="13"/>
        <v>88.63636363636364</v>
      </c>
      <c r="J874" s="36"/>
    </row>
    <row r="875" spans="1:10" x14ac:dyDescent="0.3">
      <c r="A875" s="4" t="s">
        <v>39</v>
      </c>
      <c r="B875" s="68" t="s">
        <v>40</v>
      </c>
      <c r="C875" s="58">
        <v>5</v>
      </c>
      <c r="D875" s="71">
        <v>5.5</v>
      </c>
      <c r="E875" s="71">
        <v>7.5</v>
      </c>
      <c r="F875" s="68" t="s">
        <v>94</v>
      </c>
      <c r="G875" s="68" t="s">
        <v>140</v>
      </c>
      <c r="H875" s="49">
        <f>IF(G875&gt;0,VLOOKUP(G875,Apoio!$O$2:$P$24,2,0),"")</f>
        <v>8</v>
      </c>
      <c r="I875" s="44">
        <f t="shared" si="13"/>
        <v>54.545454545454547</v>
      </c>
      <c r="J875" s="36"/>
    </row>
    <row r="876" spans="1:10" x14ac:dyDescent="0.3">
      <c r="A876" s="4" t="s">
        <v>39</v>
      </c>
      <c r="B876" s="68" t="s">
        <v>40</v>
      </c>
      <c r="C876" s="58">
        <v>5</v>
      </c>
      <c r="D876" s="71">
        <v>5.5</v>
      </c>
      <c r="E876" s="71">
        <v>7.5</v>
      </c>
      <c r="F876" s="68" t="s">
        <v>94</v>
      </c>
      <c r="G876" s="68" t="s">
        <v>143</v>
      </c>
      <c r="H876" s="49">
        <f>IF(G876&gt;0,VLOOKUP(G876,Apoio!$O$2:$P$24,2,0),"")</f>
        <v>8</v>
      </c>
      <c r="I876" s="44">
        <f t="shared" si="13"/>
        <v>54.545454545454547</v>
      </c>
      <c r="J876" s="36"/>
    </row>
    <row r="877" spans="1:10" x14ac:dyDescent="0.3">
      <c r="A877" s="4" t="s">
        <v>39</v>
      </c>
      <c r="B877" s="68" t="s">
        <v>40</v>
      </c>
      <c r="C877" s="58">
        <v>5</v>
      </c>
      <c r="D877" s="71">
        <v>5.5</v>
      </c>
      <c r="E877" s="71">
        <v>7.5</v>
      </c>
      <c r="F877" s="68" t="s">
        <v>94</v>
      </c>
      <c r="G877" s="68" t="s">
        <v>146</v>
      </c>
      <c r="H877" s="49">
        <f>IF(G877&gt;0,VLOOKUP(G877,Apoio!$O$2:$P$24,2,0),"")</f>
        <v>6</v>
      </c>
      <c r="I877" s="44">
        <f t="shared" si="13"/>
        <v>40.909090909090907</v>
      </c>
      <c r="J877" s="36"/>
    </row>
    <row r="878" spans="1:10" x14ac:dyDescent="0.3">
      <c r="A878" s="4" t="s">
        <v>39</v>
      </c>
      <c r="B878" s="68" t="s">
        <v>40</v>
      </c>
      <c r="C878" s="58">
        <v>5</v>
      </c>
      <c r="D878" s="71">
        <v>5.5</v>
      </c>
      <c r="E878" s="71">
        <v>7.5</v>
      </c>
      <c r="F878" s="68" t="s">
        <v>94</v>
      </c>
      <c r="G878" s="68" t="s">
        <v>149</v>
      </c>
      <c r="H878" s="49">
        <f>IF(G878&gt;0,VLOOKUP(G878,Apoio!$O$2:$P$24,2,0),"")</f>
        <v>8</v>
      </c>
      <c r="I878" s="44">
        <f t="shared" si="13"/>
        <v>54.545454545454547</v>
      </c>
      <c r="J878" s="36"/>
    </row>
    <row r="879" spans="1:10" x14ac:dyDescent="0.3">
      <c r="A879" s="4" t="s">
        <v>39</v>
      </c>
      <c r="B879" s="68" t="s">
        <v>40</v>
      </c>
      <c r="C879" s="58">
        <v>5</v>
      </c>
      <c r="D879" s="71">
        <v>5.5</v>
      </c>
      <c r="E879" s="71">
        <v>7.5</v>
      </c>
      <c r="F879" s="68" t="s">
        <v>94</v>
      </c>
      <c r="G879" s="68" t="s">
        <v>152</v>
      </c>
      <c r="H879" s="49">
        <f>IF(G879&gt;0,VLOOKUP(G879,Apoio!$O$2:$P$24,2,0),"")</f>
        <v>8</v>
      </c>
      <c r="I879" s="44">
        <f t="shared" si="13"/>
        <v>54.545454545454547</v>
      </c>
      <c r="J879" s="36"/>
    </row>
    <row r="880" spans="1:10" x14ac:dyDescent="0.3">
      <c r="A880" s="4" t="s">
        <v>39</v>
      </c>
      <c r="B880" s="68" t="s">
        <v>205</v>
      </c>
      <c r="C880" s="58">
        <v>3.5</v>
      </c>
      <c r="D880" s="71">
        <v>6.4</v>
      </c>
      <c r="E880" s="71">
        <v>7.5</v>
      </c>
      <c r="F880" s="68" t="s">
        <v>73</v>
      </c>
      <c r="G880" s="68" t="s">
        <v>72</v>
      </c>
      <c r="H880" s="49">
        <f>IF(G880&gt;0,VLOOKUP(G880,Apoio!$O$2:$P$24,2,0),"")</f>
        <v>8</v>
      </c>
      <c r="I880" s="44">
        <f t="shared" si="13"/>
        <v>32.8125</v>
      </c>
      <c r="J880" s="36"/>
    </row>
    <row r="881" spans="1:10" x14ac:dyDescent="0.3">
      <c r="A881" s="4" t="s">
        <v>39</v>
      </c>
      <c r="B881" s="68" t="s">
        <v>205</v>
      </c>
      <c r="C881" s="58">
        <v>3</v>
      </c>
      <c r="D881" s="71">
        <v>6.4</v>
      </c>
      <c r="E881" s="71">
        <v>7.5</v>
      </c>
      <c r="F881" s="68" t="s">
        <v>73</v>
      </c>
      <c r="G881" s="68" t="s">
        <v>79</v>
      </c>
      <c r="H881" s="49">
        <f>IF(G881&gt;0,VLOOKUP(G881,Apoio!$O$2:$P$24,2,0),"")</f>
        <v>6</v>
      </c>
      <c r="I881" s="44">
        <f t="shared" si="13"/>
        <v>21.09375</v>
      </c>
      <c r="J881" s="36"/>
    </row>
    <row r="882" spans="1:10" x14ac:dyDescent="0.3">
      <c r="A882" s="4" t="s">
        <v>39</v>
      </c>
      <c r="B882" s="68" t="s">
        <v>205</v>
      </c>
      <c r="C882" s="58">
        <v>4</v>
      </c>
      <c r="D882" s="71">
        <v>6.4</v>
      </c>
      <c r="E882" s="71">
        <v>7.5</v>
      </c>
      <c r="F882" s="68" t="s">
        <v>73</v>
      </c>
      <c r="G882" s="68" t="s">
        <v>86</v>
      </c>
      <c r="H882" s="49">
        <f>IF(G882&gt;0,VLOOKUP(G882,Apoio!$O$2:$P$24,2,0),"")</f>
        <v>8</v>
      </c>
      <c r="I882" s="44">
        <f t="shared" si="13"/>
        <v>37.5</v>
      </c>
      <c r="J882" s="36"/>
    </row>
    <row r="883" spans="1:10" x14ac:dyDescent="0.3">
      <c r="A883" s="4" t="s">
        <v>39</v>
      </c>
      <c r="B883" s="68" t="s">
        <v>205</v>
      </c>
      <c r="C883" s="58">
        <v>4</v>
      </c>
      <c r="D883" s="71">
        <v>6.4</v>
      </c>
      <c r="E883" s="71">
        <v>7.5</v>
      </c>
      <c r="F883" s="68" t="s">
        <v>73</v>
      </c>
      <c r="G883" s="68" t="s">
        <v>93</v>
      </c>
      <c r="H883" s="49">
        <f>IF(G883&gt;0,VLOOKUP(G883,Apoio!$O$2:$P$24,2,0),"")</f>
        <v>8</v>
      </c>
      <c r="I883" s="44">
        <f t="shared" si="13"/>
        <v>37.5</v>
      </c>
      <c r="J883" s="36"/>
    </row>
    <row r="884" spans="1:10" x14ac:dyDescent="0.3">
      <c r="A884" s="67" t="s">
        <v>39</v>
      </c>
      <c r="B884" s="68" t="s">
        <v>205</v>
      </c>
      <c r="C884" s="58">
        <v>4</v>
      </c>
      <c r="D884" s="51">
        <v>6.4</v>
      </c>
      <c r="E884" s="71">
        <v>7.5</v>
      </c>
      <c r="F884" s="68" t="s">
        <v>73</v>
      </c>
      <c r="G884" s="68" t="s">
        <v>98</v>
      </c>
      <c r="H884" s="49">
        <f>IF(G884&gt;0,VLOOKUP(G884,Apoio!$O$2:$P$24,2,0),"")</f>
        <v>7</v>
      </c>
      <c r="I884" s="44">
        <f t="shared" si="13"/>
        <v>32.8125</v>
      </c>
      <c r="J884" s="36"/>
    </row>
    <row r="885" spans="1:10" x14ac:dyDescent="0.3">
      <c r="A885" s="67" t="s">
        <v>39</v>
      </c>
      <c r="B885" s="68" t="s">
        <v>205</v>
      </c>
      <c r="C885" s="58">
        <v>4</v>
      </c>
      <c r="D885" s="51">
        <v>6.4</v>
      </c>
      <c r="E885" s="71">
        <v>7.5</v>
      </c>
      <c r="F885" s="68" t="s">
        <v>73</v>
      </c>
      <c r="G885" s="68" t="s">
        <v>101</v>
      </c>
      <c r="H885" s="49">
        <f>IF(G885&gt;0,VLOOKUP(G885,Apoio!$O$2:$P$24,2,0),"")</f>
        <v>3</v>
      </c>
      <c r="I885" s="44">
        <f t="shared" si="13"/>
        <v>14.0625</v>
      </c>
      <c r="J885" s="36"/>
    </row>
    <row r="886" spans="1:10" x14ac:dyDescent="0.3">
      <c r="A886" s="67" t="s">
        <v>39</v>
      </c>
      <c r="B886" s="68" t="s">
        <v>205</v>
      </c>
      <c r="C886" s="58">
        <v>0</v>
      </c>
      <c r="D886" s="51">
        <v>2.6</v>
      </c>
      <c r="E886" s="71">
        <v>7.5</v>
      </c>
      <c r="F886" s="68" t="s">
        <v>80</v>
      </c>
      <c r="G886" s="68" t="s">
        <v>104</v>
      </c>
      <c r="H886" s="49">
        <f>IF(G886&gt;0,VLOOKUP(G886,Apoio!$O$2:$P$24,2,0),"")</f>
        <v>8</v>
      </c>
      <c r="I886" s="44">
        <f t="shared" si="13"/>
        <v>0</v>
      </c>
      <c r="J886" s="36"/>
    </row>
    <row r="887" spans="1:10" x14ac:dyDescent="0.3">
      <c r="A887" s="67" t="s">
        <v>39</v>
      </c>
      <c r="B887" s="68" t="s">
        <v>205</v>
      </c>
      <c r="C887" s="58">
        <v>0</v>
      </c>
      <c r="D887" s="51">
        <v>2.6</v>
      </c>
      <c r="E887" s="71">
        <v>7.5</v>
      </c>
      <c r="F887" s="68" t="s">
        <v>80</v>
      </c>
      <c r="G887" s="68" t="s">
        <v>107</v>
      </c>
      <c r="H887" s="49">
        <f>IF(G887&gt;0,VLOOKUP(G887,Apoio!$O$2:$P$24,2,0),"")</f>
        <v>7</v>
      </c>
      <c r="I887" s="44">
        <f t="shared" si="13"/>
        <v>0</v>
      </c>
      <c r="J887" s="36"/>
    </row>
    <row r="888" spans="1:10" x14ac:dyDescent="0.3">
      <c r="A888" s="67" t="s">
        <v>39</v>
      </c>
      <c r="B888" s="68" t="s">
        <v>205</v>
      </c>
      <c r="C888" s="58">
        <v>0</v>
      </c>
      <c r="D888" s="51">
        <v>2.6</v>
      </c>
      <c r="E888" s="71">
        <v>7.5</v>
      </c>
      <c r="F888" s="68" t="s">
        <v>80</v>
      </c>
      <c r="G888" s="68" t="s">
        <v>110</v>
      </c>
      <c r="H888" s="49">
        <f>IF(G888&gt;0,VLOOKUP(G888,Apoio!$O$2:$P$24,2,0),"")</f>
        <v>8</v>
      </c>
      <c r="I888" s="44">
        <f t="shared" si="13"/>
        <v>0</v>
      </c>
      <c r="J888" s="36"/>
    </row>
    <row r="889" spans="1:10" x14ac:dyDescent="0.3">
      <c r="A889" s="67" t="s">
        <v>39</v>
      </c>
      <c r="B889" s="68" t="s">
        <v>205</v>
      </c>
      <c r="C889" s="58">
        <v>0</v>
      </c>
      <c r="D889" s="51">
        <v>2.6</v>
      </c>
      <c r="E889" s="71">
        <v>7.5</v>
      </c>
      <c r="F889" s="68" t="s">
        <v>80</v>
      </c>
      <c r="G889" s="68" t="s">
        <v>113</v>
      </c>
      <c r="H889" s="48">
        <f>IF(G889&gt;0,VLOOKUP(G889,Apoio!$O$2:$P$24,2,0),"")</f>
        <v>7</v>
      </c>
      <c r="I889" s="44">
        <f t="shared" si="13"/>
        <v>0</v>
      </c>
      <c r="J889" s="36"/>
    </row>
    <row r="890" spans="1:10" x14ac:dyDescent="0.3">
      <c r="A890" s="67" t="s">
        <v>39</v>
      </c>
      <c r="B890" s="68" t="s">
        <v>205</v>
      </c>
      <c r="C890" s="58">
        <v>0</v>
      </c>
      <c r="D890" s="51">
        <v>2.6</v>
      </c>
      <c r="E890" s="71">
        <v>7.5</v>
      </c>
      <c r="F890" s="68" t="s">
        <v>80</v>
      </c>
      <c r="G890" s="68" t="s">
        <v>116</v>
      </c>
      <c r="H890" s="48">
        <f>IF(G890&gt;0,VLOOKUP(G890,Apoio!$O$2:$P$24,2,0),"")</f>
        <v>4</v>
      </c>
      <c r="I890" s="44">
        <f t="shared" si="13"/>
        <v>0</v>
      </c>
      <c r="J890" s="36"/>
    </row>
    <row r="891" spans="1:10" x14ac:dyDescent="0.3">
      <c r="A891" s="67" t="s">
        <v>39</v>
      </c>
      <c r="B891" s="68" t="s">
        <v>205</v>
      </c>
      <c r="C891" s="58">
        <v>0</v>
      </c>
      <c r="D891" s="51">
        <v>6.4</v>
      </c>
      <c r="E891" s="71">
        <v>7.5</v>
      </c>
      <c r="F891" s="68" t="s">
        <v>87</v>
      </c>
      <c r="G891" s="68" t="s">
        <v>119</v>
      </c>
      <c r="H891" s="48">
        <f>IF(G891&gt;0,VLOOKUP(G891,Apoio!$O$2:$P$24,2,0),"")</f>
        <v>12</v>
      </c>
      <c r="I891" s="44">
        <f t="shared" si="13"/>
        <v>0</v>
      </c>
      <c r="J891" s="36"/>
    </row>
    <row r="892" spans="1:10" x14ac:dyDescent="0.3">
      <c r="A892" s="67" t="s">
        <v>39</v>
      </c>
      <c r="B892" s="68" t="s">
        <v>205</v>
      </c>
      <c r="C892" s="58">
        <v>0</v>
      </c>
      <c r="D892" s="51">
        <v>6.4</v>
      </c>
      <c r="E892" s="71">
        <v>7.5</v>
      </c>
      <c r="F892" s="68" t="s">
        <v>87</v>
      </c>
      <c r="G892" s="68" t="s">
        <v>122</v>
      </c>
      <c r="H892" s="48">
        <f>IF(G892&gt;0,VLOOKUP(G892,Apoio!$O$2:$P$24,2,0),"")</f>
        <v>8</v>
      </c>
      <c r="I892" s="44">
        <f t="shared" si="13"/>
        <v>0</v>
      </c>
      <c r="J892" s="36"/>
    </row>
    <row r="893" spans="1:10" x14ac:dyDescent="0.3">
      <c r="A893" s="67" t="s">
        <v>39</v>
      </c>
      <c r="B893" s="68" t="s">
        <v>205</v>
      </c>
      <c r="C893" s="58">
        <v>0</v>
      </c>
      <c r="D893" s="51">
        <v>6.4</v>
      </c>
      <c r="E893" s="71">
        <v>7.5</v>
      </c>
      <c r="F893" s="68" t="s">
        <v>87</v>
      </c>
      <c r="G893" s="68" t="s">
        <v>125</v>
      </c>
      <c r="H893" s="48">
        <f>IF(G893&gt;0,VLOOKUP(G893,Apoio!$O$2:$P$24,2,0),"")</f>
        <v>8</v>
      </c>
      <c r="I893" s="44">
        <f t="shared" si="13"/>
        <v>0</v>
      </c>
      <c r="J893" s="36"/>
    </row>
    <row r="894" spans="1:10" x14ac:dyDescent="0.3">
      <c r="A894" s="67" t="s">
        <v>39</v>
      </c>
      <c r="B894" s="68" t="s">
        <v>205</v>
      </c>
      <c r="C894" s="58">
        <v>0</v>
      </c>
      <c r="D894" s="51">
        <v>6.4</v>
      </c>
      <c r="E894" s="71">
        <v>7.5</v>
      </c>
      <c r="F894" s="68" t="s">
        <v>87</v>
      </c>
      <c r="G894" s="68" t="s">
        <v>128</v>
      </c>
      <c r="H894" s="48">
        <f>IF(G894&gt;0,VLOOKUP(G894,Apoio!$O$2:$P$24,2,0),"")</f>
        <v>8</v>
      </c>
      <c r="I894" s="44">
        <f t="shared" si="13"/>
        <v>0</v>
      </c>
      <c r="J894" s="36"/>
    </row>
    <row r="895" spans="1:10" x14ac:dyDescent="0.3">
      <c r="A895" s="67" t="s">
        <v>39</v>
      </c>
      <c r="B895" s="68" t="s">
        <v>205</v>
      </c>
      <c r="C895" s="58">
        <v>0</v>
      </c>
      <c r="D895" s="51">
        <v>6.4</v>
      </c>
      <c r="E895" s="71">
        <v>7.5</v>
      </c>
      <c r="F895" s="68" t="s">
        <v>87</v>
      </c>
      <c r="G895" s="68" t="s">
        <v>131</v>
      </c>
      <c r="H895" s="48">
        <f>IF(G895&gt;0,VLOOKUP(G895,Apoio!$O$2:$P$24,2,0),"")</f>
        <v>8</v>
      </c>
      <c r="I895" s="44">
        <f t="shared" si="13"/>
        <v>0</v>
      </c>
      <c r="J895" s="36"/>
    </row>
    <row r="896" spans="1:10" x14ac:dyDescent="0.3">
      <c r="A896" s="4" t="s">
        <v>39</v>
      </c>
      <c r="B896" s="68" t="s">
        <v>205</v>
      </c>
      <c r="C896" s="58">
        <v>0</v>
      </c>
      <c r="D896" s="71">
        <v>6.4</v>
      </c>
      <c r="E896" s="71">
        <v>7.5</v>
      </c>
      <c r="F896" s="68" t="s">
        <v>87</v>
      </c>
      <c r="G896" s="68" t="s">
        <v>134</v>
      </c>
      <c r="H896" s="48">
        <f>IF(G896&gt;0,VLOOKUP(G896,Apoio!$O$2:$P$24,2,0),"")</f>
        <v>3</v>
      </c>
      <c r="I896" s="44">
        <f t="shared" si="13"/>
        <v>0</v>
      </c>
      <c r="J896" s="36"/>
    </row>
    <row r="897" spans="1:10" x14ac:dyDescent="0.3">
      <c r="A897" s="4" t="s">
        <v>39</v>
      </c>
      <c r="B897" s="68" t="s">
        <v>205</v>
      </c>
      <c r="C897" s="58">
        <v>0</v>
      </c>
      <c r="D897" s="71">
        <v>6.4</v>
      </c>
      <c r="E897" s="71">
        <v>7.5</v>
      </c>
      <c r="F897" s="68" t="s">
        <v>94</v>
      </c>
      <c r="G897" s="68" t="s">
        <v>137</v>
      </c>
      <c r="H897" s="48">
        <f>IF(G897&gt;0,VLOOKUP(G897,Apoio!$O$2:$P$24,2,0),"")</f>
        <v>13</v>
      </c>
      <c r="I897" s="44">
        <f t="shared" si="13"/>
        <v>0</v>
      </c>
      <c r="J897" s="36"/>
    </row>
    <row r="898" spans="1:10" x14ac:dyDescent="0.3">
      <c r="A898" s="4" t="s">
        <v>39</v>
      </c>
      <c r="B898" s="68" t="s">
        <v>205</v>
      </c>
      <c r="C898" s="58">
        <v>0</v>
      </c>
      <c r="D898" s="71">
        <v>6.4</v>
      </c>
      <c r="E898" s="71">
        <v>7.5</v>
      </c>
      <c r="F898" s="68" t="s">
        <v>94</v>
      </c>
      <c r="G898" s="68" t="s">
        <v>140</v>
      </c>
      <c r="H898" s="48">
        <f>IF(G898&gt;0,VLOOKUP(G898,Apoio!$O$2:$P$24,2,0),"")</f>
        <v>8</v>
      </c>
      <c r="I898" s="44">
        <f t="shared" ref="I898:I948" si="14">IF(D898&gt;0,(((H898*E898)*C898)/D898),"")</f>
        <v>0</v>
      </c>
      <c r="J898" s="36"/>
    </row>
    <row r="899" spans="1:10" x14ac:dyDescent="0.3">
      <c r="A899" s="4" t="s">
        <v>39</v>
      </c>
      <c r="B899" s="68" t="s">
        <v>205</v>
      </c>
      <c r="C899" s="58">
        <v>0</v>
      </c>
      <c r="D899" s="71">
        <v>6.4</v>
      </c>
      <c r="E899" s="71">
        <v>7.5</v>
      </c>
      <c r="F899" s="68" t="s">
        <v>94</v>
      </c>
      <c r="G899" s="68" t="s">
        <v>143</v>
      </c>
      <c r="H899" s="48">
        <f>IF(G899&gt;0,VLOOKUP(G899,Apoio!$O$2:$P$24,2,0),"")</f>
        <v>8</v>
      </c>
      <c r="I899" s="44">
        <f t="shared" si="14"/>
        <v>0</v>
      </c>
      <c r="J899" s="36"/>
    </row>
    <row r="900" spans="1:10" x14ac:dyDescent="0.3">
      <c r="A900" s="4" t="s">
        <v>39</v>
      </c>
      <c r="B900" s="68" t="s">
        <v>205</v>
      </c>
      <c r="C900" s="58">
        <v>0</v>
      </c>
      <c r="D900" s="71">
        <v>6.4</v>
      </c>
      <c r="E900" s="71">
        <v>7.5</v>
      </c>
      <c r="F900" s="68" t="s">
        <v>94</v>
      </c>
      <c r="G900" s="68" t="s">
        <v>146</v>
      </c>
      <c r="H900" s="48">
        <f>IF(G900&gt;0,VLOOKUP(G900,Apoio!$O$2:$P$24,2,0),"")</f>
        <v>6</v>
      </c>
      <c r="I900" s="44">
        <f t="shared" si="14"/>
        <v>0</v>
      </c>
      <c r="J900" s="36"/>
    </row>
    <row r="901" spans="1:10" x14ac:dyDescent="0.3">
      <c r="A901" s="4" t="s">
        <v>39</v>
      </c>
      <c r="B901" s="68" t="s">
        <v>205</v>
      </c>
      <c r="C901" s="58">
        <v>0</v>
      </c>
      <c r="D901" s="71">
        <v>6.4</v>
      </c>
      <c r="E901" s="71">
        <v>7.5</v>
      </c>
      <c r="F901" s="68" t="s">
        <v>94</v>
      </c>
      <c r="G901" s="68" t="s">
        <v>149</v>
      </c>
      <c r="H901" s="48">
        <f>IF(G901&gt;0,VLOOKUP(G901,Apoio!$O$2:$P$24,2,0),"")</f>
        <v>8</v>
      </c>
      <c r="I901" s="44">
        <f t="shared" si="14"/>
        <v>0</v>
      </c>
      <c r="J901" s="36"/>
    </row>
    <row r="902" spans="1:10" x14ac:dyDescent="0.3">
      <c r="A902" s="4" t="s">
        <v>39</v>
      </c>
      <c r="B902" s="68" t="s">
        <v>205</v>
      </c>
      <c r="C902" s="58">
        <v>0</v>
      </c>
      <c r="D902" s="71">
        <v>6.4</v>
      </c>
      <c r="E902" s="71">
        <v>7.5</v>
      </c>
      <c r="F902" s="68" t="s">
        <v>94</v>
      </c>
      <c r="G902" s="68" t="s">
        <v>152</v>
      </c>
      <c r="H902" s="48">
        <f>IF(G902&gt;0,VLOOKUP(G902,Apoio!$O$2:$P$24,2,0),"")</f>
        <v>8</v>
      </c>
      <c r="I902" s="44">
        <f t="shared" si="14"/>
        <v>0</v>
      </c>
      <c r="J902" s="36"/>
    </row>
    <row r="903" spans="1:10" x14ac:dyDescent="0.3">
      <c r="A903" s="4" t="s">
        <v>39</v>
      </c>
      <c r="B903" s="68" t="s">
        <v>41</v>
      </c>
      <c r="C903" s="58">
        <v>5</v>
      </c>
      <c r="D903" s="71">
        <v>6.8</v>
      </c>
      <c r="E903" s="71">
        <v>7.5</v>
      </c>
      <c r="F903" s="68" t="s">
        <v>73</v>
      </c>
      <c r="G903" s="68" t="s">
        <v>72</v>
      </c>
      <c r="H903" s="48">
        <f>IF(G903&gt;0,VLOOKUP(G903,Apoio!$O$2:$P$24,2,0),"")</f>
        <v>8</v>
      </c>
      <c r="I903" s="44">
        <f t="shared" si="14"/>
        <v>44.117647058823529</v>
      </c>
      <c r="J903" s="36"/>
    </row>
    <row r="904" spans="1:10" x14ac:dyDescent="0.3">
      <c r="A904" s="4" t="s">
        <v>39</v>
      </c>
      <c r="B904" s="68" t="s">
        <v>41</v>
      </c>
      <c r="C904" s="58">
        <v>5</v>
      </c>
      <c r="D904" s="71">
        <v>6.8</v>
      </c>
      <c r="E904" s="71">
        <v>7.5</v>
      </c>
      <c r="F904" s="68" t="s">
        <v>73</v>
      </c>
      <c r="G904" s="68" t="s">
        <v>79</v>
      </c>
      <c r="H904" s="48">
        <f>IF(G904&gt;0,VLOOKUP(G904,Apoio!$O$2:$P$24,2,0),"")</f>
        <v>6</v>
      </c>
      <c r="I904" s="44">
        <f t="shared" si="14"/>
        <v>33.088235294117645</v>
      </c>
      <c r="J904" s="36"/>
    </row>
    <row r="905" spans="1:10" x14ac:dyDescent="0.3">
      <c r="A905" s="4" t="s">
        <v>39</v>
      </c>
      <c r="B905" s="68" t="s">
        <v>41</v>
      </c>
      <c r="C905" s="58">
        <v>5</v>
      </c>
      <c r="D905" s="71">
        <v>6.8</v>
      </c>
      <c r="E905" s="71">
        <v>7.5</v>
      </c>
      <c r="F905" s="68" t="s">
        <v>73</v>
      </c>
      <c r="G905" s="68" t="s">
        <v>86</v>
      </c>
      <c r="H905" s="48">
        <f>IF(G905&gt;0,VLOOKUP(G905,Apoio!$O$2:$P$24,2,0),"")</f>
        <v>8</v>
      </c>
      <c r="I905" s="44">
        <f t="shared" si="14"/>
        <v>44.117647058823529</v>
      </c>
      <c r="J905" s="36"/>
    </row>
    <row r="906" spans="1:10" x14ac:dyDescent="0.3">
      <c r="A906" s="4" t="s">
        <v>39</v>
      </c>
      <c r="B906" s="68" t="s">
        <v>41</v>
      </c>
      <c r="C906" s="58">
        <v>5</v>
      </c>
      <c r="D906" s="71">
        <v>6.8</v>
      </c>
      <c r="E906" s="71">
        <v>7.5</v>
      </c>
      <c r="F906" s="68" t="s">
        <v>73</v>
      </c>
      <c r="G906" s="68" t="s">
        <v>93</v>
      </c>
      <c r="H906" s="48">
        <f>IF(G906&gt;0,VLOOKUP(G906,Apoio!$O$2:$P$24,2,0),"")</f>
        <v>8</v>
      </c>
      <c r="I906" s="44">
        <f t="shared" si="14"/>
        <v>44.117647058823529</v>
      </c>
      <c r="J906" s="36"/>
    </row>
    <row r="907" spans="1:10" x14ac:dyDescent="0.3">
      <c r="A907" s="4" t="s">
        <v>39</v>
      </c>
      <c r="B907" s="68" t="s">
        <v>41</v>
      </c>
      <c r="C907" s="58">
        <v>5</v>
      </c>
      <c r="D907" s="71">
        <v>6.8</v>
      </c>
      <c r="E907" s="71">
        <v>7.5</v>
      </c>
      <c r="F907" s="68" t="s">
        <v>73</v>
      </c>
      <c r="G907" s="68" t="s">
        <v>98</v>
      </c>
      <c r="H907" s="48">
        <f>IF(G907&gt;0,VLOOKUP(G907,Apoio!$O$2:$P$24,2,0),"")</f>
        <v>7</v>
      </c>
      <c r="I907" s="44">
        <f t="shared" si="14"/>
        <v>38.602941176470587</v>
      </c>
      <c r="J907" s="36"/>
    </row>
    <row r="908" spans="1:10" x14ac:dyDescent="0.3">
      <c r="A908" s="4" t="s">
        <v>39</v>
      </c>
      <c r="B908" s="68" t="s">
        <v>41</v>
      </c>
      <c r="C908" s="58">
        <v>5</v>
      </c>
      <c r="D908" s="71">
        <v>6.8</v>
      </c>
      <c r="E908" s="71">
        <v>7.5</v>
      </c>
      <c r="F908" s="68" t="s">
        <v>73</v>
      </c>
      <c r="G908" s="68" t="s">
        <v>101</v>
      </c>
      <c r="H908" s="48">
        <f>IF(G908&gt;0,VLOOKUP(G908,Apoio!$O$2:$P$24,2,0),"")</f>
        <v>3</v>
      </c>
      <c r="I908" s="44">
        <f t="shared" si="14"/>
        <v>16.544117647058822</v>
      </c>
      <c r="J908" s="36"/>
    </row>
    <row r="909" spans="1:10" x14ac:dyDescent="0.3">
      <c r="A909" s="4" t="s">
        <v>39</v>
      </c>
      <c r="B909" s="68" t="s">
        <v>41</v>
      </c>
      <c r="C909" s="58">
        <v>5</v>
      </c>
      <c r="D909" s="72">
        <v>7.2</v>
      </c>
      <c r="E909" s="71">
        <v>7.5</v>
      </c>
      <c r="F909" s="68" t="s">
        <v>80</v>
      </c>
      <c r="G909" s="68" t="s">
        <v>104</v>
      </c>
      <c r="H909" s="48">
        <f>IF(G909&gt;0,VLOOKUP(G909,Apoio!$O$2:$P$24,2,0),"")</f>
        <v>8</v>
      </c>
      <c r="I909" s="44">
        <f t="shared" si="14"/>
        <v>41.666666666666664</v>
      </c>
      <c r="J909" s="36"/>
    </row>
    <row r="910" spans="1:10" x14ac:dyDescent="0.3">
      <c r="A910" s="4" t="s">
        <v>39</v>
      </c>
      <c r="B910" s="68" t="s">
        <v>41</v>
      </c>
      <c r="C910" s="58">
        <v>5</v>
      </c>
      <c r="D910" s="71">
        <v>7.2</v>
      </c>
      <c r="E910" s="71">
        <v>7.5</v>
      </c>
      <c r="F910" s="68" t="s">
        <v>80</v>
      </c>
      <c r="G910" s="68" t="s">
        <v>107</v>
      </c>
      <c r="H910" s="48">
        <f>IF(G910&gt;0,VLOOKUP(G910,Apoio!$O$2:$P$24,2,0),"")</f>
        <v>7</v>
      </c>
      <c r="I910" s="44">
        <f t="shared" si="14"/>
        <v>36.458333333333336</v>
      </c>
      <c r="J910" s="36"/>
    </row>
    <row r="911" spans="1:10" x14ac:dyDescent="0.3">
      <c r="A911" s="4" t="s">
        <v>39</v>
      </c>
      <c r="B911" s="68" t="s">
        <v>41</v>
      </c>
      <c r="C911" s="58">
        <v>5</v>
      </c>
      <c r="D911" s="71">
        <v>7.2</v>
      </c>
      <c r="E911" s="71">
        <v>7.5</v>
      </c>
      <c r="F911" s="68" t="s">
        <v>80</v>
      </c>
      <c r="G911" s="68" t="s">
        <v>110</v>
      </c>
      <c r="H911" s="48">
        <f>IF(G911&gt;0,VLOOKUP(G911,Apoio!$O$2:$P$24,2,0),"")</f>
        <v>8</v>
      </c>
      <c r="I911" s="44">
        <f t="shared" si="14"/>
        <v>41.666666666666664</v>
      </c>
      <c r="J911" s="36"/>
    </row>
    <row r="912" spans="1:10" x14ac:dyDescent="0.3">
      <c r="A912" s="4" t="s">
        <v>39</v>
      </c>
      <c r="B912" s="68" t="s">
        <v>41</v>
      </c>
      <c r="C912" s="58">
        <v>5</v>
      </c>
      <c r="D912" s="71">
        <v>7.2</v>
      </c>
      <c r="E912" s="71">
        <v>7.5</v>
      </c>
      <c r="F912" s="68" t="s">
        <v>80</v>
      </c>
      <c r="G912" s="68" t="s">
        <v>113</v>
      </c>
      <c r="H912" s="48">
        <f>IF(G912&gt;0,VLOOKUP(G912,Apoio!$O$2:$P$24,2,0),"")</f>
        <v>7</v>
      </c>
      <c r="I912" s="44">
        <f t="shared" si="14"/>
        <v>36.458333333333336</v>
      </c>
      <c r="J912" s="36"/>
    </row>
    <row r="913" spans="1:10" x14ac:dyDescent="0.3">
      <c r="A913" s="4" t="s">
        <v>39</v>
      </c>
      <c r="B913" s="68" t="s">
        <v>41</v>
      </c>
      <c r="C913" s="58">
        <v>5</v>
      </c>
      <c r="D913" s="71">
        <v>7.2</v>
      </c>
      <c r="E913" s="71">
        <v>7.5</v>
      </c>
      <c r="F913" s="68" t="s">
        <v>80</v>
      </c>
      <c r="G913" s="68" t="s">
        <v>116</v>
      </c>
      <c r="H913" s="48">
        <f>IF(G913&gt;0,VLOOKUP(G913,Apoio!$O$2:$P$24,2,0),"")</f>
        <v>4</v>
      </c>
      <c r="I913" s="44">
        <f t="shared" si="14"/>
        <v>20.833333333333332</v>
      </c>
      <c r="J913" s="36"/>
    </row>
    <row r="914" spans="1:10" x14ac:dyDescent="0.3">
      <c r="A914" s="67" t="s">
        <v>39</v>
      </c>
      <c r="B914" s="68" t="s">
        <v>41</v>
      </c>
      <c r="C914" s="58">
        <v>5</v>
      </c>
      <c r="D914" s="71">
        <v>7.3</v>
      </c>
      <c r="E914" s="71">
        <v>7.5</v>
      </c>
      <c r="F914" s="68" t="s">
        <v>87</v>
      </c>
      <c r="G914" s="68" t="s">
        <v>119</v>
      </c>
      <c r="H914" s="48">
        <f>IF(G914&gt;0,VLOOKUP(G914,Apoio!$O$2:$P$24,2,0),"")</f>
        <v>12</v>
      </c>
      <c r="I914" s="44">
        <f t="shared" si="14"/>
        <v>61.643835616438359</v>
      </c>
      <c r="J914" s="36"/>
    </row>
    <row r="915" spans="1:10" x14ac:dyDescent="0.3">
      <c r="A915" s="67" t="s">
        <v>39</v>
      </c>
      <c r="B915" s="68" t="s">
        <v>41</v>
      </c>
      <c r="C915" s="58">
        <v>3.7</v>
      </c>
      <c r="D915" s="71">
        <v>7.3</v>
      </c>
      <c r="E915" s="71">
        <v>7.5</v>
      </c>
      <c r="F915" s="68" t="s">
        <v>87</v>
      </c>
      <c r="G915" s="68" t="s">
        <v>122</v>
      </c>
      <c r="H915" s="48">
        <f>IF(G915&gt;0,VLOOKUP(G915,Apoio!$O$2:$P$24,2,0),"")</f>
        <v>8</v>
      </c>
      <c r="I915" s="44">
        <f t="shared" si="14"/>
        <v>30.410958904109588</v>
      </c>
      <c r="J915" s="36"/>
    </row>
    <row r="916" spans="1:10" x14ac:dyDescent="0.3">
      <c r="A916" s="67" t="s">
        <v>39</v>
      </c>
      <c r="B916" s="68" t="s">
        <v>41</v>
      </c>
      <c r="C916" s="58">
        <v>5</v>
      </c>
      <c r="D916" s="71">
        <v>7.3</v>
      </c>
      <c r="E916" s="71">
        <v>7.5</v>
      </c>
      <c r="F916" s="68" t="s">
        <v>87</v>
      </c>
      <c r="G916" s="68" t="s">
        <v>125</v>
      </c>
      <c r="H916" s="49">
        <f>IF(G916&gt;0,VLOOKUP(G916,Apoio!$O$2:$P$24,2,0),"")</f>
        <v>8</v>
      </c>
      <c r="I916" s="44">
        <f t="shared" si="14"/>
        <v>41.095890410958908</v>
      </c>
      <c r="J916" s="36"/>
    </row>
    <row r="917" spans="1:10" x14ac:dyDescent="0.3">
      <c r="A917" s="67" t="s">
        <v>39</v>
      </c>
      <c r="B917" s="68" t="s">
        <v>41</v>
      </c>
      <c r="C917" s="58">
        <v>5</v>
      </c>
      <c r="D917" s="71">
        <v>7.3</v>
      </c>
      <c r="E917" s="71">
        <v>7.5</v>
      </c>
      <c r="F917" s="68" t="s">
        <v>87</v>
      </c>
      <c r="G917" s="68" t="s">
        <v>128</v>
      </c>
      <c r="H917" s="49">
        <f>IF(G917&gt;0,VLOOKUP(G917,Apoio!$O$2:$P$24,2,0),"")</f>
        <v>8</v>
      </c>
      <c r="I917" s="44">
        <f t="shared" si="14"/>
        <v>41.095890410958908</v>
      </c>
      <c r="J917" s="36"/>
    </row>
    <row r="918" spans="1:10" x14ac:dyDescent="0.3">
      <c r="A918" s="67" t="s">
        <v>39</v>
      </c>
      <c r="B918" s="68" t="s">
        <v>41</v>
      </c>
      <c r="C918" s="58">
        <v>5</v>
      </c>
      <c r="D918" s="71">
        <v>7.3</v>
      </c>
      <c r="E918" s="71">
        <v>7.5</v>
      </c>
      <c r="F918" s="68" t="s">
        <v>87</v>
      </c>
      <c r="G918" s="68" t="s">
        <v>131</v>
      </c>
      <c r="H918" s="49">
        <f>IF(G918&gt;0,VLOOKUP(G918,Apoio!$O$2:$P$24,2,0),"")</f>
        <v>8</v>
      </c>
      <c r="I918" s="44">
        <f t="shared" si="14"/>
        <v>41.095890410958908</v>
      </c>
      <c r="J918" s="36"/>
    </row>
    <row r="919" spans="1:10" x14ac:dyDescent="0.3">
      <c r="A919" s="67" t="s">
        <v>39</v>
      </c>
      <c r="B919" s="68" t="s">
        <v>41</v>
      </c>
      <c r="C919" s="58">
        <v>5</v>
      </c>
      <c r="D919" s="71">
        <v>7.3</v>
      </c>
      <c r="E919" s="71">
        <v>7.5</v>
      </c>
      <c r="F919" s="68" t="s">
        <v>87</v>
      </c>
      <c r="G919" s="68" t="s">
        <v>134</v>
      </c>
      <c r="H919" s="49">
        <f>IF(G919&gt;0,VLOOKUP(G919,Apoio!$O$2:$P$24,2,0),"")</f>
        <v>3</v>
      </c>
      <c r="I919" s="44">
        <f t="shared" si="14"/>
        <v>15.41095890410959</v>
      </c>
      <c r="J919" s="36"/>
    </row>
    <row r="920" spans="1:10" x14ac:dyDescent="0.3">
      <c r="A920" s="67" t="s">
        <v>39</v>
      </c>
      <c r="B920" s="68" t="s">
        <v>41</v>
      </c>
      <c r="C920" s="58">
        <v>3.2</v>
      </c>
      <c r="D920" s="71">
        <v>6</v>
      </c>
      <c r="E920" s="71">
        <v>7.5</v>
      </c>
      <c r="F920" s="68" t="s">
        <v>94</v>
      </c>
      <c r="G920" s="68" t="s">
        <v>137</v>
      </c>
      <c r="H920" s="49">
        <f>IF(G920&gt;0,VLOOKUP(G920,Apoio!$O$2:$P$24,2,0),"")</f>
        <v>13</v>
      </c>
      <c r="I920" s="44">
        <f t="shared" si="14"/>
        <v>52</v>
      </c>
      <c r="J920" s="36"/>
    </row>
    <row r="921" spans="1:10" x14ac:dyDescent="0.3">
      <c r="A921" s="67" t="s">
        <v>39</v>
      </c>
      <c r="B921" s="68" t="s">
        <v>41</v>
      </c>
      <c r="C921" s="58">
        <v>4</v>
      </c>
      <c r="D921" s="71">
        <v>6</v>
      </c>
      <c r="E921" s="71">
        <v>7.5</v>
      </c>
      <c r="F921" s="68" t="s">
        <v>94</v>
      </c>
      <c r="G921" s="68" t="s">
        <v>140</v>
      </c>
      <c r="H921" s="49">
        <f>IF(G921&gt;0,VLOOKUP(G921,Apoio!$O$2:$P$24,2,0),"")</f>
        <v>8</v>
      </c>
      <c r="I921" s="44">
        <f t="shared" si="14"/>
        <v>40</v>
      </c>
      <c r="J921" s="36"/>
    </row>
    <row r="922" spans="1:10" x14ac:dyDescent="0.3">
      <c r="A922" s="67" t="s">
        <v>39</v>
      </c>
      <c r="B922" s="68" t="s">
        <v>41</v>
      </c>
      <c r="C922" s="58">
        <v>5</v>
      </c>
      <c r="D922" s="71">
        <v>6</v>
      </c>
      <c r="E922" s="71">
        <v>7.5</v>
      </c>
      <c r="F922" s="68" t="s">
        <v>94</v>
      </c>
      <c r="G922" s="68" t="s">
        <v>143</v>
      </c>
      <c r="H922" s="49">
        <f>IF(G922&gt;0,VLOOKUP(G922,Apoio!$O$2:$P$24,2,0),"")</f>
        <v>8</v>
      </c>
      <c r="I922" s="44">
        <f t="shared" si="14"/>
        <v>50</v>
      </c>
      <c r="J922" s="36"/>
    </row>
    <row r="923" spans="1:10" x14ac:dyDescent="0.3">
      <c r="A923" s="67" t="s">
        <v>39</v>
      </c>
      <c r="B923" s="68" t="s">
        <v>41</v>
      </c>
      <c r="C923" s="58">
        <v>5</v>
      </c>
      <c r="D923" s="71">
        <v>6</v>
      </c>
      <c r="E923" s="71">
        <v>7.5</v>
      </c>
      <c r="F923" s="68" t="s">
        <v>94</v>
      </c>
      <c r="G923" s="68" t="s">
        <v>146</v>
      </c>
      <c r="H923" s="49">
        <f>IF(G923&gt;0,VLOOKUP(G923,Apoio!$O$2:$P$24,2,0),"")</f>
        <v>6</v>
      </c>
      <c r="I923" s="44">
        <f t="shared" si="14"/>
        <v>37.5</v>
      </c>
      <c r="J923" s="36"/>
    </row>
    <row r="924" spans="1:10" x14ac:dyDescent="0.3">
      <c r="A924" s="67" t="s">
        <v>39</v>
      </c>
      <c r="B924" s="68" t="s">
        <v>41</v>
      </c>
      <c r="C924" s="58">
        <v>5</v>
      </c>
      <c r="D924" s="71">
        <v>6</v>
      </c>
      <c r="E924" s="71">
        <v>7.5</v>
      </c>
      <c r="F924" s="68" t="s">
        <v>94</v>
      </c>
      <c r="G924" s="68" t="s">
        <v>149</v>
      </c>
      <c r="H924" s="49">
        <f>IF(G924&gt;0,VLOOKUP(G924,Apoio!$O$2:$P$24,2,0),"")</f>
        <v>8</v>
      </c>
      <c r="I924" s="44">
        <f t="shared" si="14"/>
        <v>50</v>
      </c>
      <c r="J924" s="36"/>
    </row>
    <row r="925" spans="1:10" x14ac:dyDescent="0.3">
      <c r="A925" s="67" t="s">
        <v>39</v>
      </c>
      <c r="B925" s="68" t="s">
        <v>41</v>
      </c>
      <c r="C925" s="58">
        <v>5</v>
      </c>
      <c r="D925" s="71">
        <v>6</v>
      </c>
      <c r="E925" s="71">
        <v>7.5</v>
      </c>
      <c r="F925" s="68" t="s">
        <v>94</v>
      </c>
      <c r="G925" s="68" t="s">
        <v>152</v>
      </c>
      <c r="H925" s="49">
        <f>IF(G925&gt;0,VLOOKUP(G925,Apoio!$O$2:$P$24,2,0),"")</f>
        <v>8</v>
      </c>
      <c r="I925" s="44">
        <f t="shared" si="14"/>
        <v>50</v>
      </c>
      <c r="J925" s="36"/>
    </row>
    <row r="926" spans="1:10" x14ac:dyDescent="0.3">
      <c r="A926" s="4" t="s">
        <v>39</v>
      </c>
      <c r="B926" s="68" t="s">
        <v>42</v>
      </c>
      <c r="C926" s="58">
        <v>4</v>
      </c>
      <c r="D926" s="71">
        <v>7</v>
      </c>
      <c r="E926" s="71">
        <v>7.5</v>
      </c>
      <c r="F926" s="68" t="s">
        <v>73</v>
      </c>
      <c r="G926" s="68" t="s">
        <v>72</v>
      </c>
      <c r="H926" s="49">
        <f>IF(G926&gt;0,VLOOKUP(G926,Apoio!$O$2:$P$24,2,0),"")</f>
        <v>8</v>
      </c>
      <c r="I926" s="44">
        <f t="shared" si="14"/>
        <v>34.285714285714285</v>
      </c>
      <c r="J926" s="36"/>
    </row>
    <row r="927" spans="1:10" x14ac:dyDescent="0.3">
      <c r="A927" s="4" t="s">
        <v>39</v>
      </c>
      <c r="B927" s="68" t="s">
        <v>42</v>
      </c>
      <c r="C927" s="58">
        <v>4.87</v>
      </c>
      <c r="D927" s="71">
        <v>7</v>
      </c>
      <c r="E927" s="71">
        <v>7.5</v>
      </c>
      <c r="F927" s="68" t="s">
        <v>73</v>
      </c>
      <c r="G927" s="68" t="s">
        <v>79</v>
      </c>
      <c r="H927" s="49">
        <f>IF(G927&gt;0,VLOOKUP(G927,Apoio!$O$2:$P$24,2,0),"")</f>
        <v>6</v>
      </c>
      <c r="I927" s="44">
        <f t="shared" si="14"/>
        <v>31.307142857142857</v>
      </c>
      <c r="J927" s="36"/>
    </row>
    <row r="928" spans="1:10" x14ac:dyDescent="0.3">
      <c r="A928" s="4" t="s">
        <v>39</v>
      </c>
      <c r="B928" s="68" t="s">
        <v>42</v>
      </c>
      <c r="C928" s="58">
        <v>4</v>
      </c>
      <c r="D928" s="71">
        <v>7</v>
      </c>
      <c r="E928" s="71">
        <v>7.5</v>
      </c>
      <c r="F928" s="68" t="s">
        <v>73</v>
      </c>
      <c r="G928" s="68" t="s">
        <v>86</v>
      </c>
      <c r="H928" s="49">
        <f>IF(G928&gt;0,VLOOKUP(G928,Apoio!$O$2:$P$24,2,0),"")</f>
        <v>8</v>
      </c>
      <c r="I928" s="44">
        <f t="shared" si="14"/>
        <v>34.285714285714285</v>
      </c>
      <c r="J928" s="36"/>
    </row>
    <row r="929" spans="1:10" x14ac:dyDescent="0.3">
      <c r="A929" s="4" t="s">
        <v>39</v>
      </c>
      <c r="B929" s="68" t="s">
        <v>42</v>
      </c>
      <c r="C929" s="58">
        <v>4</v>
      </c>
      <c r="D929" s="71">
        <v>7</v>
      </c>
      <c r="E929" s="71">
        <v>7.5</v>
      </c>
      <c r="F929" s="68" t="s">
        <v>73</v>
      </c>
      <c r="G929" s="68" t="s">
        <v>93</v>
      </c>
      <c r="H929" s="49">
        <f>IF(G929&gt;0,VLOOKUP(G929,Apoio!$O$2:$P$24,2,0),"")</f>
        <v>8</v>
      </c>
      <c r="I929" s="44">
        <f t="shared" si="14"/>
        <v>34.285714285714285</v>
      </c>
      <c r="J929" s="36"/>
    </row>
    <row r="930" spans="1:10" x14ac:dyDescent="0.3">
      <c r="A930" s="4" t="s">
        <v>39</v>
      </c>
      <c r="B930" s="68" t="s">
        <v>42</v>
      </c>
      <c r="C930" s="58">
        <v>4</v>
      </c>
      <c r="D930" s="71">
        <v>7</v>
      </c>
      <c r="E930" s="71">
        <v>7.5</v>
      </c>
      <c r="F930" s="68" t="s">
        <v>73</v>
      </c>
      <c r="G930" s="68" t="s">
        <v>98</v>
      </c>
      <c r="H930" s="49">
        <f>IF(G930&gt;0,VLOOKUP(G930,Apoio!$O$2:$P$24,2,0),"")</f>
        <v>7</v>
      </c>
      <c r="I930" s="44">
        <f t="shared" si="14"/>
        <v>30</v>
      </c>
      <c r="J930" s="36"/>
    </row>
    <row r="931" spans="1:10" x14ac:dyDescent="0.3">
      <c r="A931" s="4" t="s">
        <v>39</v>
      </c>
      <c r="B931" s="4" t="s">
        <v>42</v>
      </c>
      <c r="C931" s="58">
        <v>4</v>
      </c>
      <c r="D931" s="51">
        <v>7</v>
      </c>
      <c r="E931" s="51">
        <v>7.5</v>
      </c>
      <c r="F931" s="4" t="s">
        <v>73</v>
      </c>
      <c r="G931" s="4" t="s">
        <v>101</v>
      </c>
      <c r="H931" s="49">
        <f>IF(G931&gt;0,VLOOKUP(G931,Apoio!$O$2:$P$24,2,0),"")</f>
        <v>3</v>
      </c>
      <c r="I931" s="44">
        <f t="shared" si="14"/>
        <v>12.857142857142858</v>
      </c>
      <c r="J931" s="36"/>
    </row>
    <row r="932" spans="1:10" x14ac:dyDescent="0.3">
      <c r="A932" s="4" t="s">
        <v>39</v>
      </c>
      <c r="B932" s="4" t="s">
        <v>42</v>
      </c>
      <c r="C932" s="58">
        <v>4</v>
      </c>
      <c r="D932" s="51">
        <v>5.2</v>
      </c>
      <c r="E932" s="51">
        <v>7.5</v>
      </c>
      <c r="F932" s="4" t="s">
        <v>80</v>
      </c>
      <c r="G932" s="4" t="s">
        <v>104</v>
      </c>
      <c r="H932" s="49">
        <f>IF(G932&gt;0,VLOOKUP(G932,Apoio!$O$2:$P$24,2,0),"")</f>
        <v>8</v>
      </c>
      <c r="I932" s="44">
        <f t="shared" si="14"/>
        <v>46.153846153846153</v>
      </c>
      <c r="J932" s="36"/>
    </row>
    <row r="933" spans="1:10" x14ac:dyDescent="0.3">
      <c r="A933" s="4" t="s">
        <v>39</v>
      </c>
      <c r="B933" s="4" t="s">
        <v>42</v>
      </c>
      <c r="C933" s="58">
        <v>4</v>
      </c>
      <c r="D933" s="51">
        <v>5.2</v>
      </c>
      <c r="E933" s="51">
        <v>7.5</v>
      </c>
      <c r="F933" s="4" t="s">
        <v>80</v>
      </c>
      <c r="G933" s="4" t="s">
        <v>107</v>
      </c>
      <c r="H933" s="49">
        <f>IF(G933&gt;0,VLOOKUP(G933,Apoio!$O$2:$P$24,2,0),"")</f>
        <v>7</v>
      </c>
      <c r="I933" s="44">
        <f t="shared" si="14"/>
        <v>40.38461538461538</v>
      </c>
      <c r="J933" s="36"/>
    </row>
    <row r="934" spans="1:10" x14ac:dyDescent="0.3">
      <c r="A934" s="4" t="s">
        <v>39</v>
      </c>
      <c r="B934" s="4" t="s">
        <v>42</v>
      </c>
      <c r="C934" s="58">
        <v>4</v>
      </c>
      <c r="D934" s="51">
        <v>5.2</v>
      </c>
      <c r="E934" s="51">
        <v>7.5</v>
      </c>
      <c r="F934" s="4" t="s">
        <v>80</v>
      </c>
      <c r="G934" s="4" t="s">
        <v>110</v>
      </c>
      <c r="H934" s="49">
        <f>IF(G934&gt;0,VLOOKUP(G934,Apoio!$O$2:$P$24,2,0),"")</f>
        <v>8</v>
      </c>
      <c r="I934" s="44">
        <f t="shared" si="14"/>
        <v>46.153846153846153</v>
      </c>
      <c r="J934" s="36"/>
    </row>
    <row r="935" spans="1:10" x14ac:dyDescent="0.3">
      <c r="A935" s="4" t="s">
        <v>39</v>
      </c>
      <c r="B935" s="4" t="s">
        <v>42</v>
      </c>
      <c r="C935" s="58">
        <v>4</v>
      </c>
      <c r="D935" s="51">
        <v>5.2</v>
      </c>
      <c r="E935" s="51">
        <v>7.5</v>
      </c>
      <c r="F935" s="4" t="s">
        <v>80</v>
      </c>
      <c r="G935" s="4" t="s">
        <v>113</v>
      </c>
      <c r="H935" s="49">
        <f>IF(G935&gt;0,VLOOKUP(G935,Apoio!$O$2:$P$24,2,0),"")</f>
        <v>7</v>
      </c>
      <c r="I935" s="44">
        <f t="shared" si="14"/>
        <v>40.38461538461538</v>
      </c>
      <c r="J935" s="36"/>
    </row>
    <row r="936" spans="1:10" x14ac:dyDescent="0.3">
      <c r="A936" s="4" t="s">
        <v>39</v>
      </c>
      <c r="B936" s="4" t="s">
        <v>42</v>
      </c>
      <c r="C936" s="58">
        <v>4</v>
      </c>
      <c r="D936" s="51">
        <v>5.2</v>
      </c>
      <c r="E936" s="51">
        <v>7.5</v>
      </c>
      <c r="F936" s="4" t="s">
        <v>80</v>
      </c>
      <c r="G936" s="4" t="s">
        <v>116</v>
      </c>
      <c r="H936" s="49">
        <f>IF(G936&gt;0,VLOOKUP(G936,Apoio!$O$2:$P$24,2,0),"")</f>
        <v>4</v>
      </c>
      <c r="I936" s="44">
        <f t="shared" si="14"/>
        <v>23.076923076923077</v>
      </c>
      <c r="J936" s="36"/>
    </row>
    <row r="937" spans="1:10" x14ac:dyDescent="0.3">
      <c r="A937" s="4" t="s">
        <v>39</v>
      </c>
      <c r="B937" s="4" t="s">
        <v>42</v>
      </c>
      <c r="C937" s="58">
        <v>4</v>
      </c>
      <c r="D937" s="51">
        <v>5.3</v>
      </c>
      <c r="E937" s="51">
        <v>7.5</v>
      </c>
      <c r="F937" s="4" t="s">
        <v>87</v>
      </c>
      <c r="G937" s="4" t="s">
        <v>119</v>
      </c>
      <c r="H937" s="48">
        <f>IF(G937&gt;0,VLOOKUP(G937,Apoio!$O$2:$P$24,2,0),"")</f>
        <v>12</v>
      </c>
      <c r="I937" s="44">
        <f t="shared" si="14"/>
        <v>67.924528301886795</v>
      </c>
    </row>
    <row r="938" spans="1:10" x14ac:dyDescent="0.3">
      <c r="A938" s="4" t="s">
        <v>39</v>
      </c>
      <c r="B938" s="4" t="s">
        <v>42</v>
      </c>
      <c r="C938" s="58">
        <v>3.7</v>
      </c>
      <c r="D938" s="51">
        <v>5.3</v>
      </c>
      <c r="E938" s="51">
        <v>7.5</v>
      </c>
      <c r="F938" s="4" t="s">
        <v>87</v>
      </c>
      <c r="G938" s="4" t="s">
        <v>122</v>
      </c>
      <c r="H938" s="48">
        <f>IF(G938&gt;0,VLOOKUP(G938,Apoio!$O$2:$P$24,2,0),"")</f>
        <v>8</v>
      </c>
      <c r="I938" s="44">
        <f t="shared" si="14"/>
        <v>41.886792452830193</v>
      </c>
    </row>
    <row r="939" spans="1:10" x14ac:dyDescent="0.3">
      <c r="A939" s="4" t="s">
        <v>39</v>
      </c>
      <c r="B939" s="4" t="s">
        <v>42</v>
      </c>
      <c r="C939" s="58">
        <v>4</v>
      </c>
      <c r="D939" s="51">
        <v>5.3</v>
      </c>
      <c r="E939" s="51">
        <v>7.5</v>
      </c>
      <c r="F939" s="4" t="s">
        <v>87</v>
      </c>
      <c r="G939" s="4" t="s">
        <v>125</v>
      </c>
      <c r="H939" s="48">
        <f>IF(G939&gt;0,VLOOKUP(G939,Apoio!$O$2:$P$24,2,0),"")</f>
        <v>8</v>
      </c>
      <c r="I939" s="44">
        <f t="shared" si="14"/>
        <v>45.283018867924532</v>
      </c>
    </row>
    <row r="940" spans="1:10" x14ac:dyDescent="0.3">
      <c r="A940" s="4" t="s">
        <v>39</v>
      </c>
      <c r="B940" s="4" t="s">
        <v>42</v>
      </c>
      <c r="C940" s="58">
        <v>4</v>
      </c>
      <c r="D940" s="51">
        <v>5.3</v>
      </c>
      <c r="E940" s="51">
        <v>7.5</v>
      </c>
      <c r="F940" s="4" t="s">
        <v>87</v>
      </c>
      <c r="G940" s="4" t="s">
        <v>128</v>
      </c>
      <c r="H940" s="48">
        <f>IF(G940&gt;0,VLOOKUP(G940,Apoio!$O$2:$P$24,2,0),"")</f>
        <v>8</v>
      </c>
      <c r="I940" s="44">
        <f t="shared" si="14"/>
        <v>45.283018867924532</v>
      </c>
    </row>
    <row r="941" spans="1:10" x14ac:dyDescent="0.3">
      <c r="A941" s="9" t="s">
        <v>39</v>
      </c>
      <c r="B941" s="4" t="s">
        <v>42</v>
      </c>
      <c r="C941" s="58">
        <v>4</v>
      </c>
      <c r="D941" s="51">
        <v>5.3</v>
      </c>
      <c r="E941" s="51">
        <v>7.5</v>
      </c>
      <c r="F941" s="4" t="s">
        <v>87</v>
      </c>
      <c r="G941" s="4" t="s">
        <v>131</v>
      </c>
      <c r="H941" s="48">
        <f>IF(G941&gt;0,VLOOKUP(G941,Apoio!$O$2:$P$24,2,0),"")</f>
        <v>8</v>
      </c>
      <c r="I941" s="44">
        <f t="shared" si="14"/>
        <v>45.283018867924532</v>
      </c>
    </row>
    <row r="942" spans="1:10" x14ac:dyDescent="0.3">
      <c r="A942" s="4" t="s">
        <v>39</v>
      </c>
      <c r="B942" s="65" t="s">
        <v>42</v>
      </c>
      <c r="C942" s="58">
        <v>4</v>
      </c>
      <c r="D942" s="51">
        <v>5.3</v>
      </c>
      <c r="E942" s="51">
        <v>7.5</v>
      </c>
      <c r="F942" s="9" t="s">
        <v>87</v>
      </c>
      <c r="G942" s="9" t="s">
        <v>134</v>
      </c>
      <c r="H942" s="48">
        <f>IF(G942&gt;0,VLOOKUP(G942,Apoio!$O$2:$P$24,2,0),"")</f>
        <v>3</v>
      </c>
      <c r="I942" s="44">
        <f t="shared" si="14"/>
        <v>16.981132075471699</v>
      </c>
    </row>
    <row r="943" spans="1:10" x14ac:dyDescent="0.3">
      <c r="A943" s="4" t="s">
        <v>39</v>
      </c>
      <c r="B943" s="4" t="s">
        <v>42</v>
      </c>
      <c r="C943" s="58">
        <v>3.9</v>
      </c>
      <c r="D943" s="51">
        <v>5</v>
      </c>
      <c r="E943" s="51">
        <v>7.5</v>
      </c>
      <c r="F943" s="4" t="s">
        <v>94</v>
      </c>
      <c r="G943" s="4" t="s">
        <v>137</v>
      </c>
      <c r="H943" s="48">
        <f>IF(G943&gt;0,VLOOKUP(G943,Apoio!$O$2:$P$24,2,0),"")</f>
        <v>13</v>
      </c>
      <c r="I943" s="44">
        <f t="shared" si="14"/>
        <v>76.05</v>
      </c>
    </row>
    <row r="944" spans="1:10" x14ac:dyDescent="0.3">
      <c r="A944" s="4" t="s">
        <v>39</v>
      </c>
      <c r="B944" s="4" t="s">
        <v>42</v>
      </c>
      <c r="C944" s="58">
        <v>3.9</v>
      </c>
      <c r="D944" s="51">
        <v>5</v>
      </c>
      <c r="E944" s="51">
        <v>7.5</v>
      </c>
      <c r="F944" s="4" t="s">
        <v>94</v>
      </c>
      <c r="G944" s="4" t="s">
        <v>140</v>
      </c>
      <c r="H944" s="48">
        <f>IF(G944&gt;0,VLOOKUP(G944,Apoio!$O$2:$P$24,2,0),"")</f>
        <v>8</v>
      </c>
      <c r="I944" s="44">
        <f t="shared" si="14"/>
        <v>46.8</v>
      </c>
    </row>
    <row r="945" spans="1:9" x14ac:dyDescent="0.3">
      <c r="A945" s="4" t="s">
        <v>39</v>
      </c>
      <c r="B945" s="4" t="s">
        <v>42</v>
      </c>
      <c r="C945" s="58">
        <v>4</v>
      </c>
      <c r="D945" s="51">
        <v>5</v>
      </c>
      <c r="E945" s="51">
        <v>7.5</v>
      </c>
      <c r="F945" s="4" t="s">
        <v>94</v>
      </c>
      <c r="G945" s="4" t="s">
        <v>143</v>
      </c>
      <c r="H945" s="48">
        <f>IF(G945&gt;0,VLOOKUP(G945,Apoio!$O$2:$P$24,2,0),"")</f>
        <v>8</v>
      </c>
      <c r="I945" s="44">
        <f t="shared" si="14"/>
        <v>48</v>
      </c>
    </row>
    <row r="946" spans="1:9" x14ac:dyDescent="0.3">
      <c r="A946" s="4" t="s">
        <v>39</v>
      </c>
      <c r="B946" s="4" t="s">
        <v>42</v>
      </c>
      <c r="C946" s="58">
        <v>4</v>
      </c>
      <c r="D946" s="51">
        <v>5</v>
      </c>
      <c r="E946" s="51">
        <v>7.5</v>
      </c>
      <c r="F946" s="4" t="s">
        <v>94</v>
      </c>
      <c r="G946" s="4" t="s">
        <v>146</v>
      </c>
      <c r="H946" s="48">
        <f>IF(G946&gt;0,VLOOKUP(G946,Apoio!$O$2:$P$24,2,0),"")</f>
        <v>6</v>
      </c>
      <c r="I946" s="44">
        <f t="shared" si="14"/>
        <v>36</v>
      </c>
    </row>
    <row r="947" spans="1:9" x14ac:dyDescent="0.3">
      <c r="A947" s="4" t="s">
        <v>39</v>
      </c>
      <c r="B947" s="4" t="s">
        <v>42</v>
      </c>
      <c r="C947" s="58">
        <v>4</v>
      </c>
      <c r="D947" s="51">
        <v>5</v>
      </c>
      <c r="E947" s="51">
        <v>7.5</v>
      </c>
      <c r="F947" s="4" t="s">
        <v>94</v>
      </c>
      <c r="G947" s="4" t="s">
        <v>149</v>
      </c>
      <c r="H947" s="48">
        <f>IF(G947&gt;0,VLOOKUP(G947,Apoio!$O$2:$P$24,2,0),"")</f>
        <v>8</v>
      </c>
      <c r="I947" s="44">
        <f t="shared" si="14"/>
        <v>48</v>
      </c>
    </row>
    <row r="948" spans="1:9" x14ac:dyDescent="0.3">
      <c r="A948" s="4" t="s">
        <v>39</v>
      </c>
      <c r="B948" s="4" t="s">
        <v>42</v>
      </c>
      <c r="C948" s="58">
        <v>4</v>
      </c>
      <c r="D948" s="51">
        <v>5</v>
      </c>
      <c r="E948" s="51">
        <v>7.5</v>
      </c>
      <c r="F948" s="9" t="s">
        <v>94</v>
      </c>
      <c r="G948" s="9" t="s">
        <v>152</v>
      </c>
      <c r="H948" s="48">
        <f>IF(G948&gt;0,VLOOKUP(G948,Apoio!$O$2:$P$24,2,0),"")</f>
        <v>8</v>
      </c>
      <c r="I948" s="44">
        <f t="shared" si="14"/>
        <v>48</v>
      </c>
    </row>
  </sheetData>
  <autoFilter ref="A1:M948" xr:uid="{D1679D01-B20E-4865-84C1-7C3F0D190010}">
    <filterColumn colId="0">
      <filters>
        <filter val="Saber"/>
      </filters>
    </filterColumn>
  </autoFilter>
  <sortState xmlns:xlrd2="http://schemas.microsoft.com/office/spreadsheetml/2017/richdata2" ref="A2:I948">
    <sortCondition ref="A2:A948"/>
    <sortCondition ref="B2:B948"/>
    <sortCondition ref="G2:G948"/>
  </sortState>
  <mergeCells count="1">
    <mergeCell ref="K249:M25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1A2826-3F3A-4A8B-9188-FAB52237F41E}">
          <x14:formula1>
            <xm:f>Apoio!$O$2:$O$24</xm:f>
          </x14:formula1>
          <xm:sqref>G290:G450 G2:G243 G937:G948</xm:sqref>
        </x14:dataValidation>
        <x14:dataValidation type="list" allowBlank="1" showInputMessage="1" showErrorMessage="1" xr:uid="{D490A92E-AD46-4D83-8AFF-6116D5D992B5}">
          <x14:formula1>
            <xm:f>Apoio!$T$2:$T$5</xm:f>
          </x14:formula1>
          <xm:sqref>F670:F675 F468:F473 F485:F490 F508:F513 F531:F536 F554:F559 F601:F606 F624:F629 F647:F652 F290:F456 F2:F243 F937:F948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D01-B20E-4865-84C1-7C3F0D190010}">
  <dimension ref="A1:O987"/>
  <sheetViews>
    <sheetView showGridLines="0" zoomScale="90" zoomScaleNormal="90" workbookViewId="0">
      <pane ySplit="1" topLeftCell="A118" activePane="bottomLeft" state="frozen"/>
      <selection pane="bottomLeft" activeCell="C168" sqref="C168"/>
    </sheetView>
  </sheetViews>
  <sheetFormatPr defaultColWidth="8.44140625" defaultRowHeight="14.4" x14ac:dyDescent="0.3"/>
  <cols>
    <col min="1" max="1" width="35.33203125" style="10" customWidth="1"/>
    <col min="2" max="2" width="28.5546875" style="10" customWidth="1"/>
    <col min="3" max="3" width="14.44140625" style="43" customWidth="1"/>
    <col min="4" max="4" width="16.44140625" style="30" customWidth="1"/>
    <col min="5" max="5" width="20.44140625" style="30" customWidth="1"/>
    <col min="6" max="8" width="14.44140625" style="10" customWidth="1"/>
    <col min="9" max="9" width="22" style="10" customWidth="1"/>
    <col min="10" max="10" width="14.44140625" style="10" customWidth="1"/>
    <col min="11" max="12" width="11.44140625" style="10" customWidth="1"/>
    <col min="13" max="13" width="22.5546875" style="10" customWidth="1"/>
    <col min="14" max="16384" width="8.44140625" style="10"/>
  </cols>
  <sheetData>
    <row r="1" spans="1:12" s="1" customFormat="1" ht="57" customHeight="1" x14ac:dyDescent="0.3">
      <c r="A1" s="3" t="s">
        <v>155</v>
      </c>
      <c r="B1" s="3" t="s">
        <v>156</v>
      </c>
      <c r="C1" s="29" t="s">
        <v>206</v>
      </c>
      <c r="D1" s="29" t="s">
        <v>207</v>
      </c>
      <c r="E1" s="29" t="s">
        <v>208</v>
      </c>
      <c r="F1" s="3" t="s">
        <v>157</v>
      </c>
      <c r="G1" s="3" t="s">
        <v>158</v>
      </c>
      <c r="H1" s="3" t="s">
        <v>209</v>
      </c>
      <c r="I1" s="37" t="s">
        <v>159</v>
      </c>
      <c r="J1" s="37" t="s">
        <v>216</v>
      </c>
      <c r="K1" s="102" t="s">
        <v>217</v>
      </c>
    </row>
    <row r="2" spans="1:12" x14ac:dyDescent="0.3">
      <c r="A2" s="4" t="s">
        <v>189</v>
      </c>
      <c r="B2" s="4" t="s">
        <v>11</v>
      </c>
      <c r="C2" s="58">
        <v>4</v>
      </c>
      <c r="D2" s="51">
        <v>5.3</v>
      </c>
      <c r="E2" s="51">
        <v>7</v>
      </c>
      <c r="F2" s="4" t="s">
        <v>71</v>
      </c>
      <c r="G2" s="4" t="s">
        <v>70</v>
      </c>
      <c r="H2" s="48">
        <f>IF(G2&gt;0,VLOOKUP(G2,Apoio!$H$2:$I$24,2,0),"")</f>
        <v>7</v>
      </c>
      <c r="I2" s="44">
        <f t="shared" ref="I2:I30" si="0">IF(D2&gt;0,(((H2*E2)*C2)/D2),"")</f>
        <v>36.981132075471699</v>
      </c>
      <c r="J2" s="98"/>
      <c r="K2" s="103"/>
      <c r="L2" s="42"/>
    </row>
    <row r="3" spans="1:12" x14ac:dyDescent="0.3">
      <c r="A3" s="4" t="s">
        <v>189</v>
      </c>
      <c r="B3" s="4" t="s">
        <v>11</v>
      </c>
      <c r="C3" s="58">
        <v>4</v>
      </c>
      <c r="D3" s="51">
        <v>5.3</v>
      </c>
      <c r="E3" s="51">
        <v>7</v>
      </c>
      <c r="F3" s="4" t="s">
        <v>71</v>
      </c>
      <c r="G3" s="4" t="s">
        <v>77</v>
      </c>
      <c r="H3" s="48">
        <f>IF(G3&gt;0,VLOOKUP(G3,Apoio!$H$2:$I$24,2,0),"")</f>
        <v>8</v>
      </c>
      <c r="I3" s="44">
        <f t="shared" si="0"/>
        <v>42.264150943396231</v>
      </c>
      <c r="J3" s="98"/>
      <c r="K3" s="103"/>
    </row>
    <row r="4" spans="1:12" x14ac:dyDescent="0.3">
      <c r="A4" s="4" t="s">
        <v>189</v>
      </c>
      <c r="B4" s="4" t="s">
        <v>11</v>
      </c>
      <c r="C4" s="58">
        <v>4</v>
      </c>
      <c r="D4" s="51">
        <v>5.3</v>
      </c>
      <c r="E4" s="51">
        <v>7</v>
      </c>
      <c r="F4" s="4" t="s">
        <v>71</v>
      </c>
      <c r="G4" s="4" t="s">
        <v>84</v>
      </c>
      <c r="H4" s="48">
        <f>IF(G4&gt;0,VLOOKUP(G4,Apoio!$H$2:$I$24,2,0),"")</f>
        <v>8</v>
      </c>
      <c r="I4" s="44">
        <f t="shared" si="0"/>
        <v>42.264150943396231</v>
      </c>
      <c r="J4" s="98"/>
      <c r="K4" s="103"/>
    </row>
    <row r="5" spans="1:12" x14ac:dyDescent="0.3">
      <c r="A5" s="4" t="s">
        <v>189</v>
      </c>
      <c r="B5" s="4" t="s">
        <v>11</v>
      </c>
      <c r="C5" s="58">
        <v>4</v>
      </c>
      <c r="D5" s="51">
        <v>5.3</v>
      </c>
      <c r="E5" s="51">
        <v>7</v>
      </c>
      <c r="F5" s="4" t="s">
        <v>71</v>
      </c>
      <c r="G5" s="4" t="s">
        <v>91</v>
      </c>
      <c r="H5" s="48">
        <f>IF(G5&gt;0,VLOOKUP(G5,Apoio!$H$2:$I$24,2,0),"")</f>
        <v>6</v>
      </c>
      <c r="I5" s="44">
        <f t="shared" si="0"/>
        <v>31.69811320754717</v>
      </c>
      <c r="J5" s="98"/>
      <c r="K5" s="103"/>
    </row>
    <row r="6" spans="1:12" x14ac:dyDescent="0.3">
      <c r="A6" s="4" t="s">
        <v>189</v>
      </c>
      <c r="B6" s="4" t="s">
        <v>11</v>
      </c>
      <c r="C6" s="58">
        <v>4</v>
      </c>
      <c r="D6" s="51">
        <v>5.3</v>
      </c>
      <c r="E6" s="51">
        <v>7</v>
      </c>
      <c r="F6" s="4" t="s">
        <v>71</v>
      </c>
      <c r="G6" s="4" t="s">
        <v>97</v>
      </c>
      <c r="H6" s="48">
        <f>IF(G6&gt;0,VLOOKUP(G6,Apoio!$H$2:$I$24,2,0),"")</f>
        <v>8</v>
      </c>
      <c r="I6" s="44">
        <f t="shared" si="0"/>
        <v>42.264150943396231</v>
      </c>
      <c r="J6" s="98"/>
      <c r="K6" s="103"/>
    </row>
    <row r="7" spans="1:12" x14ac:dyDescent="0.3">
      <c r="A7" s="4" t="s">
        <v>189</v>
      </c>
      <c r="B7" s="4" t="s">
        <v>11</v>
      </c>
      <c r="C7" s="58">
        <v>4</v>
      </c>
      <c r="D7" s="51">
        <v>5.3</v>
      </c>
      <c r="E7" s="51">
        <v>7</v>
      </c>
      <c r="F7" s="4" t="s">
        <v>71</v>
      </c>
      <c r="G7" s="4" t="s">
        <v>100</v>
      </c>
      <c r="H7" s="48">
        <f>IF(G7&gt;0,VLOOKUP(G7,Apoio!$H$2:$I$24,2,0),"")</f>
        <v>3</v>
      </c>
      <c r="I7" s="44">
        <f t="shared" si="0"/>
        <v>15.849056603773585</v>
      </c>
      <c r="J7" s="98"/>
      <c r="K7" s="103"/>
    </row>
    <row r="8" spans="1:12" x14ac:dyDescent="0.3">
      <c r="A8" s="4" t="s">
        <v>189</v>
      </c>
      <c r="B8" s="4" t="s">
        <v>11</v>
      </c>
      <c r="C8" s="58">
        <v>4</v>
      </c>
      <c r="D8" s="51">
        <v>8</v>
      </c>
      <c r="E8" s="51">
        <v>7</v>
      </c>
      <c r="F8" s="4" t="s">
        <v>78</v>
      </c>
      <c r="G8" s="4" t="s">
        <v>103</v>
      </c>
      <c r="H8" s="48">
        <f>IF(G8&gt;0,VLOOKUP(G8,Apoio!$H$2:$I$24,2,0),"")</f>
        <v>6</v>
      </c>
      <c r="I8" s="45">
        <f t="shared" si="0"/>
        <v>21</v>
      </c>
      <c r="J8" s="99"/>
      <c r="K8" s="103"/>
    </row>
    <row r="9" spans="1:12" x14ac:dyDescent="0.3">
      <c r="A9" s="4" t="s">
        <v>189</v>
      </c>
      <c r="B9" s="4" t="s">
        <v>11</v>
      </c>
      <c r="C9" s="58">
        <v>4</v>
      </c>
      <c r="D9" s="51">
        <v>8</v>
      </c>
      <c r="E9" s="51">
        <v>7</v>
      </c>
      <c r="F9" s="4" t="s">
        <v>78</v>
      </c>
      <c r="G9" s="4" t="s">
        <v>106</v>
      </c>
      <c r="H9" s="48">
        <f>IF(G9&gt;0,VLOOKUP(G9,Apoio!$H$2:$I$24,2,0),"")</f>
        <v>7</v>
      </c>
      <c r="I9" s="46">
        <f t="shared" si="0"/>
        <v>24.5</v>
      </c>
      <c r="J9" s="100"/>
      <c r="K9" s="103"/>
    </row>
    <row r="10" spans="1:12" x14ac:dyDescent="0.3">
      <c r="A10" s="4" t="s">
        <v>189</v>
      </c>
      <c r="B10" s="4" t="s">
        <v>11</v>
      </c>
      <c r="C10" s="58">
        <v>4</v>
      </c>
      <c r="D10" s="51">
        <v>8</v>
      </c>
      <c r="E10" s="51">
        <v>7</v>
      </c>
      <c r="F10" s="4" t="s">
        <v>78</v>
      </c>
      <c r="G10" s="4" t="s">
        <v>109</v>
      </c>
      <c r="H10" s="48">
        <f>IF(G10&gt;0,VLOOKUP(G10,Apoio!$H$2:$I$24,2,0),"")</f>
        <v>8</v>
      </c>
      <c r="I10" s="46">
        <f t="shared" si="0"/>
        <v>28</v>
      </c>
      <c r="J10" s="100"/>
      <c r="K10" s="103"/>
    </row>
    <row r="11" spans="1:12" x14ac:dyDescent="0.3">
      <c r="A11" s="4" t="s">
        <v>189</v>
      </c>
      <c r="B11" s="4" t="s">
        <v>11</v>
      </c>
      <c r="C11" s="58">
        <v>4</v>
      </c>
      <c r="D11" s="51">
        <v>8</v>
      </c>
      <c r="E11" s="51">
        <v>7</v>
      </c>
      <c r="F11" s="4" t="s">
        <v>78</v>
      </c>
      <c r="G11" s="4" t="s">
        <v>112</v>
      </c>
      <c r="H11" s="48">
        <f>IF(G11&gt;0,VLOOKUP(G11,Apoio!$H$2:$I$24,2,0),"")</f>
        <v>8</v>
      </c>
      <c r="I11" s="47">
        <f t="shared" si="0"/>
        <v>28</v>
      </c>
      <c r="J11" s="101"/>
      <c r="K11" s="103"/>
    </row>
    <row r="12" spans="1:12" x14ac:dyDescent="0.3">
      <c r="A12" s="4" t="s">
        <v>189</v>
      </c>
      <c r="B12" s="4" t="s">
        <v>11</v>
      </c>
      <c r="C12" s="58">
        <v>4</v>
      </c>
      <c r="D12" s="51">
        <v>8</v>
      </c>
      <c r="E12" s="51">
        <v>7</v>
      </c>
      <c r="F12" s="4" t="s">
        <v>78</v>
      </c>
      <c r="G12" s="4" t="s">
        <v>115</v>
      </c>
      <c r="H12" s="48">
        <f>IF(G12&gt;0,VLOOKUP(G12,Apoio!$H$2:$I$24,2,0),"")</f>
        <v>7</v>
      </c>
      <c r="I12" s="44">
        <f t="shared" si="0"/>
        <v>24.5</v>
      </c>
      <c r="J12" s="98"/>
      <c r="K12" s="103"/>
    </row>
    <row r="13" spans="1:12" x14ac:dyDescent="0.3">
      <c r="A13" s="4" t="s">
        <v>189</v>
      </c>
      <c r="B13" s="4" t="s">
        <v>11</v>
      </c>
      <c r="C13" s="58">
        <v>4</v>
      </c>
      <c r="D13" s="51">
        <v>8</v>
      </c>
      <c r="E13" s="51">
        <v>7</v>
      </c>
      <c r="F13" s="4" t="s">
        <v>78</v>
      </c>
      <c r="G13" s="4" t="s">
        <v>118</v>
      </c>
      <c r="H13" s="48">
        <f>IF(G13&gt;0,VLOOKUP(G13,Apoio!$H$2:$I$24,2,0),"")</f>
        <v>3</v>
      </c>
      <c r="I13" s="44">
        <f t="shared" si="0"/>
        <v>10.5</v>
      </c>
      <c r="J13" s="98"/>
      <c r="K13" s="103"/>
    </row>
    <row r="14" spans="1:12" x14ac:dyDescent="0.3">
      <c r="A14" s="4" t="s">
        <v>9</v>
      </c>
      <c r="B14" s="4" t="s">
        <v>11</v>
      </c>
      <c r="C14" s="59">
        <v>4</v>
      </c>
      <c r="D14" s="109">
        <v>5.9</v>
      </c>
      <c r="E14" s="51">
        <v>7</v>
      </c>
      <c r="F14" s="4" t="s">
        <v>85</v>
      </c>
      <c r="G14" s="4" t="s">
        <v>121</v>
      </c>
      <c r="H14" s="48">
        <f>IF(G14&gt;0,VLOOKUP(G14,Apoio!$H$2:$I$24,2,0),"")</f>
        <v>7</v>
      </c>
      <c r="I14" s="44">
        <f t="shared" si="0"/>
        <v>33.220338983050844</v>
      </c>
      <c r="J14" s="98"/>
      <c r="K14" s="103"/>
    </row>
    <row r="15" spans="1:12" x14ac:dyDescent="0.3">
      <c r="A15" s="4" t="s">
        <v>9</v>
      </c>
      <c r="B15" s="4" t="s">
        <v>11</v>
      </c>
      <c r="C15" s="64">
        <v>4</v>
      </c>
      <c r="D15" s="109">
        <v>5.9</v>
      </c>
      <c r="E15" s="51">
        <v>7</v>
      </c>
      <c r="F15" s="4" t="s">
        <v>85</v>
      </c>
      <c r="G15" s="4" t="s">
        <v>124</v>
      </c>
      <c r="H15" s="48">
        <f>IF(G15&gt;0,VLOOKUP(G15,Apoio!$H$2:$I$24,2,0),"")</f>
        <v>8</v>
      </c>
      <c r="I15" s="44">
        <f t="shared" si="0"/>
        <v>37.966101694915253</v>
      </c>
      <c r="J15" s="98"/>
      <c r="K15" s="103"/>
    </row>
    <row r="16" spans="1:12" x14ac:dyDescent="0.3">
      <c r="A16" s="4" t="s">
        <v>9</v>
      </c>
      <c r="B16" s="4" t="s">
        <v>11</v>
      </c>
      <c r="C16" s="64">
        <v>4</v>
      </c>
      <c r="D16" s="109">
        <v>5.9</v>
      </c>
      <c r="E16" s="51">
        <v>7</v>
      </c>
      <c r="F16" s="4" t="s">
        <v>85</v>
      </c>
      <c r="G16" s="4" t="s">
        <v>127</v>
      </c>
      <c r="H16" s="48">
        <f>IF(G16&gt;0,VLOOKUP(G16,Apoio!$H$2:$I$24,2,0),"")</f>
        <v>8</v>
      </c>
      <c r="I16" s="44">
        <f t="shared" si="0"/>
        <v>37.966101694915253</v>
      </c>
      <c r="J16" s="98"/>
      <c r="K16" s="103"/>
    </row>
    <row r="17" spans="1:11" x14ac:dyDescent="0.3">
      <c r="A17" s="4" t="s">
        <v>9</v>
      </c>
      <c r="B17" s="4" t="s">
        <v>11</v>
      </c>
      <c r="C17" s="64">
        <v>4</v>
      </c>
      <c r="D17" s="96">
        <v>5.9</v>
      </c>
      <c r="E17" s="51">
        <v>7</v>
      </c>
      <c r="F17" s="4" t="s">
        <v>85</v>
      </c>
      <c r="G17" s="4" t="s">
        <v>130</v>
      </c>
      <c r="H17" s="48">
        <f>IF(G17&gt;0,VLOOKUP(G17,Apoio!$H$2:$I$24,2,0),"")</f>
        <v>13</v>
      </c>
      <c r="I17" s="44">
        <f t="shared" si="0"/>
        <v>61.694915254237287</v>
      </c>
      <c r="J17" s="98"/>
      <c r="K17" s="103"/>
    </row>
    <row r="18" spans="1:11" x14ac:dyDescent="0.3">
      <c r="A18" s="4" t="s">
        <v>9</v>
      </c>
      <c r="B18" s="4" t="s">
        <v>11</v>
      </c>
      <c r="C18" s="64">
        <v>4</v>
      </c>
      <c r="D18" s="96">
        <v>5.9</v>
      </c>
      <c r="E18" s="51">
        <v>7</v>
      </c>
      <c r="F18" s="4" t="s">
        <v>85</v>
      </c>
      <c r="G18" s="4" t="s">
        <v>133</v>
      </c>
      <c r="H18" s="48">
        <f>IF(G18&gt;0,VLOOKUP(G18,Apoio!$H$2:$I$24,2,0),"")</f>
        <v>3</v>
      </c>
      <c r="I18" s="44">
        <f t="shared" si="0"/>
        <v>14.23728813559322</v>
      </c>
      <c r="J18" s="98"/>
      <c r="K18" s="103"/>
    </row>
    <row r="19" spans="1:11" x14ac:dyDescent="0.3">
      <c r="A19" s="4" t="s">
        <v>9</v>
      </c>
      <c r="B19" s="4" t="s">
        <v>11</v>
      </c>
      <c r="C19" s="64">
        <v>4</v>
      </c>
      <c r="D19" s="96">
        <v>5.9</v>
      </c>
      <c r="E19" s="51">
        <v>7</v>
      </c>
      <c r="F19" s="4" t="s">
        <v>92</v>
      </c>
      <c r="G19" s="4" t="s">
        <v>136</v>
      </c>
      <c r="H19" s="48">
        <f>IF(G19&gt;0,VLOOKUP(G19,Apoio!$H$2:$I$24,2,0),"")</f>
        <v>13</v>
      </c>
      <c r="I19" s="44">
        <f t="shared" si="0"/>
        <v>61.694915254237287</v>
      </c>
      <c r="J19" s="98"/>
      <c r="K19" s="103"/>
    </row>
    <row r="20" spans="1:11" x14ac:dyDescent="0.3">
      <c r="A20" s="4" t="s">
        <v>9</v>
      </c>
      <c r="B20" s="4" t="s">
        <v>11</v>
      </c>
      <c r="C20" s="64">
        <v>4</v>
      </c>
      <c r="D20" s="96">
        <v>5.9</v>
      </c>
      <c r="E20" s="51">
        <v>7</v>
      </c>
      <c r="F20" s="4" t="s">
        <v>92</v>
      </c>
      <c r="G20" s="4" t="s">
        <v>139</v>
      </c>
      <c r="H20" s="48">
        <f>IF(G20&gt;0,VLOOKUP(G20,Apoio!$H$2:$I$24,2,0),"")</f>
        <v>8</v>
      </c>
      <c r="I20" s="44">
        <f t="shared" si="0"/>
        <v>37.966101694915253</v>
      </c>
      <c r="J20" s="98"/>
      <c r="K20" s="103"/>
    </row>
    <row r="21" spans="1:11" x14ac:dyDescent="0.3">
      <c r="A21" s="4" t="s">
        <v>9</v>
      </c>
      <c r="B21" s="4" t="s">
        <v>11</v>
      </c>
      <c r="C21" s="64">
        <v>4</v>
      </c>
      <c r="D21" s="96">
        <v>5.9</v>
      </c>
      <c r="E21" s="51">
        <v>7</v>
      </c>
      <c r="F21" s="4" t="s">
        <v>92</v>
      </c>
      <c r="G21" s="4" t="s">
        <v>142</v>
      </c>
      <c r="H21" s="48">
        <f>IF(G21&gt;0,VLOOKUP(G21,Apoio!$H$2:$I$24,2,0),"")</f>
        <v>8</v>
      </c>
      <c r="I21" s="44">
        <f t="shared" si="0"/>
        <v>37.966101694915253</v>
      </c>
      <c r="J21" s="98"/>
      <c r="K21" s="103"/>
    </row>
    <row r="22" spans="1:11" x14ac:dyDescent="0.3">
      <c r="A22" s="4" t="s">
        <v>9</v>
      </c>
      <c r="B22" s="4" t="s">
        <v>11</v>
      </c>
      <c r="C22" s="64">
        <v>4</v>
      </c>
      <c r="D22" s="96">
        <v>5.9</v>
      </c>
      <c r="E22" s="51">
        <v>7</v>
      </c>
      <c r="F22" s="4" t="s">
        <v>92</v>
      </c>
      <c r="G22" s="4" t="s">
        <v>145</v>
      </c>
      <c r="H22" s="48">
        <f>IF(G22&gt;0,VLOOKUP(G22,Apoio!$H$2:$I$24,2,0),"")</f>
        <v>7</v>
      </c>
      <c r="I22" s="44">
        <f t="shared" si="0"/>
        <v>33.220338983050844</v>
      </c>
      <c r="J22" s="98"/>
      <c r="K22" s="103"/>
    </row>
    <row r="23" spans="1:11" x14ac:dyDescent="0.3">
      <c r="A23" s="4" t="s">
        <v>9</v>
      </c>
      <c r="B23" s="4" t="s">
        <v>11</v>
      </c>
      <c r="C23" s="64">
        <v>4</v>
      </c>
      <c r="D23" s="96">
        <v>5.9</v>
      </c>
      <c r="E23" s="51">
        <v>7</v>
      </c>
      <c r="F23" s="4" t="s">
        <v>92</v>
      </c>
      <c r="G23" s="4" t="s">
        <v>148</v>
      </c>
      <c r="H23" s="48">
        <f>IF(G23&gt;0,VLOOKUP(G23,Apoio!$H$2:$I$24,2,0),"")</f>
        <v>8</v>
      </c>
      <c r="I23" s="44">
        <f t="shared" si="0"/>
        <v>37.966101694915253</v>
      </c>
      <c r="J23" s="98"/>
      <c r="K23" s="103"/>
    </row>
    <row r="24" spans="1:11" x14ac:dyDescent="0.3">
      <c r="A24" s="4" t="s">
        <v>9</v>
      </c>
      <c r="B24" s="4" t="s">
        <v>11</v>
      </c>
      <c r="C24" s="64">
        <v>4</v>
      </c>
      <c r="D24" s="96">
        <v>5.9</v>
      </c>
      <c r="E24" s="51">
        <v>7</v>
      </c>
      <c r="F24" s="4" t="s">
        <v>92</v>
      </c>
      <c r="G24" s="4" t="s">
        <v>151</v>
      </c>
      <c r="H24" s="48">
        <f>IF(G24&gt;0,VLOOKUP(G24,Apoio!$H$2:$I$24,2,0),"")</f>
        <v>8</v>
      </c>
      <c r="I24" s="44">
        <f t="shared" si="0"/>
        <v>37.966101694915253</v>
      </c>
      <c r="J24" s="98"/>
      <c r="K24" s="103"/>
    </row>
    <row r="25" spans="1:11" x14ac:dyDescent="0.3">
      <c r="A25" s="4" t="s">
        <v>189</v>
      </c>
      <c r="B25" s="4" t="s">
        <v>190</v>
      </c>
      <c r="C25" s="75">
        <v>7</v>
      </c>
      <c r="D25" s="55">
        <v>6.5</v>
      </c>
      <c r="E25" s="51">
        <v>7</v>
      </c>
      <c r="F25" s="4" t="s">
        <v>71</v>
      </c>
      <c r="G25" s="4" t="s">
        <v>70</v>
      </c>
      <c r="H25" s="48">
        <f>IF(G25&gt;0,VLOOKUP(G25,Apoio!$H$2:$I$24,2,0),"")</f>
        <v>7</v>
      </c>
      <c r="I25" s="44">
        <f t="shared" si="0"/>
        <v>52.769230769230766</v>
      </c>
      <c r="J25" s="98"/>
      <c r="K25" s="103"/>
    </row>
    <row r="26" spans="1:11" x14ac:dyDescent="0.3">
      <c r="A26" s="4" t="s">
        <v>189</v>
      </c>
      <c r="B26" s="4" t="s">
        <v>190</v>
      </c>
      <c r="C26" s="75">
        <v>7</v>
      </c>
      <c r="D26" s="55">
        <v>6.5</v>
      </c>
      <c r="E26" s="51">
        <v>7</v>
      </c>
      <c r="F26" s="4" t="s">
        <v>71</v>
      </c>
      <c r="G26" s="4" t="s">
        <v>77</v>
      </c>
      <c r="H26" s="48">
        <f>IF(G26&gt;0,VLOOKUP(G26,Apoio!$H$2:$I$24,2,0),"")</f>
        <v>8</v>
      </c>
      <c r="I26" s="44">
        <f t="shared" si="0"/>
        <v>60.307692307692307</v>
      </c>
      <c r="J26" s="98"/>
      <c r="K26" s="103"/>
    </row>
    <row r="27" spans="1:11" x14ac:dyDescent="0.3">
      <c r="A27" s="4" t="s">
        <v>189</v>
      </c>
      <c r="B27" s="4" t="s">
        <v>190</v>
      </c>
      <c r="C27" s="75">
        <v>7</v>
      </c>
      <c r="D27" s="55">
        <v>6.5</v>
      </c>
      <c r="E27" s="51">
        <v>7</v>
      </c>
      <c r="F27" s="4" t="s">
        <v>71</v>
      </c>
      <c r="G27" s="4" t="s">
        <v>84</v>
      </c>
      <c r="H27" s="48">
        <f>IF(G27&gt;0,VLOOKUP(G27,Apoio!$H$2:$I$24,2,0),"")</f>
        <v>8</v>
      </c>
      <c r="I27" s="44">
        <f t="shared" si="0"/>
        <v>60.307692307692307</v>
      </c>
      <c r="J27" s="98"/>
      <c r="K27" s="103"/>
    </row>
    <row r="28" spans="1:11" x14ac:dyDescent="0.3">
      <c r="A28" s="4" t="s">
        <v>189</v>
      </c>
      <c r="B28" s="4" t="s">
        <v>190</v>
      </c>
      <c r="C28" s="75">
        <v>7</v>
      </c>
      <c r="D28" s="55">
        <v>6.5</v>
      </c>
      <c r="E28" s="51">
        <v>7</v>
      </c>
      <c r="F28" s="4" t="s">
        <v>71</v>
      </c>
      <c r="G28" s="4" t="s">
        <v>91</v>
      </c>
      <c r="H28" s="48">
        <f>IF(G28&gt;0,VLOOKUP(G28,Apoio!$H$2:$I$24,2,0),"")</f>
        <v>6</v>
      </c>
      <c r="I28" s="44">
        <f t="shared" si="0"/>
        <v>45.230769230769234</v>
      </c>
      <c r="J28" s="98"/>
      <c r="K28" s="103"/>
    </row>
    <row r="29" spans="1:11" x14ac:dyDescent="0.3">
      <c r="A29" s="4" t="s">
        <v>189</v>
      </c>
      <c r="B29" s="4" t="s">
        <v>190</v>
      </c>
      <c r="C29" s="75">
        <v>7</v>
      </c>
      <c r="D29" s="55">
        <v>6.5</v>
      </c>
      <c r="E29" s="51">
        <v>7</v>
      </c>
      <c r="F29" s="4" t="s">
        <v>71</v>
      </c>
      <c r="G29" s="4" t="s">
        <v>97</v>
      </c>
      <c r="H29" s="48">
        <f>IF(G29&gt;0,VLOOKUP(G29,Apoio!$H$2:$I$24,2,0),"")</f>
        <v>8</v>
      </c>
      <c r="I29" s="44">
        <f t="shared" si="0"/>
        <v>60.307692307692307</v>
      </c>
      <c r="J29" s="98"/>
      <c r="K29" s="103"/>
    </row>
    <row r="30" spans="1:11" x14ac:dyDescent="0.3">
      <c r="A30" s="4" t="s">
        <v>189</v>
      </c>
      <c r="B30" s="4" t="s">
        <v>190</v>
      </c>
      <c r="C30" s="75">
        <v>7</v>
      </c>
      <c r="D30" s="55">
        <v>6.5</v>
      </c>
      <c r="E30" s="51">
        <v>7</v>
      </c>
      <c r="F30" s="4" t="s">
        <v>71</v>
      </c>
      <c r="G30" s="4" t="s">
        <v>100</v>
      </c>
      <c r="H30" s="48">
        <f>IF(G30&gt;0,VLOOKUP(G30,Apoio!$H$2:$I$24,2,0),"")</f>
        <v>3</v>
      </c>
      <c r="I30" s="44">
        <f t="shared" si="0"/>
        <v>22.615384615384617</v>
      </c>
      <c r="J30" s="98"/>
      <c r="K30" s="103"/>
    </row>
    <row r="31" spans="1:11" x14ac:dyDescent="0.3">
      <c r="A31" s="4" t="s">
        <v>189</v>
      </c>
      <c r="B31" s="4" t="s">
        <v>12</v>
      </c>
      <c r="C31" s="75">
        <v>6</v>
      </c>
      <c r="D31" s="55">
        <v>6.5</v>
      </c>
      <c r="E31" s="51">
        <v>7</v>
      </c>
      <c r="F31" s="4" t="s">
        <v>71</v>
      </c>
      <c r="G31" s="4" t="s">
        <v>70</v>
      </c>
      <c r="H31" s="48">
        <f>IF(G31&gt;0,VLOOKUP(G31,Apoio!$H$2:$I$24,2,0),"")</f>
        <v>7</v>
      </c>
      <c r="I31" s="44">
        <f t="shared" ref="I31:I48" si="1">IF(D31&gt;0,(((H31*E31)*C31)/D31),"")</f>
        <v>45.230769230769234</v>
      </c>
      <c r="J31" s="98"/>
      <c r="K31" s="103"/>
    </row>
    <row r="32" spans="1:11" x14ac:dyDescent="0.3">
      <c r="A32" s="4" t="s">
        <v>189</v>
      </c>
      <c r="B32" s="4" t="s">
        <v>12</v>
      </c>
      <c r="C32" s="75">
        <v>6</v>
      </c>
      <c r="D32" s="55">
        <v>6.5</v>
      </c>
      <c r="E32" s="51">
        <v>7</v>
      </c>
      <c r="F32" s="4" t="s">
        <v>71</v>
      </c>
      <c r="G32" s="4" t="s">
        <v>77</v>
      </c>
      <c r="H32" s="48">
        <f>IF(G32&gt;0,VLOOKUP(G32,Apoio!$H$2:$I$24,2,0),"")</f>
        <v>8</v>
      </c>
      <c r="I32" s="44">
        <f t="shared" si="1"/>
        <v>51.692307692307693</v>
      </c>
      <c r="J32" s="98"/>
      <c r="K32" s="103"/>
    </row>
    <row r="33" spans="1:11" x14ac:dyDescent="0.3">
      <c r="A33" s="4" t="s">
        <v>189</v>
      </c>
      <c r="B33" s="4" t="s">
        <v>12</v>
      </c>
      <c r="C33" s="75">
        <v>6</v>
      </c>
      <c r="D33" s="55">
        <v>6.5</v>
      </c>
      <c r="E33" s="51">
        <v>7</v>
      </c>
      <c r="F33" s="4" t="s">
        <v>71</v>
      </c>
      <c r="G33" s="4" t="s">
        <v>84</v>
      </c>
      <c r="H33" s="48">
        <f>IF(G33&gt;0,VLOOKUP(G33,Apoio!$H$2:$I$24,2,0),"")</f>
        <v>8</v>
      </c>
      <c r="I33" s="44">
        <f t="shared" si="1"/>
        <v>51.692307692307693</v>
      </c>
      <c r="J33" s="98"/>
      <c r="K33" s="103"/>
    </row>
    <row r="34" spans="1:11" x14ac:dyDescent="0.3">
      <c r="A34" s="4" t="s">
        <v>189</v>
      </c>
      <c r="B34" s="4" t="s">
        <v>12</v>
      </c>
      <c r="C34" s="75">
        <v>6</v>
      </c>
      <c r="D34" s="55">
        <v>6.5</v>
      </c>
      <c r="E34" s="51">
        <v>7</v>
      </c>
      <c r="F34" s="4" t="s">
        <v>71</v>
      </c>
      <c r="G34" s="4" t="s">
        <v>91</v>
      </c>
      <c r="H34" s="48">
        <f>IF(G34&gt;0,VLOOKUP(G34,Apoio!$H$2:$I$24,2,0),"")</f>
        <v>6</v>
      </c>
      <c r="I34" s="44">
        <f t="shared" si="1"/>
        <v>38.769230769230766</v>
      </c>
      <c r="J34" s="98"/>
      <c r="K34" s="103"/>
    </row>
    <row r="35" spans="1:11" x14ac:dyDescent="0.3">
      <c r="A35" s="4" t="s">
        <v>189</v>
      </c>
      <c r="B35" s="4" t="s">
        <v>12</v>
      </c>
      <c r="C35" s="75">
        <v>6</v>
      </c>
      <c r="D35" s="55">
        <v>6.5</v>
      </c>
      <c r="E35" s="51">
        <v>7</v>
      </c>
      <c r="F35" s="4" t="s">
        <v>71</v>
      </c>
      <c r="G35" s="4" t="s">
        <v>97</v>
      </c>
      <c r="H35" s="48">
        <f>IF(G35&gt;0,VLOOKUP(G35,Apoio!$H$2:$I$24,2,0),"")</f>
        <v>8</v>
      </c>
      <c r="I35" s="44">
        <f t="shared" si="1"/>
        <v>51.692307692307693</v>
      </c>
      <c r="J35" s="98"/>
      <c r="K35" s="103"/>
    </row>
    <row r="36" spans="1:11" x14ac:dyDescent="0.3">
      <c r="A36" s="4" t="s">
        <v>189</v>
      </c>
      <c r="B36" s="4" t="s">
        <v>12</v>
      </c>
      <c r="C36" s="75">
        <v>6</v>
      </c>
      <c r="D36" s="55">
        <v>6.5</v>
      </c>
      <c r="E36" s="51">
        <v>7</v>
      </c>
      <c r="F36" s="4" t="s">
        <v>71</v>
      </c>
      <c r="G36" s="4" t="s">
        <v>100</v>
      </c>
      <c r="H36" s="48">
        <f>IF(G36&gt;0,VLOOKUP(G36,Apoio!$H$2:$I$24,2,0),"")</f>
        <v>3</v>
      </c>
      <c r="I36" s="44">
        <f t="shared" si="1"/>
        <v>19.384615384615383</v>
      </c>
      <c r="J36" s="98"/>
      <c r="K36" s="103"/>
    </row>
    <row r="37" spans="1:11" x14ac:dyDescent="0.3">
      <c r="A37" s="4" t="s">
        <v>189</v>
      </c>
      <c r="B37" s="4" t="s">
        <v>12</v>
      </c>
      <c r="C37" s="64">
        <v>6</v>
      </c>
      <c r="D37" s="92">
        <v>6.5</v>
      </c>
      <c r="E37" s="51">
        <v>7</v>
      </c>
      <c r="F37" s="4" t="s">
        <v>78</v>
      </c>
      <c r="G37" s="4" t="s">
        <v>103</v>
      </c>
      <c r="H37" s="48">
        <f>IF(G37&gt;0,VLOOKUP(G37,Apoio!$H$2:$I$24,2,0),"")</f>
        <v>6</v>
      </c>
      <c r="I37" s="44">
        <f t="shared" si="1"/>
        <v>38.769230769230766</v>
      </c>
      <c r="J37" s="98"/>
      <c r="K37" s="103"/>
    </row>
    <row r="38" spans="1:11" x14ac:dyDescent="0.3">
      <c r="A38" s="4" t="s">
        <v>189</v>
      </c>
      <c r="B38" s="4" t="s">
        <v>12</v>
      </c>
      <c r="C38" s="64">
        <v>6</v>
      </c>
      <c r="D38" s="92">
        <v>6.5</v>
      </c>
      <c r="E38" s="51">
        <v>7</v>
      </c>
      <c r="F38" s="4" t="s">
        <v>78</v>
      </c>
      <c r="G38" s="4" t="s">
        <v>106</v>
      </c>
      <c r="H38" s="48">
        <f>IF(G38&gt;0,VLOOKUP(G38,Apoio!$H$2:$I$24,2,0),"")</f>
        <v>7</v>
      </c>
      <c r="I38" s="44">
        <f t="shared" si="1"/>
        <v>45.230769230769234</v>
      </c>
      <c r="J38" s="98"/>
      <c r="K38" s="103"/>
    </row>
    <row r="39" spans="1:11" x14ac:dyDescent="0.3">
      <c r="A39" s="4" t="s">
        <v>189</v>
      </c>
      <c r="B39" s="4" t="s">
        <v>12</v>
      </c>
      <c r="C39" s="64">
        <v>6</v>
      </c>
      <c r="D39" s="92">
        <v>6.5</v>
      </c>
      <c r="E39" s="51">
        <v>7</v>
      </c>
      <c r="F39" s="4" t="s">
        <v>78</v>
      </c>
      <c r="G39" s="4" t="s">
        <v>109</v>
      </c>
      <c r="H39" s="48">
        <f>IF(G39&gt;0,VLOOKUP(G39,Apoio!$H$2:$I$24,2,0),"")</f>
        <v>8</v>
      </c>
      <c r="I39" s="44">
        <f t="shared" si="1"/>
        <v>51.692307692307693</v>
      </c>
      <c r="J39" s="98"/>
      <c r="K39" s="103"/>
    </row>
    <row r="40" spans="1:11" x14ac:dyDescent="0.3">
      <c r="A40" s="4" t="s">
        <v>189</v>
      </c>
      <c r="B40" s="4" t="s">
        <v>12</v>
      </c>
      <c r="C40" s="64">
        <v>6</v>
      </c>
      <c r="D40" s="92">
        <v>6.5</v>
      </c>
      <c r="E40" s="51">
        <v>7</v>
      </c>
      <c r="F40" s="4" t="s">
        <v>78</v>
      </c>
      <c r="G40" s="4" t="s">
        <v>112</v>
      </c>
      <c r="H40" s="48">
        <f>IF(G40&gt;0,VLOOKUP(G40,Apoio!$H$2:$I$24,2,0),"")</f>
        <v>8</v>
      </c>
      <c r="I40" s="44">
        <f t="shared" si="1"/>
        <v>51.692307692307693</v>
      </c>
      <c r="J40" s="98"/>
      <c r="K40" s="103"/>
    </row>
    <row r="41" spans="1:11" x14ac:dyDescent="0.3">
      <c r="A41" s="4" t="s">
        <v>189</v>
      </c>
      <c r="B41" s="4" t="s">
        <v>12</v>
      </c>
      <c r="C41" s="64">
        <v>6</v>
      </c>
      <c r="D41" s="92">
        <v>6.5</v>
      </c>
      <c r="E41" s="51">
        <v>7</v>
      </c>
      <c r="F41" s="4" t="s">
        <v>78</v>
      </c>
      <c r="G41" s="4" t="s">
        <v>115</v>
      </c>
      <c r="H41" s="48">
        <f>IF(G41&gt;0,VLOOKUP(G41,Apoio!$H$2:$I$24,2,0),"")</f>
        <v>7</v>
      </c>
      <c r="I41" s="44">
        <f t="shared" si="1"/>
        <v>45.230769230769234</v>
      </c>
      <c r="J41" s="98"/>
      <c r="K41" s="103"/>
    </row>
    <row r="42" spans="1:11" x14ac:dyDescent="0.3">
      <c r="A42" s="4" t="s">
        <v>189</v>
      </c>
      <c r="B42" s="4" t="s">
        <v>12</v>
      </c>
      <c r="C42" s="75">
        <v>6</v>
      </c>
      <c r="D42" s="55">
        <v>6.5</v>
      </c>
      <c r="E42" s="51">
        <v>7</v>
      </c>
      <c r="F42" s="4" t="s">
        <v>78</v>
      </c>
      <c r="G42" s="4" t="s">
        <v>118</v>
      </c>
      <c r="H42" s="48">
        <f>IF(G42&gt;0,VLOOKUP(G42,Apoio!$H$2:$I$24,2,0),"")</f>
        <v>3</v>
      </c>
      <c r="I42" s="44">
        <f t="shared" si="1"/>
        <v>19.384615384615383</v>
      </c>
      <c r="J42" s="98"/>
      <c r="K42" s="103"/>
    </row>
    <row r="43" spans="1:11" x14ac:dyDescent="0.3">
      <c r="A43" s="4" t="s">
        <v>9</v>
      </c>
      <c r="B43" s="4" t="s">
        <v>12</v>
      </c>
      <c r="C43" s="59">
        <v>5</v>
      </c>
      <c r="D43" s="109">
        <v>6.1</v>
      </c>
      <c r="E43" s="51">
        <v>7</v>
      </c>
      <c r="F43" s="4" t="s">
        <v>85</v>
      </c>
      <c r="G43" s="4" t="s">
        <v>121</v>
      </c>
      <c r="H43" s="48">
        <f>IF(G43&gt;0,VLOOKUP(G43,Apoio!$H$2:$I$24,2,0),"")</f>
        <v>7</v>
      </c>
      <c r="I43" s="44">
        <f t="shared" si="1"/>
        <v>40.16393442622951</v>
      </c>
      <c r="J43" s="98"/>
      <c r="K43" s="103"/>
    </row>
    <row r="44" spans="1:11" x14ac:dyDescent="0.3">
      <c r="A44" s="4" t="s">
        <v>9</v>
      </c>
      <c r="B44" s="4" t="s">
        <v>12</v>
      </c>
      <c r="C44" s="59">
        <v>5</v>
      </c>
      <c r="D44" s="109">
        <v>6.1</v>
      </c>
      <c r="E44" s="51">
        <v>7</v>
      </c>
      <c r="F44" s="4" t="s">
        <v>85</v>
      </c>
      <c r="G44" s="4" t="s">
        <v>124</v>
      </c>
      <c r="H44" s="48">
        <f>IF(G44&gt;0,VLOOKUP(G44,Apoio!$H$2:$I$24,2,0),"")</f>
        <v>8</v>
      </c>
      <c r="I44" s="44">
        <f t="shared" si="1"/>
        <v>45.9016393442623</v>
      </c>
      <c r="J44" s="98"/>
      <c r="K44" s="103"/>
    </row>
    <row r="45" spans="1:11" x14ac:dyDescent="0.3">
      <c r="A45" s="4" t="s">
        <v>9</v>
      </c>
      <c r="B45" s="4" t="s">
        <v>12</v>
      </c>
      <c r="C45" s="59">
        <v>5</v>
      </c>
      <c r="D45" s="109">
        <v>6.1</v>
      </c>
      <c r="E45" s="51">
        <v>7</v>
      </c>
      <c r="F45" s="4" t="s">
        <v>85</v>
      </c>
      <c r="G45" s="4" t="s">
        <v>127</v>
      </c>
      <c r="H45" s="48">
        <f>IF(G45&gt;0,VLOOKUP(G45,Apoio!$H$2:$I$24,2,0),"")</f>
        <v>8</v>
      </c>
      <c r="I45" s="44">
        <f t="shared" si="1"/>
        <v>45.9016393442623</v>
      </c>
      <c r="J45" s="98"/>
      <c r="K45" s="103"/>
    </row>
    <row r="46" spans="1:11" x14ac:dyDescent="0.3">
      <c r="A46" s="4" t="s">
        <v>9</v>
      </c>
      <c r="B46" s="4" t="s">
        <v>12</v>
      </c>
      <c r="C46" s="59">
        <v>5</v>
      </c>
      <c r="D46" s="96">
        <v>6.1</v>
      </c>
      <c r="E46" s="51">
        <v>7</v>
      </c>
      <c r="F46" s="4" t="s">
        <v>85</v>
      </c>
      <c r="G46" s="4" t="s">
        <v>130</v>
      </c>
      <c r="H46" s="48">
        <f>IF(G46&gt;0,VLOOKUP(G46,Apoio!$H$2:$I$24,2,0),"")</f>
        <v>13</v>
      </c>
      <c r="I46" s="44">
        <f t="shared" si="1"/>
        <v>74.590163934426229</v>
      </c>
      <c r="J46" s="98"/>
      <c r="K46" s="103"/>
    </row>
    <row r="47" spans="1:11" x14ac:dyDescent="0.3">
      <c r="A47" s="4" t="s">
        <v>9</v>
      </c>
      <c r="B47" s="4" t="s">
        <v>12</v>
      </c>
      <c r="C47" s="59">
        <v>5</v>
      </c>
      <c r="D47" s="96">
        <v>6.1</v>
      </c>
      <c r="E47" s="51">
        <v>7</v>
      </c>
      <c r="F47" s="4" t="s">
        <v>85</v>
      </c>
      <c r="G47" s="4" t="s">
        <v>133</v>
      </c>
      <c r="H47" s="48">
        <f>IF(G47&gt;0,VLOOKUP(G47,Apoio!$H$2:$I$24,2,0),"")</f>
        <v>3</v>
      </c>
      <c r="I47" s="44">
        <f t="shared" si="1"/>
        <v>17.213114754098363</v>
      </c>
      <c r="J47" s="98"/>
      <c r="K47" s="103"/>
    </row>
    <row r="48" spans="1:11" x14ac:dyDescent="0.3">
      <c r="A48" s="4" t="s">
        <v>9</v>
      </c>
      <c r="B48" s="4" t="s">
        <v>12</v>
      </c>
      <c r="C48" s="59">
        <v>5</v>
      </c>
      <c r="D48" s="96">
        <v>6.1</v>
      </c>
      <c r="E48" s="51">
        <v>7</v>
      </c>
      <c r="F48" s="4" t="s">
        <v>92</v>
      </c>
      <c r="G48" s="4" t="s">
        <v>136</v>
      </c>
      <c r="H48" s="48">
        <f>IF(G48&gt;0,VLOOKUP(G48,Apoio!$H$2:$I$24,2,0),"")</f>
        <v>13</v>
      </c>
      <c r="I48" s="44">
        <f t="shared" si="1"/>
        <v>74.590163934426229</v>
      </c>
      <c r="J48" s="98"/>
      <c r="K48" s="103"/>
    </row>
    <row r="49" spans="1:11" x14ac:dyDescent="0.3">
      <c r="A49" s="4" t="s">
        <v>9</v>
      </c>
      <c r="B49" s="4" t="s">
        <v>12</v>
      </c>
      <c r="C49" s="59">
        <v>5</v>
      </c>
      <c r="D49" s="96">
        <v>6.1</v>
      </c>
      <c r="E49" s="51">
        <v>7</v>
      </c>
      <c r="F49" s="4" t="s">
        <v>92</v>
      </c>
      <c r="G49" s="4" t="s">
        <v>139</v>
      </c>
      <c r="H49" s="48">
        <f>IF(G49&gt;0,VLOOKUP(G49,Apoio!$H$2:$I$24,2,0),"")</f>
        <v>8</v>
      </c>
      <c r="I49" s="44">
        <f t="shared" ref="I49:I104" si="2">IF(D49&gt;0,(((H49*E49)*C49)/D49),"")</f>
        <v>45.9016393442623</v>
      </c>
      <c r="J49" s="98"/>
      <c r="K49" s="103"/>
    </row>
    <row r="50" spans="1:11" x14ac:dyDescent="0.3">
      <c r="A50" s="4" t="s">
        <v>9</v>
      </c>
      <c r="B50" s="4" t="s">
        <v>12</v>
      </c>
      <c r="C50" s="59">
        <v>5</v>
      </c>
      <c r="D50" s="96">
        <v>6.1</v>
      </c>
      <c r="E50" s="51">
        <v>7</v>
      </c>
      <c r="F50" s="4" t="s">
        <v>92</v>
      </c>
      <c r="G50" s="4" t="s">
        <v>142</v>
      </c>
      <c r="H50" s="48">
        <f>IF(G50&gt;0,VLOOKUP(G50,Apoio!$H$2:$I$24,2,0),"")</f>
        <v>8</v>
      </c>
      <c r="I50" s="44">
        <f t="shared" si="2"/>
        <v>45.9016393442623</v>
      </c>
      <c r="J50" s="98"/>
      <c r="K50" s="103"/>
    </row>
    <row r="51" spans="1:11" x14ac:dyDescent="0.3">
      <c r="A51" s="4" t="s">
        <v>9</v>
      </c>
      <c r="B51" s="4" t="s">
        <v>12</v>
      </c>
      <c r="C51" s="59">
        <v>5</v>
      </c>
      <c r="D51" s="96">
        <v>6.1</v>
      </c>
      <c r="E51" s="51">
        <v>7</v>
      </c>
      <c r="F51" s="4" t="s">
        <v>92</v>
      </c>
      <c r="G51" s="4" t="s">
        <v>145</v>
      </c>
      <c r="H51" s="48">
        <f>IF(G51&gt;0,VLOOKUP(G51,Apoio!$H$2:$I$24,2,0),"")</f>
        <v>7</v>
      </c>
      <c r="I51" s="44">
        <f t="shared" si="2"/>
        <v>40.16393442622951</v>
      </c>
      <c r="J51" s="98"/>
      <c r="K51" s="103"/>
    </row>
    <row r="52" spans="1:11" x14ac:dyDescent="0.3">
      <c r="A52" s="4" t="s">
        <v>9</v>
      </c>
      <c r="B52" s="4" t="s">
        <v>12</v>
      </c>
      <c r="C52" s="59">
        <v>5</v>
      </c>
      <c r="D52" s="96">
        <v>6.1</v>
      </c>
      <c r="E52" s="51">
        <v>7</v>
      </c>
      <c r="F52" s="4" t="s">
        <v>92</v>
      </c>
      <c r="G52" s="4" t="s">
        <v>148</v>
      </c>
      <c r="H52" s="48">
        <f>IF(G52&gt;0,VLOOKUP(G52,Apoio!$H$2:$I$24,2,0),"")</f>
        <v>8</v>
      </c>
      <c r="I52" s="44">
        <f t="shared" si="2"/>
        <v>45.9016393442623</v>
      </c>
      <c r="J52" s="98"/>
      <c r="K52" s="103"/>
    </row>
    <row r="53" spans="1:11" x14ac:dyDescent="0.3">
      <c r="A53" s="4" t="s">
        <v>9</v>
      </c>
      <c r="B53" s="4" t="s">
        <v>12</v>
      </c>
      <c r="C53" s="59">
        <v>5</v>
      </c>
      <c r="D53" s="96">
        <v>6.1</v>
      </c>
      <c r="E53" s="51">
        <v>7</v>
      </c>
      <c r="F53" s="4" t="s">
        <v>92</v>
      </c>
      <c r="G53" s="4" t="s">
        <v>151</v>
      </c>
      <c r="H53" s="48">
        <f>IF(G53&gt;0,VLOOKUP(G53,Apoio!$H$2:$I$24,2,0),"")</f>
        <v>8</v>
      </c>
      <c r="I53" s="44">
        <f t="shared" si="2"/>
        <v>45.9016393442623</v>
      </c>
      <c r="J53" s="98"/>
      <c r="K53" s="103"/>
    </row>
    <row r="54" spans="1:11" x14ac:dyDescent="0.3">
      <c r="A54" s="4" t="s">
        <v>189</v>
      </c>
      <c r="B54" s="4" t="s">
        <v>13</v>
      </c>
      <c r="C54" s="58">
        <v>7</v>
      </c>
      <c r="D54" s="51">
        <v>6.7</v>
      </c>
      <c r="E54" s="51">
        <v>7</v>
      </c>
      <c r="F54" s="4" t="s">
        <v>71</v>
      </c>
      <c r="G54" s="4" t="s">
        <v>70</v>
      </c>
      <c r="H54" s="48">
        <f>IF(G54&gt;0,VLOOKUP(G54,Apoio!$H$2:$I$24,2,0),"")</f>
        <v>7</v>
      </c>
      <c r="I54" s="44">
        <f t="shared" si="2"/>
        <v>51.194029850746269</v>
      </c>
      <c r="J54" s="98"/>
      <c r="K54" s="103"/>
    </row>
    <row r="55" spans="1:11" x14ac:dyDescent="0.3">
      <c r="A55" s="4" t="s">
        <v>189</v>
      </c>
      <c r="B55" s="4" t="s">
        <v>13</v>
      </c>
      <c r="C55" s="58">
        <v>7</v>
      </c>
      <c r="D55" s="51">
        <v>6.7</v>
      </c>
      <c r="E55" s="51">
        <v>7</v>
      </c>
      <c r="F55" s="4" t="s">
        <v>71</v>
      </c>
      <c r="G55" s="4" t="s">
        <v>77</v>
      </c>
      <c r="H55" s="48">
        <f>IF(G55&gt;0,VLOOKUP(G55,Apoio!$H$2:$I$24,2,0),"")</f>
        <v>8</v>
      </c>
      <c r="I55" s="44">
        <f t="shared" si="2"/>
        <v>58.507462686567166</v>
      </c>
      <c r="J55" s="98"/>
      <c r="K55" s="103"/>
    </row>
    <row r="56" spans="1:11" x14ac:dyDescent="0.3">
      <c r="A56" s="4" t="s">
        <v>189</v>
      </c>
      <c r="B56" s="4" t="s">
        <v>13</v>
      </c>
      <c r="C56" s="58">
        <v>7</v>
      </c>
      <c r="D56" s="51">
        <v>6.7</v>
      </c>
      <c r="E56" s="51">
        <v>7</v>
      </c>
      <c r="F56" s="4" t="s">
        <v>71</v>
      </c>
      <c r="G56" s="4" t="s">
        <v>84</v>
      </c>
      <c r="H56" s="48">
        <f>IF(G56&gt;0,VLOOKUP(G56,Apoio!$H$2:$I$24,2,0),"")</f>
        <v>8</v>
      </c>
      <c r="I56" s="44">
        <f t="shared" si="2"/>
        <v>58.507462686567166</v>
      </c>
      <c r="J56" s="98"/>
      <c r="K56" s="103"/>
    </row>
    <row r="57" spans="1:11" x14ac:dyDescent="0.3">
      <c r="A57" s="4" t="s">
        <v>189</v>
      </c>
      <c r="B57" s="4" t="s">
        <v>13</v>
      </c>
      <c r="C57" s="58">
        <v>7</v>
      </c>
      <c r="D57" s="51">
        <v>6.7</v>
      </c>
      <c r="E57" s="51">
        <v>7</v>
      </c>
      <c r="F57" s="4" t="s">
        <v>71</v>
      </c>
      <c r="G57" s="4" t="s">
        <v>91</v>
      </c>
      <c r="H57" s="48">
        <f>IF(G57&gt;0,VLOOKUP(G57,Apoio!$H$2:$I$24,2,0),"")</f>
        <v>6</v>
      </c>
      <c r="I57" s="44">
        <f t="shared" si="2"/>
        <v>43.880597014925371</v>
      </c>
      <c r="J57" s="98"/>
      <c r="K57" s="103"/>
    </row>
    <row r="58" spans="1:11" x14ac:dyDescent="0.3">
      <c r="A58" s="4" t="s">
        <v>189</v>
      </c>
      <c r="B58" s="4" t="s">
        <v>13</v>
      </c>
      <c r="C58" s="58">
        <v>7</v>
      </c>
      <c r="D58" s="51">
        <v>6.7</v>
      </c>
      <c r="E58" s="51">
        <v>7</v>
      </c>
      <c r="F58" s="4" t="s">
        <v>71</v>
      </c>
      <c r="G58" s="4" t="s">
        <v>97</v>
      </c>
      <c r="H58" s="48">
        <f>IF(G58&gt;0,VLOOKUP(G58,Apoio!$H$2:$I$24,2,0),"")</f>
        <v>8</v>
      </c>
      <c r="I58" s="44">
        <f t="shared" si="2"/>
        <v>58.507462686567166</v>
      </c>
      <c r="J58" s="98"/>
      <c r="K58" s="103"/>
    </row>
    <row r="59" spans="1:11" x14ac:dyDescent="0.3">
      <c r="A59" s="4" t="s">
        <v>189</v>
      </c>
      <c r="B59" s="4" t="s">
        <v>13</v>
      </c>
      <c r="C59" s="58">
        <v>7</v>
      </c>
      <c r="D59" s="51">
        <v>6.7</v>
      </c>
      <c r="E59" s="51">
        <v>7</v>
      </c>
      <c r="F59" s="4" t="s">
        <v>71</v>
      </c>
      <c r="G59" s="4" t="s">
        <v>100</v>
      </c>
      <c r="H59" s="48">
        <f>IF(G59&gt;0,VLOOKUP(G59,Apoio!$H$2:$I$24,2,0),"")</f>
        <v>3</v>
      </c>
      <c r="I59" s="44">
        <f t="shared" si="2"/>
        <v>21.940298507462686</v>
      </c>
      <c r="J59" s="98"/>
      <c r="K59" s="103"/>
    </row>
    <row r="60" spans="1:11" x14ac:dyDescent="0.3">
      <c r="A60" s="4" t="s">
        <v>189</v>
      </c>
      <c r="B60" s="4" t="s">
        <v>13</v>
      </c>
      <c r="C60" s="58">
        <v>8</v>
      </c>
      <c r="D60" s="51">
        <v>6.3</v>
      </c>
      <c r="E60" s="51">
        <v>7</v>
      </c>
      <c r="F60" s="4" t="s">
        <v>78</v>
      </c>
      <c r="G60" s="4" t="s">
        <v>103</v>
      </c>
      <c r="H60" s="48">
        <f>IF(G60&gt;0,VLOOKUP(G60,Apoio!$H$2:$I$24,2,0),"")</f>
        <v>6</v>
      </c>
      <c r="I60" s="44">
        <f t="shared" si="2"/>
        <v>53.333333333333336</v>
      </c>
      <c r="J60" s="98"/>
      <c r="K60" s="103"/>
    </row>
    <row r="61" spans="1:11" x14ac:dyDescent="0.3">
      <c r="A61" s="4" t="s">
        <v>189</v>
      </c>
      <c r="B61" s="4" t="s">
        <v>13</v>
      </c>
      <c r="C61" s="58">
        <v>8</v>
      </c>
      <c r="D61" s="51">
        <v>6.3</v>
      </c>
      <c r="E61" s="51">
        <v>7</v>
      </c>
      <c r="F61" s="4" t="s">
        <v>78</v>
      </c>
      <c r="G61" s="4" t="s">
        <v>106</v>
      </c>
      <c r="H61" s="48">
        <f>IF(G61&gt;0,VLOOKUP(G61,Apoio!$H$2:$I$24,2,0),"")</f>
        <v>7</v>
      </c>
      <c r="I61" s="44">
        <f t="shared" si="2"/>
        <v>62.222222222222221</v>
      </c>
      <c r="J61" s="98"/>
      <c r="K61" s="103"/>
    </row>
    <row r="62" spans="1:11" x14ac:dyDescent="0.3">
      <c r="A62" s="4" t="s">
        <v>189</v>
      </c>
      <c r="B62" s="4" t="s">
        <v>13</v>
      </c>
      <c r="C62" s="58">
        <v>8</v>
      </c>
      <c r="D62" s="51">
        <v>6.3</v>
      </c>
      <c r="E62" s="51">
        <v>7</v>
      </c>
      <c r="F62" s="4" t="s">
        <v>78</v>
      </c>
      <c r="G62" s="4" t="s">
        <v>109</v>
      </c>
      <c r="H62" s="48">
        <f>IF(G62&gt;0,VLOOKUP(G62,Apoio!$H$2:$I$24,2,0),"")</f>
        <v>8</v>
      </c>
      <c r="I62" s="44">
        <f t="shared" si="2"/>
        <v>71.111111111111114</v>
      </c>
      <c r="J62" s="98"/>
      <c r="K62" s="103"/>
    </row>
    <row r="63" spans="1:11" x14ac:dyDescent="0.3">
      <c r="A63" s="4" t="s">
        <v>189</v>
      </c>
      <c r="B63" s="4" t="s">
        <v>13</v>
      </c>
      <c r="C63" s="58">
        <v>8</v>
      </c>
      <c r="D63" s="51">
        <v>6.3</v>
      </c>
      <c r="E63" s="51">
        <v>7</v>
      </c>
      <c r="F63" s="4" t="s">
        <v>78</v>
      </c>
      <c r="G63" s="4" t="s">
        <v>112</v>
      </c>
      <c r="H63" s="48">
        <f>IF(G63&gt;0,VLOOKUP(G63,Apoio!$H$2:$I$24,2,0),"")</f>
        <v>8</v>
      </c>
      <c r="I63" s="44">
        <f t="shared" si="2"/>
        <v>71.111111111111114</v>
      </c>
      <c r="J63" s="98"/>
      <c r="K63" s="103"/>
    </row>
    <row r="64" spans="1:11" x14ac:dyDescent="0.3">
      <c r="A64" s="4" t="s">
        <v>189</v>
      </c>
      <c r="B64" s="4" t="s">
        <v>13</v>
      </c>
      <c r="C64" s="58">
        <v>8</v>
      </c>
      <c r="D64" s="51">
        <v>6.3</v>
      </c>
      <c r="E64" s="51">
        <v>7</v>
      </c>
      <c r="F64" s="4" t="s">
        <v>78</v>
      </c>
      <c r="G64" s="4" t="s">
        <v>115</v>
      </c>
      <c r="H64" s="48">
        <f>IF(G64&gt;0,VLOOKUP(G64,Apoio!$H$2:$I$24,2,0),"")</f>
        <v>7</v>
      </c>
      <c r="I64" s="44">
        <f t="shared" si="2"/>
        <v>62.222222222222221</v>
      </c>
      <c r="J64" s="98"/>
      <c r="K64" s="103"/>
    </row>
    <row r="65" spans="1:11" x14ac:dyDescent="0.3">
      <c r="A65" s="4" t="s">
        <v>189</v>
      </c>
      <c r="B65" s="4" t="s">
        <v>13</v>
      </c>
      <c r="C65" s="58">
        <v>8</v>
      </c>
      <c r="D65" s="51">
        <v>6.3</v>
      </c>
      <c r="E65" s="51">
        <v>7</v>
      </c>
      <c r="F65" s="4" t="s">
        <v>78</v>
      </c>
      <c r="G65" s="4" t="s">
        <v>118</v>
      </c>
      <c r="H65" s="48">
        <f>IF(G65&gt;0,VLOOKUP(G65,Apoio!$H$2:$I$24,2,0),"")</f>
        <v>3</v>
      </c>
      <c r="I65" s="44">
        <f t="shared" si="2"/>
        <v>26.666666666666668</v>
      </c>
      <c r="J65" s="98"/>
      <c r="K65" s="103"/>
    </row>
    <row r="66" spans="1:11" x14ac:dyDescent="0.3">
      <c r="A66" s="4" t="s">
        <v>9</v>
      </c>
      <c r="B66" s="4" t="s">
        <v>13</v>
      </c>
      <c r="C66" s="59">
        <v>7</v>
      </c>
      <c r="D66" s="109">
        <v>5.9</v>
      </c>
      <c r="E66" s="51">
        <v>7</v>
      </c>
      <c r="F66" s="4" t="s">
        <v>85</v>
      </c>
      <c r="G66" s="4" t="s">
        <v>121</v>
      </c>
      <c r="H66" s="48">
        <f>IF(G66&gt;0,VLOOKUP(G66,Apoio!$H$2:$I$24,2,0),"")</f>
        <v>7</v>
      </c>
      <c r="I66" s="44">
        <f t="shared" si="2"/>
        <v>58.135593220338983</v>
      </c>
      <c r="J66" s="98"/>
      <c r="K66" s="103"/>
    </row>
    <row r="67" spans="1:11" x14ac:dyDescent="0.3">
      <c r="A67" s="4" t="s">
        <v>9</v>
      </c>
      <c r="B67" s="4" t="s">
        <v>13</v>
      </c>
      <c r="C67" s="59">
        <v>7</v>
      </c>
      <c r="D67" s="109">
        <v>5.9</v>
      </c>
      <c r="E67" s="51">
        <v>7</v>
      </c>
      <c r="F67" s="4" t="s">
        <v>85</v>
      </c>
      <c r="G67" s="4" t="s">
        <v>124</v>
      </c>
      <c r="H67" s="48">
        <f>IF(G67&gt;0,VLOOKUP(G67,Apoio!$H$2:$I$24,2,0),"")</f>
        <v>8</v>
      </c>
      <c r="I67" s="44">
        <f t="shared" si="2"/>
        <v>66.440677966101688</v>
      </c>
      <c r="J67" s="98"/>
      <c r="K67" s="103"/>
    </row>
    <row r="68" spans="1:11" x14ac:dyDescent="0.3">
      <c r="A68" s="4" t="s">
        <v>9</v>
      </c>
      <c r="B68" s="4" t="s">
        <v>13</v>
      </c>
      <c r="C68" s="59">
        <v>7</v>
      </c>
      <c r="D68" s="109">
        <v>5.9</v>
      </c>
      <c r="E68" s="51">
        <v>7</v>
      </c>
      <c r="F68" s="4" t="s">
        <v>85</v>
      </c>
      <c r="G68" s="4" t="s">
        <v>127</v>
      </c>
      <c r="H68" s="48">
        <f>IF(G68&gt;0,VLOOKUP(G68,Apoio!$H$2:$I$24,2,0),"")</f>
        <v>8</v>
      </c>
      <c r="I68" s="44">
        <f t="shared" si="2"/>
        <v>66.440677966101688</v>
      </c>
      <c r="J68" s="98"/>
      <c r="K68" s="103"/>
    </row>
    <row r="69" spans="1:11" x14ac:dyDescent="0.3">
      <c r="A69" s="4" t="s">
        <v>9</v>
      </c>
      <c r="B69" s="4" t="s">
        <v>13</v>
      </c>
      <c r="C69" s="59">
        <v>7</v>
      </c>
      <c r="D69" s="96">
        <v>5.9</v>
      </c>
      <c r="E69" s="51">
        <v>7</v>
      </c>
      <c r="F69" s="4" t="s">
        <v>85</v>
      </c>
      <c r="G69" s="4" t="s">
        <v>130</v>
      </c>
      <c r="H69" s="48">
        <f>IF(G69&gt;0,VLOOKUP(G69,Apoio!$H$2:$I$24,2,0),"")</f>
        <v>13</v>
      </c>
      <c r="I69" s="44">
        <f t="shared" si="2"/>
        <v>107.96610169491525</v>
      </c>
      <c r="J69" s="98"/>
      <c r="K69" s="103"/>
    </row>
    <row r="70" spans="1:11" x14ac:dyDescent="0.3">
      <c r="A70" s="4" t="s">
        <v>9</v>
      </c>
      <c r="B70" s="4" t="s">
        <v>13</v>
      </c>
      <c r="C70" s="59">
        <v>7</v>
      </c>
      <c r="D70" s="96">
        <v>5.9</v>
      </c>
      <c r="E70" s="51">
        <v>7</v>
      </c>
      <c r="F70" s="4" t="s">
        <v>85</v>
      </c>
      <c r="G70" s="4" t="s">
        <v>133</v>
      </c>
      <c r="H70" s="48">
        <f>IF(G70&gt;0,VLOOKUP(G70,Apoio!$H$2:$I$24,2,0),"")</f>
        <v>3</v>
      </c>
      <c r="I70" s="44">
        <f t="shared" si="2"/>
        <v>24.915254237288135</v>
      </c>
      <c r="J70" s="98"/>
      <c r="K70" s="103"/>
    </row>
    <row r="71" spans="1:11" x14ac:dyDescent="0.3">
      <c r="A71" s="4" t="s">
        <v>9</v>
      </c>
      <c r="B71" s="4" t="s">
        <v>13</v>
      </c>
      <c r="C71" s="59">
        <v>7</v>
      </c>
      <c r="D71" s="96">
        <v>5.9</v>
      </c>
      <c r="E71" s="51">
        <v>7</v>
      </c>
      <c r="F71" s="4" t="s">
        <v>92</v>
      </c>
      <c r="G71" s="4" t="s">
        <v>136</v>
      </c>
      <c r="H71" s="48">
        <f>IF(G71&gt;0,VLOOKUP(G71,Apoio!$H$2:$I$24,2,0),"")</f>
        <v>13</v>
      </c>
      <c r="I71" s="44">
        <f t="shared" si="2"/>
        <v>107.96610169491525</v>
      </c>
      <c r="J71" s="98"/>
      <c r="K71" s="103"/>
    </row>
    <row r="72" spans="1:11" x14ac:dyDescent="0.3">
      <c r="A72" s="4" t="s">
        <v>9</v>
      </c>
      <c r="B72" s="4" t="s">
        <v>13</v>
      </c>
      <c r="C72" s="59">
        <v>7</v>
      </c>
      <c r="D72" s="96">
        <v>5.9</v>
      </c>
      <c r="E72" s="51">
        <v>7</v>
      </c>
      <c r="F72" s="4" t="s">
        <v>92</v>
      </c>
      <c r="G72" s="4" t="s">
        <v>139</v>
      </c>
      <c r="H72" s="48">
        <f>IF(G72&gt;0,VLOOKUP(G72,Apoio!$H$2:$I$24,2,0),"")</f>
        <v>8</v>
      </c>
      <c r="I72" s="44">
        <f t="shared" si="2"/>
        <v>66.440677966101688</v>
      </c>
      <c r="J72" s="98"/>
      <c r="K72" s="103"/>
    </row>
    <row r="73" spans="1:11" x14ac:dyDescent="0.3">
      <c r="A73" s="4" t="s">
        <v>9</v>
      </c>
      <c r="B73" s="4" t="s">
        <v>13</v>
      </c>
      <c r="C73" s="59">
        <v>7</v>
      </c>
      <c r="D73" s="96">
        <v>5.9</v>
      </c>
      <c r="E73" s="51">
        <v>7</v>
      </c>
      <c r="F73" s="4" t="s">
        <v>92</v>
      </c>
      <c r="G73" s="4" t="s">
        <v>142</v>
      </c>
      <c r="H73" s="48">
        <f>IF(G73&gt;0,VLOOKUP(G73,Apoio!$H$2:$I$24,2,0),"")</f>
        <v>8</v>
      </c>
      <c r="I73" s="44">
        <f t="shared" si="2"/>
        <v>66.440677966101688</v>
      </c>
      <c r="J73" s="98"/>
      <c r="K73" s="103"/>
    </row>
    <row r="74" spans="1:11" x14ac:dyDescent="0.3">
      <c r="A74" s="4" t="s">
        <v>9</v>
      </c>
      <c r="B74" s="4" t="s">
        <v>13</v>
      </c>
      <c r="C74" s="59">
        <v>7</v>
      </c>
      <c r="D74" s="96">
        <v>5.9</v>
      </c>
      <c r="E74" s="51">
        <v>7</v>
      </c>
      <c r="F74" s="4" t="s">
        <v>92</v>
      </c>
      <c r="G74" s="4" t="s">
        <v>145</v>
      </c>
      <c r="H74" s="48">
        <f>IF(G74&gt;0,VLOOKUP(G74,Apoio!$H$2:$I$24,2,0),"")</f>
        <v>7</v>
      </c>
      <c r="I74" s="44">
        <f t="shared" si="2"/>
        <v>58.135593220338983</v>
      </c>
      <c r="J74" s="98"/>
      <c r="K74" s="103"/>
    </row>
    <row r="75" spans="1:11" x14ac:dyDescent="0.3">
      <c r="A75" s="4" t="s">
        <v>9</v>
      </c>
      <c r="B75" s="4" t="s">
        <v>13</v>
      </c>
      <c r="C75" s="59">
        <v>7</v>
      </c>
      <c r="D75" s="96">
        <v>5.9</v>
      </c>
      <c r="E75" s="51">
        <v>7</v>
      </c>
      <c r="F75" s="4" t="s">
        <v>92</v>
      </c>
      <c r="G75" s="4" t="s">
        <v>148</v>
      </c>
      <c r="H75" s="48">
        <f>IF(G75&gt;0,VLOOKUP(G75,Apoio!$H$2:$I$24,2,0),"")</f>
        <v>8</v>
      </c>
      <c r="I75" s="44">
        <f t="shared" si="2"/>
        <v>66.440677966101688</v>
      </c>
      <c r="J75" s="98"/>
      <c r="K75" s="103"/>
    </row>
    <row r="76" spans="1:11" x14ac:dyDescent="0.3">
      <c r="A76" s="4" t="s">
        <v>9</v>
      </c>
      <c r="B76" s="4" t="s">
        <v>13</v>
      </c>
      <c r="C76" s="59">
        <v>7</v>
      </c>
      <c r="D76" s="96">
        <v>5.9</v>
      </c>
      <c r="E76" s="51">
        <v>7</v>
      </c>
      <c r="F76" s="4" t="s">
        <v>92</v>
      </c>
      <c r="G76" s="4" t="s">
        <v>151</v>
      </c>
      <c r="H76" s="48">
        <f>IF(G76&gt;0,VLOOKUP(G76,Apoio!$H$2:$I$24,2,0),"")</f>
        <v>8</v>
      </c>
      <c r="I76" s="44">
        <f t="shared" si="2"/>
        <v>66.440677966101688</v>
      </c>
      <c r="J76" s="98"/>
      <c r="K76" s="103"/>
    </row>
    <row r="77" spans="1:11" x14ac:dyDescent="0.3">
      <c r="A77" s="4" t="s">
        <v>189</v>
      </c>
      <c r="B77" s="4" t="s">
        <v>10</v>
      </c>
      <c r="C77" s="58">
        <v>6</v>
      </c>
      <c r="D77" s="51">
        <v>7</v>
      </c>
      <c r="E77" s="51">
        <v>7</v>
      </c>
      <c r="F77" s="4" t="s">
        <v>71</v>
      </c>
      <c r="G77" s="4" t="s">
        <v>70</v>
      </c>
      <c r="H77" s="48">
        <f>IF(G77&gt;0,VLOOKUP(G77,Apoio!$H$2:$I$24,2,0),"")</f>
        <v>7</v>
      </c>
      <c r="I77" s="44">
        <f t="shared" ref="I77:I101" si="3">IF(D77&gt;0,(((H77*E77)*C77)/D77),"")</f>
        <v>42</v>
      </c>
      <c r="J77" s="98"/>
      <c r="K77" s="103"/>
    </row>
    <row r="78" spans="1:11" x14ac:dyDescent="0.3">
      <c r="A78" s="4" t="s">
        <v>189</v>
      </c>
      <c r="B78" s="4" t="s">
        <v>10</v>
      </c>
      <c r="C78" s="58">
        <v>6</v>
      </c>
      <c r="D78" s="51">
        <v>7</v>
      </c>
      <c r="E78" s="51">
        <v>7</v>
      </c>
      <c r="F78" s="4" t="s">
        <v>71</v>
      </c>
      <c r="G78" s="4" t="s">
        <v>77</v>
      </c>
      <c r="H78" s="48">
        <f>IF(G78&gt;0,VLOOKUP(G78,Apoio!$H$2:$I$24,2,0),"")</f>
        <v>8</v>
      </c>
      <c r="I78" s="44">
        <f t="shared" si="3"/>
        <v>48</v>
      </c>
      <c r="J78" s="98"/>
      <c r="K78" s="103"/>
    </row>
    <row r="79" spans="1:11" x14ac:dyDescent="0.3">
      <c r="A79" s="4" t="s">
        <v>189</v>
      </c>
      <c r="B79" s="4" t="s">
        <v>10</v>
      </c>
      <c r="C79" s="58">
        <v>6</v>
      </c>
      <c r="D79" s="51">
        <v>7</v>
      </c>
      <c r="E79" s="51">
        <v>7</v>
      </c>
      <c r="F79" s="4" t="s">
        <v>71</v>
      </c>
      <c r="G79" s="4" t="s">
        <v>84</v>
      </c>
      <c r="H79" s="48">
        <f>IF(G79&gt;0,VLOOKUP(G79,Apoio!$H$2:$I$24,2,0),"")</f>
        <v>8</v>
      </c>
      <c r="I79" s="44">
        <f t="shared" si="3"/>
        <v>48</v>
      </c>
      <c r="J79" s="98"/>
      <c r="K79" s="103"/>
    </row>
    <row r="80" spans="1:11" x14ac:dyDescent="0.3">
      <c r="A80" s="4" t="s">
        <v>189</v>
      </c>
      <c r="B80" s="4" t="s">
        <v>10</v>
      </c>
      <c r="C80" s="58">
        <v>6</v>
      </c>
      <c r="D80" s="51">
        <v>7</v>
      </c>
      <c r="E80" s="51">
        <v>7</v>
      </c>
      <c r="F80" s="4" t="s">
        <v>71</v>
      </c>
      <c r="G80" s="4" t="s">
        <v>91</v>
      </c>
      <c r="H80" s="48">
        <f>IF(G80&gt;0,VLOOKUP(G80,Apoio!$H$2:$I$24,2,0),"")</f>
        <v>6</v>
      </c>
      <c r="I80" s="44">
        <f t="shared" si="3"/>
        <v>36</v>
      </c>
      <c r="J80" s="98"/>
      <c r="K80" s="103"/>
    </row>
    <row r="81" spans="1:15" x14ac:dyDescent="0.3">
      <c r="A81" s="4" t="s">
        <v>189</v>
      </c>
      <c r="B81" s="4" t="s">
        <v>10</v>
      </c>
      <c r="C81" s="58">
        <v>6</v>
      </c>
      <c r="D81" s="51">
        <v>7</v>
      </c>
      <c r="E81" s="51">
        <v>7</v>
      </c>
      <c r="F81" s="4" t="s">
        <v>71</v>
      </c>
      <c r="G81" s="4" t="s">
        <v>97</v>
      </c>
      <c r="H81" s="48">
        <f>IF(G81&gt;0,VLOOKUP(G81,Apoio!$H$2:$I$24,2,0),"")</f>
        <v>8</v>
      </c>
      <c r="I81" s="44">
        <f t="shared" si="3"/>
        <v>48</v>
      </c>
      <c r="J81" s="98"/>
      <c r="K81" s="103"/>
    </row>
    <row r="82" spans="1:15" x14ac:dyDescent="0.3">
      <c r="A82" s="4" t="s">
        <v>189</v>
      </c>
      <c r="B82" s="4" t="s">
        <v>10</v>
      </c>
      <c r="C82" s="58">
        <v>6</v>
      </c>
      <c r="D82" s="51">
        <v>7</v>
      </c>
      <c r="E82" s="51">
        <v>7</v>
      </c>
      <c r="F82" s="4" t="s">
        <v>71</v>
      </c>
      <c r="G82" s="4" t="s">
        <v>100</v>
      </c>
      <c r="H82" s="48">
        <f>IF(G82&gt;0,VLOOKUP(G82,Apoio!$H$2:$I$24,2,0),"")</f>
        <v>3</v>
      </c>
      <c r="I82" s="44">
        <f t="shared" si="3"/>
        <v>18</v>
      </c>
      <c r="J82" s="98"/>
      <c r="K82" s="103"/>
    </row>
    <row r="83" spans="1:15" x14ac:dyDescent="0.3">
      <c r="A83" s="4" t="s">
        <v>189</v>
      </c>
      <c r="B83" s="4" t="s">
        <v>10</v>
      </c>
      <c r="C83" s="58">
        <v>6</v>
      </c>
      <c r="D83" s="89">
        <v>8</v>
      </c>
      <c r="E83" s="51">
        <v>7</v>
      </c>
      <c r="F83" s="4" t="s">
        <v>78</v>
      </c>
      <c r="G83" s="4" t="s">
        <v>103</v>
      </c>
      <c r="H83" s="48">
        <f>IF(G83&gt;0,VLOOKUP(G83,Apoio!$H$2:$I$24,2,0),"")</f>
        <v>6</v>
      </c>
      <c r="I83" s="44">
        <f t="shared" si="3"/>
        <v>31.5</v>
      </c>
      <c r="J83" s="98"/>
      <c r="K83" s="103"/>
    </row>
    <row r="84" spans="1:15" x14ac:dyDescent="0.3">
      <c r="A84" s="4" t="s">
        <v>189</v>
      </c>
      <c r="B84" s="4" t="s">
        <v>10</v>
      </c>
      <c r="C84" s="75">
        <v>6</v>
      </c>
      <c r="D84" s="90">
        <v>8</v>
      </c>
      <c r="E84" s="51">
        <v>7</v>
      </c>
      <c r="F84" s="4" t="s">
        <v>78</v>
      </c>
      <c r="G84" s="4" t="s">
        <v>106</v>
      </c>
      <c r="H84" s="48">
        <f>IF(G84&gt;0,VLOOKUP(G84,Apoio!$H$2:$I$24,2,0),"")</f>
        <v>7</v>
      </c>
      <c r="I84" s="44">
        <f t="shared" si="3"/>
        <v>36.75</v>
      </c>
      <c r="J84" s="98"/>
      <c r="K84" s="103"/>
    </row>
    <row r="85" spans="1:15" x14ac:dyDescent="0.3">
      <c r="A85" s="4" t="s">
        <v>189</v>
      </c>
      <c r="B85" s="4" t="s">
        <v>10</v>
      </c>
      <c r="C85" s="75">
        <v>6</v>
      </c>
      <c r="D85" s="90">
        <v>8</v>
      </c>
      <c r="E85" s="51">
        <v>7</v>
      </c>
      <c r="F85" s="4" t="s">
        <v>78</v>
      </c>
      <c r="G85" s="4" t="s">
        <v>109</v>
      </c>
      <c r="H85" s="48">
        <f>IF(G85&gt;0,VLOOKUP(G85,Apoio!$H$2:$I$24,2,0),"")</f>
        <v>8</v>
      </c>
      <c r="I85" s="44">
        <f t="shared" si="3"/>
        <v>42</v>
      </c>
      <c r="J85" s="98"/>
      <c r="K85" s="103"/>
    </row>
    <row r="86" spans="1:15" x14ac:dyDescent="0.3">
      <c r="A86" s="4" t="s">
        <v>189</v>
      </c>
      <c r="B86" s="4" t="s">
        <v>10</v>
      </c>
      <c r="C86" s="75">
        <v>6</v>
      </c>
      <c r="D86" s="90">
        <v>8</v>
      </c>
      <c r="E86" s="51">
        <v>7</v>
      </c>
      <c r="F86" s="4" t="s">
        <v>78</v>
      </c>
      <c r="G86" s="4" t="s">
        <v>112</v>
      </c>
      <c r="H86" s="48">
        <f>IF(G86&gt;0,VLOOKUP(G86,Apoio!$H$2:$I$24,2,0),"")</f>
        <v>8</v>
      </c>
      <c r="I86" s="44">
        <f t="shared" si="3"/>
        <v>42</v>
      </c>
      <c r="J86" s="98"/>
      <c r="K86" s="103"/>
    </row>
    <row r="87" spans="1:15" x14ac:dyDescent="0.3">
      <c r="A87" s="4" t="s">
        <v>189</v>
      </c>
      <c r="B87" s="4" t="s">
        <v>10</v>
      </c>
      <c r="C87" s="75">
        <v>6</v>
      </c>
      <c r="D87" s="90">
        <v>8</v>
      </c>
      <c r="E87" s="51">
        <v>7</v>
      </c>
      <c r="F87" s="4" t="s">
        <v>78</v>
      </c>
      <c r="G87" s="4" t="s">
        <v>115</v>
      </c>
      <c r="H87" s="48">
        <f>IF(G87&gt;0,VLOOKUP(G87,Apoio!$H$2:$I$24,2,0),"")</f>
        <v>7</v>
      </c>
      <c r="I87" s="44">
        <f t="shared" si="3"/>
        <v>36.75</v>
      </c>
      <c r="J87" s="98"/>
      <c r="K87" s="103"/>
    </row>
    <row r="88" spans="1:15" x14ac:dyDescent="0.3">
      <c r="A88" s="4" t="s">
        <v>189</v>
      </c>
      <c r="B88" s="4" t="s">
        <v>10</v>
      </c>
      <c r="C88" s="75">
        <v>6</v>
      </c>
      <c r="D88" s="90">
        <v>8</v>
      </c>
      <c r="E88" s="51">
        <v>7</v>
      </c>
      <c r="F88" s="4" t="s">
        <v>78</v>
      </c>
      <c r="G88" s="4" t="s">
        <v>118</v>
      </c>
      <c r="H88" s="48">
        <f>IF(G88&gt;0,VLOOKUP(G88,Apoio!$H$2:$I$24,2,0),"")</f>
        <v>3</v>
      </c>
      <c r="I88" s="44">
        <f t="shared" si="3"/>
        <v>15.75</v>
      </c>
      <c r="J88" s="98"/>
      <c r="K88" s="103"/>
    </row>
    <row r="89" spans="1:15" x14ac:dyDescent="0.3">
      <c r="A89" s="4" t="s">
        <v>9</v>
      </c>
      <c r="B89" s="4" t="s">
        <v>10</v>
      </c>
      <c r="C89" s="59">
        <v>6</v>
      </c>
      <c r="D89" s="109">
        <v>5</v>
      </c>
      <c r="E89" s="51">
        <v>7</v>
      </c>
      <c r="F89" s="4" t="s">
        <v>85</v>
      </c>
      <c r="G89" s="4" t="s">
        <v>121</v>
      </c>
      <c r="H89" s="48">
        <f>IF(G89&gt;0,VLOOKUP(G89,Apoio!$H$2:$I$24,2,0),"")</f>
        <v>7</v>
      </c>
      <c r="I89" s="44">
        <f t="shared" si="3"/>
        <v>58.8</v>
      </c>
      <c r="J89" s="98"/>
      <c r="K89" s="103"/>
    </row>
    <row r="90" spans="1:15" x14ac:dyDescent="0.3">
      <c r="A90" s="4" t="s">
        <v>9</v>
      </c>
      <c r="B90" s="4" t="s">
        <v>10</v>
      </c>
      <c r="C90" s="64">
        <v>6</v>
      </c>
      <c r="D90" s="109">
        <v>5</v>
      </c>
      <c r="E90" s="51">
        <v>7</v>
      </c>
      <c r="F90" s="4" t="s">
        <v>85</v>
      </c>
      <c r="G90" s="4" t="s">
        <v>124</v>
      </c>
      <c r="H90" s="48">
        <f>IF(G90&gt;0,VLOOKUP(G90,Apoio!$H$2:$I$24,2,0),"")</f>
        <v>8</v>
      </c>
      <c r="I90" s="44">
        <f t="shared" si="3"/>
        <v>67.2</v>
      </c>
      <c r="J90" s="98"/>
      <c r="K90" s="103"/>
      <c r="O90" s="10">
        <f>625-116</f>
        <v>509</v>
      </c>
    </row>
    <row r="91" spans="1:15" x14ac:dyDescent="0.3">
      <c r="A91" s="4" t="s">
        <v>9</v>
      </c>
      <c r="B91" s="4" t="s">
        <v>10</v>
      </c>
      <c r="C91" s="64">
        <v>6</v>
      </c>
      <c r="D91" s="109">
        <v>5</v>
      </c>
      <c r="E91" s="51">
        <v>7</v>
      </c>
      <c r="F91" s="4" t="s">
        <v>85</v>
      </c>
      <c r="G91" s="4" t="s">
        <v>127</v>
      </c>
      <c r="H91" s="48">
        <f>IF(G91&gt;0,VLOOKUP(G91,Apoio!$H$2:$I$24,2,0),"")</f>
        <v>8</v>
      </c>
      <c r="I91" s="44">
        <f t="shared" si="3"/>
        <v>67.2</v>
      </c>
      <c r="J91" s="98"/>
      <c r="K91" s="103"/>
    </row>
    <row r="92" spans="1:15" x14ac:dyDescent="0.3">
      <c r="A92" s="4" t="s">
        <v>9</v>
      </c>
      <c r="B92" s="4" t="s">
        <v>10</v>
      </c>
      <c r="C92" s="64">
        <v>6</v>
      </c>
      <c r="D92" s="96">
        <v>5</v>
      </c>
      <c r="E92" s="51">
        <v>7</v>
      </c>
      <c r="F92" s="4" t="s">
        <v>85</v>
      </c>
      <c r="G92" s="4" t="s">
        <v>130</v>
      </c>
      <c r="H92" s="48">
        <f>IF(G92&gt;0,VLOOKUP(G92,Apoio!$H$2:$I$24,2,0),"")</f>
        <v>13</v>
      </c>
      <c r="I92" s="44">
        <f t="shared" si="3"/>
        <v>109.2</v>
      </c>
      <c r="J92" s="98"/>
      <c r="K92" s="103"/>
    </row>
    <row r="93" spans="1:15" x14ac:dyDescent="0.3">
      <c r="A93" s="4" t="s">
        <v>9</v>
      </c>
      <c r="B93" s="4" t="s">
        <v>10</v>
      </c>
      <c r="C93" s="64">
        <v>6</v>
      </c>
      <c r="D93" s="96">
        <v>5</v>
      </c>
      <c r="E93" s="51">
        <v>7</v>
      </c>
      <c r="F93" s="4" t="s">
        <v>85</v>
      </c>
      <c r="G93" s="4" t="s">
        <v>133</v>
      </c>
      <c r="H93" s="48">
        <f>IF(G93&gt;0,VLOOKUP(G93,Apoio!$H$2:$I$24,2,0),"")</f>
        <v>3</v>
      </c>
      <c r="I93" s="44">
        <f t="shared" si="3"/>
        <v>25.2</v>
      </c>
      <c r="J93" s="98"/>
      <c r="K93" s="103"/>
    </row>
    <row r="94" spans="1:15" x14ac:dyDescent="0.3">
      <c r="A94" s="4" t="s">
        <v>9</v>
      </c>
      <c r="B94" s="4" t="s">
        <v>10</v>
      </c>
      <c r="C94" s="58">
        <v>6</v>
      </c>
      <c r="D94" s="96">
        <v>6</v>
      </c>
      <c r="E94" s="51">
        <v>6</v>
      </c>
      <c r="F94" s="4" t="s">
        <v>92</v>
      </c>
      <c r="G94" s="4" t="s">
        <v>136</v>
      </c>
      <c r="H94" s="48">
        <f>IF(G94&gt;0,VLOOKUP(G94,Apoio!$H$2:$I$24,2,0),"")</f>
        <v>13</v>
      </c>
      <c r="I94" s="44">
        <f t="shared" si="3"/>
        <v>78</v>
      </c>
      <c r="J94" s="98"/>
      <c r="K94" s="103"/>
    </row>
    <row r="95" spans="1:15" x14ac:dyDescent="0.3">
      <c r="A95" s="4" t="s">
        <v>9</v>
      </c>
      <c r="B95" s="4" t="s">
        <v>10</v>
      </c>
      <c r="C95" s="58">
        <v>6</v>
      </c>
      <c r="D95" s="96">
        <v>6</v>
      </c>
      <c r="E95" s="51">
        <v>6</v>
      </c>
      <c r="F95" s="4" t="s">
        <v>92</v>
      </c>
      <c r="G95" s="4" t="s">
        <v>139</v>
      </c>
      <c r="H95" s="48">
        <f>IF(G95&gt;0,VLOOKUP(G95,Apoio!$H$2:$I$24,2,0),"")</f>
        <v>8</v>
      </c>
      <c r="I95" s="44">
        <f t="shared" si="3"/>
        <v>48</v>
      </c>
      <c r="J95" s="98"/>
      <c r="K95" s="103"/>
    </row>
    <row r="96" spans="1:15" x14ac:dyDescent="0.3">
      <c r="A96" s="4" t="s">
        <v>9</v>
      </c>
      <c r="B96" s="4" t="s">
        <v>10</v>
      </c>
      <c r="C96" s="58">
        <v>6</v>
      </c>
      <c r="D96" s="96">
        <v>6</v>
      </c>
      <c r="E96" s="51">
        <v>6</v>
      </c>
      <c r="F96" s="4" t="s">
        <v>92</v>
      </c>
      <c r="G96" s="4" t="s">
        <v>142</v>
      </c>
      <c r="H96" s="48">
        <f>IF(G96&gt;0,VLOOKUP(G96,Apoio!$H$2:$I$24,2,0),"")</f>
        <v>8</v>
      </c>
      <c r="I96" s="44">
        <f t="shared" si="3"/>
        <v>48</v>
      </c>
      <c r="J96" s="98"/>
      <c r="K96" s="103"/>
    </row>
    <row r="97" spans="1:11" x14ac:dyDescent="0.3">
      <c r="A97" s="4" t="s">
        <v>9</v>
      </c>
      <c r="B97" s="4" t="s">
        <v>10</v>
      </c>
      <c r="C97" s="58">
        <v>6</v>
      </c>
      <c r="D97" s="96">
        <v>6</v>
      </c>
      <c r="E97" s="51">
        <v>6</v>
      </c>
      <c r="F97" s="4" t="s">
        <v>92</v>
      </c>
      <c r="G97" s="4" t="s">
        <v>145</v>
      </c>
      <c r="H97" s="48">
        <f>IF(G97&gt;0,VLOOKUP(G97,Apoio!$H$2:$I$24,2,0),"")</f>
        <v>7</v>
      </c>
      <c r="I97" s="44">
        <f t="shared" si="3"/>
        <v>42</v>
      </c>
      <c r="J97" s="98"/>
      <c r="K97" s="103"/>
    </row>
    <row r="98" spans="1:11" x14ac:dyDescent="0.3">
      <c r="A98" s="4" t="s">
        <v>9</v>
      </c>
      <c r="B98" s="4" t="s">
        <v>10</v>
      </c>
      <c r="C98" s="58">
        <v>6</v>
      </c>
      <c r="D98" s="96">
        <v>6</v>
      </c>
      <c r="E98" s="51">
        <v>6</v>
      </c>
      <c r="F98" s="4" t="s">
        <v>92</v>
      </c>
      <c r="G98" s="4" t="s">
        <v>148</v>
      </c>
      <c r="H98" s="48">
        <f>IF(G98&gt;0,VLOOKUP(G98,Apoio!$H$2:$I$24,2,0),"")</f>
        <v>8</v>
      </c>
      <c r="I98" s="44">
        <f t="shared" si="3"/>
        <v>48</v>
      </c>
      <c r="J98" s="98"/>
      <c r="K98" s="103"/>
    </row>
    <row r="99" spans="1:11" x14ac:dyDescent="0.3">
      <c r="A99" s="4" t="s">
        <v>9</v>
      </c>
      <c r="B99" s="4" t="s">
        <v>10</v>
      </c>
      <c r="C99" s="58">
        <v>6</v>
      </c>
      <c r="D99" s="96">
        <v>6</v>
      </c>
      <c r="E99" s="51">
        <v>6</v>
      </c>
      <c r="F99" s="4" t="s">
        <v>92</v>
      </c>
      <c r="G99" s="4" t="s">
        <v>151</v>
      </c>
      <c r="H99" s="48">
        <f>IF(G99&gt;0,VLOOKUP(G99,Apoio!$H$2:$I$24,2,0),"")</f>
        <v>8</v>
      </c>
      <c r="I99" s="44">
        <f t="shared" si="3"/>
        <v>48</v>
      </c>
      <c r="J99" s="98"/>
      <c r="K99" s="103"/>
    </row>
    <row r="100" spans="1:11" x14ac:dyDescent="0.3">
      <c r="A100" s="4" t="s">
        <v>9</v>
      </c>
      <c r="B100" s="4" t="s">
        <v>10</v>
      </c>
      <c r="C100" s="58">
        <v>6</v>
      </c>
      <c r="D100" s="96">
        <v>6</v>
      </c>
      <c r="E100" s="51">
        <v>6</v>
      </c>
      <c r="F100" s="4" t="s">
        <v>92</v>
      </c>
      <c r="G100" s="4" t="s">
        <v>151</v>
      </c>
      <c r="H100" s="48">
        <f>IF(G100&gt;0,VLOOKUP(G100,Apoio!$H$2:$I$24,2,0),"")</f>
        <v>8</v>
      </c>
      <c r="I100" s="44">
        <f t="shared" si="3"/>
        <v>48</v>
      </c>
      <c r="J100" s="98"/>
      <c r="K100" s="103"/>
    </row>
    <row r="101" spans="1:11" x14ac:dyDescent="0.3">
      <c r="A101" s="4" t="s">
        <v>189</v>
      </c>
      <c r="B101" s="4" t="s">
        <v>44</v>
      </c>
      <c r="C101" s="58">
        <v>6</v>
      </c>
      <c r="D101" s="51">
        <v>7</v>
      </c>
      <c r="E101" s="51">
        <v>7</v>
      </c>
      <c r="F101" s="4" t="s">
        <v>71</v>
      </c>
      <c r="G101" s="4" t="s">
        <v>70</v>
      </c>
      <c r="H101" s="48">
        <f>IF(G101&gt;0,VLOOKUP(G101,Apoio!$H$2:$I$24,2,0),"")</f>
        <v>7</v>
      </c>
      <c r="I101" s="44">
        <f t="shared" si="3"/>
        <v>42</v>
      </c>
      <c r="J101" s="98"/>
      <c r="K101" s="103"/>
    </row>
    <row r="102" spans="1:11" x14ac:dyDescent="0.3">
      <c r="A102" s="4" t="s">
        <v>189</v>
      </c>
      <c r="B102" s="4" t="s">
        <v>44</v>
      </c>
      <c r="C102" s="58">
        <v>6</v>
      </c>
      <c r="D102" s="51">
        <v>7</v>
      </c>
      <c r="E102" s="51">
        <v>7</v>
      </c>
      <c r="F102" s="4" t="s">
        <v>71</v>
      </c>
      <c r="G102" s="4" t="s">
        <v>77</v>
      </c>
      <c r="H102" s="48">
        <f>IF(G102&gt;0,VLOOKUP(G102,Apoio!$H$2:$I$24,2,0),"")</f>
        <v>8</v>
      </c>
      <c r="I102" s="44">
        <f t="shared" si="2"/>
        <v>48</v>
      </c>
      <c r="J102" s="98"/>
      <c r="K102" s="103"/>
    </row>
    <row r="103" spans="1:11" x14ac:dyDescent="0.3">
      <c r="A103" s="4" t="s">
        <v>189</v>
      </c>
      <c r="B103" s="4" t="s">
        <v>44</v>
      </c>
      <c r="C103" s="58">
        <v>6</v>
      </c>
      <c r="D103" s="51">
        <v>7</v>
      </c>
      <c r="E103" s="51">
        <v>7</v>
      </c>
      <c r="F103" s="4" t="s">
        <v>71</v>
      </c>
      <c r="G103" s="4" t="s">
        <v>84</v>
      </c>
      <c r="H103" s="48">
        <f>IF(G103&gt;0,VLOOKUP(G103,Apoio!$H$2:$I$24,2,0),"")</f>
        <v>8</v>
      </c>
      <c r="I103" s="44">
        <f t="shared" si="2"/>
        <v>48</v>
      </c>
      <c r="J103" s="98"/>
      <c r="K103" s="103"/>
    </row>
    <row r="104" spans="1:11" x14ac:dyDescent="0.3">
      <c r="A104" s="4" t="s">
        <v>189</v>
      </c>
      <c r="B104" s="4" t="s">
        <v>44</v>
      </c>
      <c r="C104" s="58">
        <v>6</v>
      </c>
      <c r="D104" s="51">
        <v>7</v>
      </c>
      <c r="E104" s="51">
        <v>7</v>
      </c>
      <c r="F104" s="4" t="s">
        <v>71</v>
      </c>
      <c r="G104" s="4" t="s">
        <v>91</v>
      </c>
      <c r="H104" s="48">
        <f>IF(G104&gt;0,VLOOKUP(G104,Apoio!$H$2:$I$24,2,0),"")</f>
        <v>6</v>
      </c>
      <c r="I104" s="44">
        <f t="shared" si="2"/>
        <v>36</v>
      </c>
      <c r="J104" s="98"/>
      <c r="K104" s="103"/>
    </row>
    <row r="105" spans="1:11" x14ac:dyDescent="0.3">
      <c r="A105" s="4" t="s">
        <v>189</v>
      </c>
      <c r="B105" s="4" t="s">
        <v>44</v>
      </c>
      <c r="C105" s="58">
        <v>6</v>
      </c>
      <c r="D105" s="51">
        <v>7</v>
      </c>
      <c r="E105" s="51">
        <v>7</v>
      </c>
      <c r="F105" s="4" t="s">
        <v>71</v>
      </c>
      <c r="G105" s="4" t="s">
        <v>97</v>
      </c>
      <c r="H105" s="48">
        <f>IF(G105&gt;0,VLOOKUP(G105,Apoio!$H$2:$I$24,2,0),"")</f>
        <v>8</v>
      </c>
      <c r="I105" s="44">
        <f t="shared" ref="I105:I112" si="4">IF(D105&gt;0,(((H105*E105)*C105)/D105),"")</f>
        <v>48</v>
      </c>
      <c r="J105" s="98"/>
      <c r="K105" s="103"/>
    </row>
    <row r="106" spans="1:11" x14ac:dyDescent="0.3">
      <c r="A106" s="4" t="s">
        <v>189</v>
      </c>
      <c r="B106" s="4" t="s">
        <v>44</v>
      </c>
      <c r="C106" s="58">
        <v>6</v>
      </c>
      <c r="D106" s="51">
        <v>7</v>
      </c>
      <c r="E106" s="51">
        <v>7</v>
      </c>
      <c r="F106" s="4" t="s">
        <v>71</v>
      </c>
      <c r="G106" s="4" t="s">
        <v>100</v>
      </c>
      <c r="H106" s="48">
        <f>IF(G106&gt;0,VLOOKUP(G106,Apoio!$H$2:$I$24,2,0),"")</f>
        <v>3</v>
      </c>
      <c r="I106" s="44">
        <f t="shared" si="4"/>
        <v>18</v>
      </c>
      <c r="J106" s="98"/>
      <c r="K106" s="103"/>
    </row>
    <row r="107" spans="1:11" x14ac:dyDescent="0.3">
      <c r="A107" s="4" t="s">
        <v>189</v>
      </c>
      <c r="B107" s="4" t="s">
        <v>44</v>
      </c>
      <c r="C107" s="58">
        <v>6</v>
      </c>
      <c r="D107" s="89">
        <v>6</v>
      </c>
      <c r="E107" s="51">
        <v>7</v>
      </c>
      <c r="F107" s="4" t="s">
        <v>78</v>
      </c>
      <c r="G107" s="4" t="s">
        <v>103</v>
      </c>
      <c r="H107" s="48">
        <f>IF(G107&gt;0,VLOOKUP(G107,Apoio!$H$2:$I$24,2,0),"")</f>
        <v>6</v>
      </c>
      <c r="I107" s="44">
        <f t="shared" si="4"/>
        <v>42</v>
      </c>
      <c r="J107" s="98"/>
      <c r="K107" s="103"/>
    </row>
    <row r="108" spans="1:11" x14ac:dyDescent="0.3">
      <c r="A108" s="4" t="s">
        <v>189</v>
      </c>
      <c r="B108" s="4" t="s">
        <v>44</v>
      </c>
      <c r="C108" s="75">
        <v>6</v>
      </c>
      <c r="D108" s="90">
        <v>6</v>
      </c>
      <c r="E108" s="51">
        <v>7</v>
      </c>
      <c r="F108" s="4" t="s">
        <v>78</v>
      </c>
      <c r="G108" s="4" t="s">
        <v>106</v>
      </c>
      <c r="H108" s="48">
        <f>IF(G108&gt;0,VLOOKUP(G108,Apoio!$H$2:$I$24,2,0),"")</f>
        <v>7</v>
      </c>
      <c r="I108" s="44">
        <f t="shared" si="4"/>
        <v>49</v>
      </c>
      <c r="J108" s="98"/>
      <c r="K108" s="103"/>
    </row>
    <row r="109" spans="1:11" x14ac:dyDescent="0.3">
      <c r="A109" s="4" t="s">
        <v>189</v>
      </c>
      <c r="B109" s="4" t="s">
        <v>44</v>
      </c>
      <c r="C109" s="75">
        <v>6</v>
      </c>
      <c r="D109" s="90">
        <v>6</v>
      </c>
      <c r="E109" s="51">
        <v>7</v>
      </c>
      <c r="F109" s="4" t="s">
        <v>78</v>
      </c>
      <c r="G109" s="4" t="s">
        <v>109</v>
      </c>
      <c r="H109" s="48">
        <f>IF(G109&gt;0,VLOOKUP(G109,Apoio!$H$2:$I$24,2,0),"")</f>
        <v>8</v>
      </c>
      <c r="I109" s="44">
        <f t="shared" si="4"/>
        <v>56</v>
      </c>
      <c r="J109" s="98"/>
      <c r="K109" s="103"/>
    </row>
    <row r="110" spans="1:11" x14ac:dyDescent="0.3">
      <c r="A110" s="4" t="s">
        <v>189</v>
      </c>
      <c r="B110" s="4" t="s">
        <v>44</v>
      </c>
      <c r="C110" s="75">
        <v>6</v>
      </c>
      <c r="D110" s="90">
        <v>6</v>
      </c>
      <c r="E110" s="51">
        <v>7</v>
      </c>
      <c r="F110" s="4" t="s">
        <v>78</v>
      </c>
      <c r="G110" s="4" t="s">
        <v>112</v>
      </c>
      <c r="H110" s="48">
        <f>IF(G110&gt;0,VLOOKUP(G110,Apoio!$H$2:$I$24,2,0),"")</f>
        <v>8</v>
      </c>
      <c r="I110" s="44">
        <f t="shared" si="4"/>
        <v>56</v>
      </c>
      <c r="J110" s="98"/>
      <c r="K110" s="103"/>
    </row>
    <row r="111" spans="1:11" x14ac:dyDescent="0.3">
      <c r="A111" s="4" t="s">
        <v>189</v>
      </c>
      <c r="B111" s="4" t="s">
        <v>44</v>
      </c>
      <c r="C111" s="75">
        <v>6</v>
      </c>
      <c r="D111" s="90">
        <v>6</v>
      </c>
      <c r="E111" s="51">
        <v>7</v>
      </c>
      <c r="F111" s="4" t="s">
        <v>78</v>
      </c>
      <c r="G111" s="4" t="s">
        <v>115</v>
      </c>
      <c r="H111" s="48">
        <f>IF(G111&gt;0,VLOOKUP(G111,Apoio!$H$2:$I$24,2,0),"")</f>
        <v>7</v>
      </c>
      <c r="I111" s="44">
        <f t="shared" si="4"/>
        <v>49</v>
      </c>
      <c r="J111" s="98"/>
      <c r="K111" s="103"/>
    </row>
    <row r="112" spans="1:11" x14ac:dyDescent="0.3">
      <c r="A112" s="4" t="s">
        <v>189</v>
      </c>
      <c r="B112" s="4" t="s">
        <v>44</v>
      </c>
      <c r="C112" s="75">
        <v>6</v>
      </c>
      <c r="D112" s="90">
        <v>6</v>
      </c>
      <c r="E112" s="51">
        <v>7</v>
      </c>
      <c r="F112" s="4" t="s">
        <v>78</v>
      </c>
      <c r="G112" s="4" t="s">
        <v>118</v>
      </c>
      <c r="H112" s="48">
        <f>IF(G112&gt;0,VLOOKUP(G112,Apoio!$H$2:$I$24,2,0),"")</f>
        <v>3</v>
      </c>
      <c r="I112" s="44">
        <f t="shared" si="4"/>
        <v>21</v>
      </c>
      <c r="J112" s="98"/>
      <c r="K112" s="103"/>
    </row>
    <row r="113" spans="1:13" x14ac:dyDescent="0.3">
      <c r="A113" s="4" t="s">
        <v>43</v>
      </c>
      <c r="B113" s="4" t="s">
        <v>44</v>
      </c>
      <c r="C113" s="59">
        <v>6</v>
      </c>
      <c r="D113" s="96">
        <v>4.4000000000000004</v>
      </c>
      <c r="E113" s="51">
        <v>7</v>
      </c>
      <c r="F113" s="4" t="s">
        <v>85</v>
      </c>
      <c r="G113" s="4" t="s">
        <v>121</v>
      </c>
      <c r="H113" s="48">
        <f>IF(G113&gt;0,VLOOKUP(G113,Apoio!$H$2:$I$24,2,0),"")</f>
        <v>7</v>
      </c>
      <c r="I113" s="44">
        <f t="shared" ref="I113:I123" si="5">IF(D113&gt;0,(((H113*E113)*C113)/D113),"")</f>
        <v>66.818181818181813</v>
      </c>
      <c r="J113" s="98"/>
      <c r="K113" s="103"/>
    </row>
    <row r="114" spans="1:13" x14ac:dyDescent="0.3">
      <c r="A114" s="4" t="s">
        <v>43</v>
      </c>
      <c r="B114" s="4" t="s">
        <v>44</v>
      </c>
      <c r="C114" s="64">
        <v>6</v>
      </c>
      <c r="D114" s="96">
        <v>4.4000000000000004</v>
      </c>
      <c r="E114" s="51">
        <v>7</v>
      </c>
      <c r="F114" s="4" t="s">
        <v>85</v>
      </c>
      <c r="G114" s="4" t="s">
        <v>124</v>
      </c>
      <c r="H114" s="48">
        <f>IF(G114&gt;0,VLOOKUP(G114,Apoio!$H$2:$I$24,2,0),"")</f>
        <v>8</v>
      </c>
      <c r="I114" s="44">
        <f t="shared" si="5"/>
        <v>76.36363636363636</v>
      </c>
      <c r="J114" s="98"/>
      <c r="K114" s="103"/>
    </row>
    <row r="115" spans="1:13" x14ac:dyDescent="0.3">
      <c r="A115" s="4" t="s">
        <v>43</v>
      </c>
      <c r="B115" s="4" t="s">
        <v>44</v>
      </c>
      <c r="C115" s="64">
        <v>6</v>
      </c>
      <c r="D115" s="96">
        <v>4.4000000000000004</v>
      </c>
      <c r="E115" s="51">
        <v>7</v>
      </c>
      <c r="F115" s="4" t="s">
        <v>85</v>
      </c>
      <c r="G115" s="4" t="s">
        <v>127</v>
      </c>
      <c r="H115" s="48">
        <f>IF(G115&gt;0,VLOOKUP(G115,Apoio!$H$2:$I$24,2,0),"")</f>
        <v>8</v>
      </c>
      <c r="I115" s="44">
        <f t="shared" si="5"/>
        <v>76.36363636363636</v>
      </c>
      <c r="J115" s="98"/>
      <c r="K115" s="103"/>
      <c r="L115" s="111" t="s">
        <v>218</v>
      </c>
      <c r="M115" s="10" t="s">
        <v>219</v>
      </c>
    </row>
    <row r="116" spans="1:13" x14ac:dyDescent="0.3">
      <c r="A116" s="4" t="s">
        <v>43</v>
      </c>
      <c r="B116" s="4" t="s">
        <v>44</v>
      </c>
      <c r="C116" s="64">
        <v>6</v>
      </c>
      <c r="D116" s="96">
        <v>4.4000000000000004</v>
      </c>
      <c r="E116" s="51">
        <v>7</v>
      </c>
      <c r="F116" s="4" t="s">
        <v>85</v>
      </c>
      <c r="G116" s="4" t="s">
        <v>130</v>
      </c>
      <c r="H116" s="48">
        <f>IF(G116&gt;0,VLOOKUP(G116,Apoio!$H$2:$I$24,2,0),"")</f>
        <v>13</v>
      </c>
      <c r="I116" s="44">
        <f t="shared" si="5"/>
        <v>124.09090909090908</v>
      </c>
      <c r="J116" s="98"/>
      <c r="K116" s="103"/>
    </row>
    <row r="117" spans="1:13" x14ac:dyDescent="0.3">
      <c r="A117" s="4" t="s">
        <v>43</v>
      </c>
      <c r="B117" s="4" t="s">
        <v>44</v>
      </c>
      <c r="C117" s="64">
        <v>6</v>
      </c>
      <c r="D117" s="96">
        <v>4.4000000000000004</v>
      </c>
      <c r="E117" s="51">
        <v>7</v>
      </c>
      <c r="F117" s="4" t="s">
        <v>85</v>
      </c>
      <c r="G117" s="4" t="s">
        <v>133</v>
      </c>
      <c r="H117" s="48">
        <f>IF(G117&gt;0,VLOOKUP(G117,Apoio!$H$2:$I$24,2,0),"")</f>
        <v>3</v>
      </c>
      <c r="I117" s="44">
        <f t="shared" si="5"/>
        <v>28.636363636363633</v>
      </c>
      <c r="J117" s="98"/>
      <c r="K117" s="103"/>
    </row>
    <row r="118" spans="1:13" x14ac:dyDescent="0.3">
      <c r="A118" s="4" t="s">
        <v>43</v>
      </c>
      <c r="B118" s="4" t="s">
        <v>44</v>
      </c>
      <c r="C118" s="58">
        <v>4</v>
      </c>
      <c r="D118" s="109">
        <v>4.4000000000000004</v>
      </c>
      <c r="E118" s="51">
        <v>6</v>
      </c>
      <c r="F118" s="4" t="s">
        <v>92</v>
      </c>
      <c r="G118" s="4" t="s">
        <v>136</v>
      </c>
      <c r="H118" s="48">
        <f>IF(G118&gt;0,VLOOKUP(G118,Apoio!$H$2:$I$24,2,0),"")</f>
        <v>13</v>
      </c>
      <c r="I118" s="44">
        <f t="shared" si="5"/>
        <v>70.909090909090907</v>
      </c>
      <c r="J118" s="98"/>
      <c r="K118" s="103"/>
    </row>
    <row r="119" spans="1:13" x14ac:dyDescent="0.3">
      <c r="A119" s="4" t="s">
        <v>43</v>
      </c>
      <c r="B119" s="4" t="s">
        <v>44</v>
      </c>
      <c r="C119" s="58">
        <v>4</v>
      </c>
      <c r="D119" s="109">
        <v>4.4000000000000004</v>
      </c>
      <c r="E119" s="51">
        <v>6</v>
      </c>
      <c r="F119" s="4" t="s">
        <v>92</v>
      </c>
      <c r="G119" s="4" t="s">
        <v>139</v>
      </c>
      <c r="H119" s="48">
        <f>IF(G119&gt;0,VLOOKUP(G119,Apoio!$H$2:$I$24,2,0),"")</f>
        <v>8</v>
      </c>
      <c r="I119" s="44">
        <f t="shared" si="5"/>
        <v>43.636363636363633</v>
      </c>
      <c r="J119" s="98"/>
      <c r="K119" s="103"/>
    </row>
    <row r="120" spans="1:13" x14ac:dyDescent="0.3">
      <c r="A120" s="4" t="s">
        <v>43</v>
      </c>
      <c r="B120" s="4" t="s">
        <v>44</v>
      </c>
      <c r="C120" s="58">
        <v>4</v>
      </c>
      <c r="D120" s="109">
        <v>4.4000000000000004</v>
      </c>
      <c r="E120" s="51">
        <v>6</v>
      </c>
      <c r="F120" s="4" t="s">
        <v>92</v>
      </c>
      <c r="G120" s="4" t="s">
        <v>142</v>
      </c>
      <c r="H120" s="48">
        <f>IF(G120&gt;0,VLOOKUP(G120,Apoio!$H$2:$I$24,2,0),"")</f>
        <v>8</v>
      </c>
      <c r="I120" s="44">
        <f t="shared" si="5"/>
        <v>43.636363636363633</v>
      </c>
      <c r="J120" s="98"/>
      <c r="K120" s="103"/>
    </row>
    <row r="121" spans="1:13" x14ac:dyDescent="0.3">
      <c r="A121" s="4" t="s">
        <v>43</v>
      </c>
      <c r="B121" s="4" t="s">
        <v>44</v>
      </c>
      <c r="C121" s="58">
        <v>4</v>
      </c>
      <c r="D121" s="109">
        <v>4.4000000000000004</v>
      </c>
      <c r="E121" s="51">
        <v>6</v>
      </c>
      <c r="F121" s="4" t="s">
        <v>92</v>
      </c>
      <c r="G121" s="4" t="s">
        <v>145</v>
      </c>
      <c r="H121" s="48">
        <f>IF(G121&gt;0,VLOOKUP(G121,Apoio!$H$2:$I$24,2,0),"")</f>
        <v>7</v>
      </c>
      <c r="I121" s="44">
        <f t="shared" si="5"/>
        <v>38.18181818181818</v>
      </c>
      <c r="J121" s="98"/>
      <c r="K121" s="103"/>
    </row>
    <row r="122" spans="1:13" x14ac:dyDescent="0.3">
      <c r="A122" s="4" t="s">
        <v>43</v>
      </c>
      <c r="B122" s="4" t="s">
        <v>44</v>
      </c>
      <c r="C122" s="58">
        <v>4</v>
      </c>
      <c r="D122" s="109">
        <v>4.4000000000000004</v>
      </c>
      <c r="E122" s="51">
        <v>6</v>
      </c>
      <c r="F122" s="4" t="s">
        <v>92</v>
      </c>
      <c r="G122" s="4" t="s">
        <v>148</v>
      </c>
      <c r="H122" s="48">
        <f>IF(G122&gt;0,VLOOKUP(G122,Apoio!$H$2:$I$24,2,0),"")</f>
        <v>8</v>
      </c>
      <c r="I122" s="44">
        <f t="shared" si="5"/>
        <v>43.636363636363633</v>
      </c>
      <c r="J122" s="98"/>
      <c r="K122" s="103"/>
    </row>
    <row r="123" spans="1:13" x14ac:dyDescent="0.3">
      <c r="A123" s="4" t="s">
        <v>43</v>
      </c>
      <c r="B123" s="4" t="s">
        <v>44</v>
      </c>
      <c r="C123" s="58">
        <v>4</v>
      </c>
      <c r="D123" s="109">
        <v>4.4000000000000004</v>
      </c>
      <c r="E123" s="51">
        <v>6</v>
      </c>
      <c r="F123" s="4" t="s">
        <v>92</v>
      </c>
      <c r="G123" s="4" t="s">
        <v>151</v>
      </c>
      <c r="H123" s="48">
        <f>IF(G123&gt;0,VLOOKUP(G123,Apoio!$H$2:$I$24,2,0),"")</f>
        <v>8</v>
      </c>
      <c r="I123" s="44">
        <f t="shared" si="5"/>
        <v>43.636363636363633</v>
      </c>
      <c r="J123" s="98"/>
      <c r="K123" s="103"/>
    </row>
    <row r="124" spans="1:13" x14ac:dyDescent="0.3">
      <c r="A124" s="4" t="s">
        <v>189</v>
      </c>
      <c r="B124" s="4" t="s">
        <v>45</v>
      </c>
      <c r="C124" s="58">
        <v>6</v>
      </c>
      <c r="D124" s="51">
        <v>7</v>
      </c>
      <c r="E124" s="51">
        <v>7</v>
      </c>
      <c r="F124" s="4" t="s">
        <v>71</v>
      </c>
      <c r="G124" s="4" t="s">
        <v>70</v>
      </c>
      <c r="H124" s="48">
        <f>IF(G124&gt;0,VLOOKUP(G124,Apoio!$H$2:$I$24,2,0),"")</f>
        <v>7</v>
      </c>
      <c r="I124" s="44">
        <f t="shared" ref="I124:I169" si="6">IF(D124&gt;0,(((H124*E124)*C124)/D124),"")</f>
        <v>42</v>
      </c>
      <c r="J124" s="98"/>
      <c r="K124" s="103"/>
    </row>
    <row r="125" spans="1:13" x14ac:dyDescent="0.3">
      <c r="A125" s="4" t="s">
        <v>189</v>
      </c>
      <c r="B125" s="4" t="s">
        <v>45</v>
      </c>
      <c r="C125" s="58">
        <v>6</v>
      </c>
      <c r="D125" s="51">
        <v>7</v>
      </c>
      <c r="E125" s="51">
        <v>7</v>
      </c>
      <c r="F125" s="4" t="s">
        <v>71</v>
      </c>
      <c r="G125" s="4" t="s">
        <v>77</v>
      </c>
      <c r="H125" s="48">
        <f>IF(G125&gt;0,VLOOKUP(G125,Apoio!$H$2:$I$24,2,0),"")</f>
        <v>8</v>
      </c>
      <c r="I125" s="44">
        <f t="shared" si="6"/>
        <v>48</v>
      </c>
      <c r="J125" s="98"/>
      <c r="K125" s="103"/>
    </row>
    <row r="126" spans="1:13" x14ac:dyDescent="0.3">
      <c r="A126" s="4" t="s">
        <v>189</v>
      </c>
      <c r="B126" s="4" t="s">
        <v>45</v>
      </c>
      <c r="C126" s="58">
        <v>6</v>
      </c>
      <c r="D126" s="51">
        <v>7</v>
      </c>
      <c r="E126" s="51">
        <v>7</v>
      </c>
      <c r="F126" s="4" t="s">
        <v>71</v>
      </c>
      <c r="G126" s="4" t="s">
        <v>84</v>
      </c>
      <c r="H126" s="48">
        <f>IF(G126&gt;0,VLOOKUP(G126,Apoio!$H$2:$I$24,2,0),"")</f>
        <v>8</v>
      </c>
      <c r="I126" s="44">
        <f t="shared" si="6"/>
        <v>48</v>
      </c>
      <c r="J126" s="98"/>
      <c r="K126" s="103"/>
    </row>
    <row r="127" spans="1:13" x14ac:dyDescent="0.3">
      <c r="A127" s="4" t="s">
        <v>189</v>
      </c>
      <c r="B127" s="4" t="s">
        <v>45</v>
      </c>
      <c r="C127" s="58">
        <v>6</v>
      </c>
      <c r="D127" s="51">
        <v>7</v>
      </c>
      <c r="E127" s="51">
        <v>7</v>
      </c>
      <c r="F127" s="4" t="s">
        <v>71</v>
      </c>
      <c r="G127" s="4" t="s">
        <v>91</v>
      </c>
      <c r="H127" s="48">
        <f>IF(G127&gt;0,VLOOKUP(G127,Apoio!$H$2:$I$24,2,0),"")</f>
        <v>6</v>
      </c>
      <c r="I127" s="44">
        <f t="shared" si="6"/>
        <v>36</v>
      </c>
      <c r="J127" s="98"/>
      <c r="K127" s="103"/>
    </row>
    <row r="128" spans="1:13" x14ac:dyDescent="0.3">
      <c r="A128" s="4" t="s">
        <v>189</v>
      </c>
      <c r="B128" s="4" t="s">
        <v>45</v>
      </c>
      <c r="C128" s="58">
        <v>6</v>
      </c>
      <c r="D128" s="51">
        <v>7</v>
      </c>
      <c r="E128" s="51">
        <v>7</v>
      </c>
      <c r="F128" s="4" t="s">
        <v>71</v>
      </c>
      <c r="G128" s="4" t="s">
        <v>97</v>
      </c>
      <c r="H128" s="48">
        <f>IF(G128&gt;0,VLOOKUP(G128,Apoio!$H$2:$I$24,2,0),"")</f>
        <v>8</v>
      </c>
      <c r="I128" s="44">
        <f t="shared" si="6"/>
        <v>48</v>
      </c>
      <c r="J128" s="98"/>
      <c r="K128" s="103"/>
    </row>
    <row r="129" spans="1:11" x14ac:dyDescent="0.3">
      <c r="A129" s="4" t="s">
        <v>189</v>
      </c>
      <c r="B129" s="4" t="s">
        <v>45</v>
      </c>
      <c r="C129" s="58">
        <v>6</v>
      </c>
      <c r="D129" s="51">
        <v>7</v>
      </c>
      <c r="E129" s="51">
        <v>7</v>
      </c>
      <c r="F129" s="4" t="s">
        <v>71</v>
      </c>
      <c r="G129" s="4" t="s">
        <v>100</v>
      </c>
      <c r="H129" s="48">
        <f>IF(G129&gt;0,VLOOKUP(G129,Apoio!$H$2:$I$24,2,0),"")</f>
        <v>3</v>
      </c>
      <c r="I129" s="44">
        <f t="shared" si="6"/>
        <v>18</v>
      </c>
      <c r="J129" s="98"/>
      <c r="K129" s="103"/>
    </row>
    <row r="130" spans="1:11" x14ac:dyDescent="0.3">
      <c r="A130" s="4" t="s">
        <v>189</v>
      </c>
      <c r="B130" s="4" t="s">
        <v>45</v>
      </c>
      <c r="C130" s="58">
        <v>6</v>
      </c>
      <c r="D130" s="89">
        <v>5</v>
      </c>
      <c r="E130" s="51">
        <v>7</v>
      </c>
      <c r="F130" s="4" t="s">
        <v>78</v>
      </c>
      <c r="G130" s="4" t="s">
        <v>103</v>
      </c>
      <c r="H130" s="48">
        <f>IF(G130&gt;0,VLOOKUP(G130,Apoio!$H$2:$I$24,2,0),"")</f>
        <v>6</v>
      </c>
      <c r="I130" s="44">
        <f t="shared" si="6"/>
        <v>50.4</v>
      </c>
      <c r="J130" s="98"/>
      <c r="K130" s="103"/>
    </row>
    <row r="131" spans="1:11" x14ac:dyDescent="0.3">
      <c r="A131" s="4" t="s">
        <v>189</v>
      </c>
      <c r="B131" s="4" t="s">
        <v>45</v>
      </c>
      <c r="C131" s="75">
        <v>6</v>
      </c>
      <c r="D131" s="90">
        <v>5</v>
      </c>
      <c r="E131" s="51">
        <v>7</v>
      </c>
      <c r="F131" s="4" t="s">
        <v>78</v>
      </c>
      <c r="G131" s="4" t="s">
        <v>106</v>
      </c>
      <c r="H131" s="48">
        <f>IF(G131&gt;0,VLOOKUP(G131,Apoio!$H$2:$I$24,2,0),"")</f>
        <v>7</v>
      </c>
      <c r="I131" s="44">
        <f t="shared" si="6"/>
        <v>58.8</v>
      </c>
      <c r="J131" s="98"/>
      <c r="K131" s="103"/>
    </row>
    <row r="132" spans="1:11" x14ac:dyDescent="0.3">
      <c r="A132" s="4" t="s">
        <v>189</v>
      </c>
      <c r="B132" s="4" t="s">
        <v>45</v>
      </c>
      <c r="C132" s="75">
        <v>6</v>
      </c>
      <c r="D132" s="90">
        <v>5</v>
      </c>
      <c r="E132" s="51">
        <v>7</v>
      </c>
      <c r="F132" s="4" t="s">
        <v>78</v>
      </c>
      <c r="G132" s="4" t="s">
        <v>109</v>
      </c>
      <c r="H132" s="48">
        <f>IF(G132&gt;0,VLOOKUP(G132,Apoio!$H$2:$I$24,2,0),"")</f>
        <v>8</v>
      </c>
      <c r="I132" s="44">
        <f t="shared" si="6"/>
        <v>67.2</v>
      </c>
      <c r="J132" s="98"/>
      <c r="K132" s="103"/>
    </row>
    <row r="133" spans="1:11" x14ac:dyDescent="0.3">
      <c r="A133" s="4" t="s">
        <v>189</v>
      </c>
      <c r="B133" s="4" t="s">
        <v>45</v>
      </c>
      <c r="C133" s="75">
        <v>6</v>
      </c>
      <c r="D133" s="90">
        <v>5</v>
      </c>
      <c r="E133" s="51">
        <v>7</v>
      </c>
      <c r="F133" s="4" t="s">
        <v>78</v>
      </c>
      <c r="G133" s="4" t="s">
        <v>112</v>
      </c>
      <c r="H133" s="48">
        <f>IF(G133&gt;0,VLOOKUP(G133,Apoio!$H$2:$I$24,2,0),"")</f>
        <v>8</v>
      </c>
      <c r="I133" s="44">
        <f t="shared" si="6"/>
        <v>67.2</v>
      </c>
      <c r="J133" s="98"/>
      <c r="K133" s="103"/>
    </row>
    <row r="134" spans="1:11" x14ac:dyDescent="0.3">
      <c r="A134" s="4" t="s">
        <v>189</v>
      </c>
      <c r="B134" s="4" t="s">
        <v>45</v>
      </c>
      <c r="C134" s="75">
        <v>6</v>
      </c>
      <c r="D134" s="90">
        <v>5</v>
      </c>
      <c r="E134" s="51">
        <v>7</v>
      </c>
      <c r="F134" s="4" t="s">
        <v>78</v>
      </c>
      <c r="G134" s="4" t="s">
        <v>115</v>
      </c>
      <c r="H134" s="48">
        <f>IF(G134&gt;0,VLOOKUP(G134,Apoio!$H$2:$I$24,2,0),"")</f>
        <v>7</v>
      </c>
      <c r="I134" s="44">
        <f t="shared" si="6"/>
        <v>58.8</v>
      </c>
      <c r="J134" s="98"/>
      <c r="K134" s="103"/>
    </row>
    <row r="135" spans="1:11" x14ac:dyDescent="0.3">
      <c r="A135" s="4" t="s">
        <v>189</v>
      </c>
      <c r="B135" s="4" t="s">
        <v>45</v>
      </c>
      <c r="C135" s="75">
        <v>6</v>
      </c>
      <c r="D135" s="90">
        <v>5</v>
      </c>
      <c r="E135" s="51">
        <v>7</v>
      </c>
      <c r="F135" s="4" t="s">
        <v>78</v>
      </c>
      <c r="G135" s="4" t="s">
        <v>118</v>
      </c>
      <c r="H135" s="48">
        <f>IF(G135&gt;0,VLOOKUP(G135,Apoio!$H$2:$I$24,2,0),"")</f>
        <v>3</v>
      </c>
      <c r="I135" s="44">
        <f t="shared" si="6"/>
        <v>25.2</v>
      </c>
      <c r="J135" s="98"/>
      <c r="K135" s="103"/>
    </row>
    <row r="136" spans="1:11" x14ac:dyDescent="0.3">
      <c r="A136" s="4" t="s">
        <v>43</v>
      </c>
      <c r="B136" s="4" t="s">
        <v>45</v>
      </c>
      <c r="C136" s="59">
        <v>7</v>
      </c>
      <c r="D136" s="96">
        <v>6</v>
      </c>
      <c r="E136" s="51">
        <v>7</v>
      </c>
      <c r="F136" s="4" t="s">
        <v>85</v>
      </c>
      <c r="G136" s="4" t="s">
        <v>121</v>
      </c>
      <c r="H136" s="48">
        <f>IF(G136&gt;0,VLOOKUP(G136,Apoio!$H$2:$I$24,2,0),"")</f>
        <v>7</v>
      </c>
      <c r="I136" s="44">
        <f t="shared" si="6"/>
        <v>57.166666666666664</v>
      </c>
      <c r="J136" s="98"/>
      <c r="K136" s="103"/>
    </row>
    <row r="137" spans="1:11" x14ac:dyDescent="0.3">
      <c r="A137" s="4" t="s">
        <v>43</v>
      </c>
      <c r="B137" s="4" t="s">
        <v>45</v>
      </c>
      <c r="C137" s="64">
        <v>7</v>
      </c>
      <c r="D137" s="96">
        <v>6</v>
      </c>
      <c r="E137" s="51">
        <v>7</v>
      </c>
      <c r="F137" s="4" t="s">
        <v>85</v>
      </c>
      <c r="G137" s="4" t="s">
        <v>124</v>
      </c>
      <c r="H137" s="48">
        <f>IF(G137&gt;0,VLOOKUP(G137,Apoio!$H$2:$I$24,2,0),"")</f>
        <v>8</v>
      </c>
      <c r="I137" s="44">
        <f t="shared" si="6"/>
        <v>65.333333333333329</v>
      </c>
      <c r="J137" s="98"/>
      <c r="K137" s="103"/>
    </row>
    <row r="138" spans="1:11" x14ac:dyDescent="0.3">
      <c r="A138" s="4" t="s">
        <v>43</v>
      </c>
      <c r="B138" s="4" t="s">
        <v>45</v>
      </c>
      <c r="C138" s="64">
        <v>7</v>
      </c>
      <c r="D138" s="96">
        <v>6</v>
      </c>
      <c r="E138" s="51">
        <v>7</v>
      </c>
      <c r="F138" s="4" t="s">
        <v>85</v>
      </c>
      <c r="G138" s="4" t="s">
        <v>127</v>
      </c>
      <c r="H138" s="48">
        <f>IF(G138&gt;0,VLOOKUP(G138,Apoio!$H$2:$I$24,2,0),"")</f>
        <v>8</v>
      </c>
      <c r="I138" s="44">
        <f t="shared" si="6"/>
        <v>65.333333333333329</v>
      </c>
      <c r="J138" s="98"/>
      <c r="K138" s="103"/>
    </row>
    <row r="139" spans="1:11" x14ac:dyDescent="0.3">
      <c r="A139" s="4" t="s">
        <v>43</v>
      </c>
      <c r="B139" s="4" t="s">
        <v>45</v>
      </c>
      <c r="C139" s="64">
        <v>7</v>
      </c>
      <c r="D139" s="96">
        <v>6</v>
      </c>
      <c r="E139" s="51">
        <v>7</v>
      </c>
      <c r="F139" s="4" t="s">
        <v>85</v>
      </c>
      <c r="G139" s="4" t="s">
        <v>130</v>
      </c>
      <c r="H139" s="48">
        <f>IF(G139&gt;0,VLOOKUP(G139,Apoio!$H$2:$I$24,2,0),"")</f>
        <v>13</v>
      </c>
      <c r="I139" s="44">
        <f t="shared" si="6"/>
        <v>106.16666666666667</v>
      </c>
      <c r="J139" s="98"/>
      <c r="K139" s="103"/>
    </row>
    <row r="140" spans="1:11" x14ac:dyDescent="0.3">
      <c r="A140" s="4" t="s">
        <v>43</v>
      </c>
      <c r="B140" s="4" t="s">
        <v>45</v>
      </c>
      <c r="C140" s="64">
        <v>7</v>
      </c>
      <c r="D140" s="96">
        <v>6</v>
      </c>
      <c r="E140" s="51">
        <v>7</v>
      </c>
      <c r="F140" s="4" t="s">
        <v>85</v>
      </c>
      <c r="G140" s="4" t="s">
        <v>133</v>
      </c>
      <c r="H140" s="48">
        <f>IF(G140&gt;0,VLOOKUP(G140,Apoio!$H$2:$I$24,2,0),"")</f>
        <v>3</v>
      </c>
      <c r="I140" s="44">
        <f t="shared" si="6"/>
        <v>24.5</v>
      </c>
      <c r="J140" s="98"/>
      <c r="K140" s="103"/>
    </row>
    <row r="141" spans="1:11" x14ac:dyDescent="0.3">
      <c r="A141" s="4" t="s">
        <v>43</v>
      </c>
      <c r="B141" s="4" t="s">
        <v>45</v>
      </c>
      <c r="C141" s="64">
        <v>8</v>
      </c>
      <c r="D141" s="109">
        <v>4</v>
      </c>
      <c r="E141" s="51">
        <v>6</v>
      </c>
      <c r="F141" s="4" t="s">
        <v>92</v>
      </c>
      <c r="G141" s="4" t="s">
        <v>136</v>
      </c>
      <c r="H141" s="48">
        <f>IF(G141&gt;0,VLOOKUP(G141,Apoio!$H$2:$I$24,2,0),"")</f>
        <v>13</v>
      </c>
      <c r="I141" s="44">
        <f t="shared" si="6"/>
        <v>156</v>
      </c>
      <c r="J141" s="98"/>
      <c r="K141" s="103"/>
    </row>
    <row r="142" spans="1:11" x14ac:dyDescent="0.3">
      <c r="A142" s="4" t="s">
        <v>43</v>
      </c>
      <c r="B142" s="4" t="s">
        <v>45</v>
      </c>
      <c r="C142" s="64">
        <v>8</v>
      </c>
      <c r="D142" s="109">
        <v>4</v>
      </c>
      <c r="E142" s="51">
        <v>6</v>
      </c>
      <c r="F142" s="4" t="s">
        <v>92</v>
      </c>
      <c r="G142" s="4" t="s">
        <v>139</v>
      </c>
      <c r="H142" s="48">
        <f>IF(G142&gt;0,VLOOKUP(G142,Apoio!$H$2:$I$24,2,0),"")</f>
        <v>8</v>
      </c>
      <c r="I142" s="44">
        <f t="shared" si="6"/>
        <v>96</v>
      </c>
      <c r="J142" s="98"/>
      <c r="K142" s="103"/>
    </row>
    <row r="143" spans="1:11" x14ac:dyDescent="0.3">
      <c r="A143" s="4" t="s">
        <v>43</v>
      </c>
      <c r="B143" s="4" t="s">
        <v>45</v>
      </c>
      <c r="C143" s="64">
        <v>8</v>
      </c>
      <c r="D143" s="109">
        <v>4</v>
      </c>
      <c r="E143" s="51">
        <v>6</v>
      </c>
      <c r="F143" s="4" t="s">
        <v>92</v>
      </c>
      <c r="G143" s="4" t="s">
        <v>142</v>
      </c>
      <c r="H143" s="48">
        <f>IF(G143&gt;0,VLOOKUP(G143,Apoio!$H$2:$I$24,2,0),"")</f>
        <v>8</v>
      </c>
      <c r="I143" s="44">
        <f t="shared" si="6"/>
        <v>96</v>
      </c>
      <c r="J143" s="98"/>
      <c r="K143" s="103"/>
    </row>
    <row r="144" spans="1:11" x14ac:dyDescent="0.3">
      <c r="A144" s="4" t="s">
        <v>43</v>
      </c>
      <c r="B144" s="4" t="s">
        <v>45</v>
      </c>
      <c r="C144" s="64">
        <v>8</v>
      </c>
      <c r="D144" s="109">
        <v>4</v>
      </c>
      <c r="E144" s="51">
        <v>6</v>
      </c>
      <c r="F144" s="4" t="s">
        <v>92</v>
      </c>
      <c r="G144" s="4" t="s">
        <v>145</v>
      </c>
      <c r="H144" s="48">
        <f>IF(G144&gt;0,VLOOKUP(G144,Apoio!$H$2:$I$24,2,0),"")</f>
        <v>7</v>
      </c>
      <c r="I144" s="44">
        <f t="shared" si="6"/>
        <v>84</v>
      </c>
      <c r="J144" s="98"/>
      <c r="K144" s="103"/>
    </row>
    <row r="145" spans="1:11" x14ac:dyDescent="0.3">
      <c r="A145" s="4" t="s">
        <v>43</v>
      </c>
      <c r="B145" s="4" t="s">
        <v>45</v>
      </c>
      <c r="C145" s="64">
        <v>8</v>
      </c>
      <c r="D145" s="109">
        <v>4</v>
      </c>
      <c r="E145" s="51">
        <v>6</v>
      </c>
      <c r="F145" s="4" t="s">
        <v>92</v>
      </c>
      <c r="G145" s="4" t="s">
        <v>148</v>
      </c>
      <c r="H145" s="48">
        <f>IF(G145&gt;0,VLOOKUP(G145,Apoio!$H$2:$I$24,2,0),"")</f>
        <v>8</v>
      </c>
      <c r="I145" s="44">
        <f t="shared" si="6"/>
        <v>96</v>
      </c>
      <c r="J145" s="98"/>
      <c r="K145" s="103"/>
    </row>
    <row r="146" spans="1:11" x14ac:dyDescent="0.3">
      <c r="A146" s="4" t="s">
        <v>43</v>
      </c>
      <c r="B146" s="4" t="s">
        <v>45</v>
      </c>
      <c r="C146" s="64">
        <v>8</v>
      </c>
      <c r="D146" s="109">
        <v>4</v>
      </c>
      <c r="E146" s="51">
        <v>6</v>
      </c>
      <c r="F146" s="4" t="s">
        <v>92</v>
      </c>
      <c r="G146" s="4" t="s">
        <v>151</v>
      </c>
      <c r="H146" s="48">
        <f>IF(G146&gt;0,VLOOKUP(G146,Apoio!$H$2:$I$24,2,0),"")</f>
        <v>8</v>
      </c>
      <c r="I146" s="44">
        <f t="shared" si="6"/>
        <v>96</v>
      </c>
      <c r="J146" s="98"/>
      <c r="K146" s="103"/>
    </row>
    <row r="147" spans="1:11" x14ac:dyDescent="0.3">
      <c r="A147" s="4" t="s">
        <v>189</v>
      </c>
      <c r="B147" s="4" t="s">
        <v>46</v>
      </c>
      <c r="C147" s="58">
        <v>6</v>
      </c>
      <c r="D147" s="51">
        <v>7</v>
      </c>
      <c r="E147" s="51">
        <v>7</v>
      </c>
      <c r="F147" s="4" t="s">
        <v>71</v>
      </c>
      <c r="G147" s="4" t="s">
        <v>70</v>
      </c>
      <c r="H147" s="48">
        <f>IF(G147&gt;0,VLOOKUP(G147,Apoio!$H$2:$I$24,2,0),"")</f>
        <v>7</v>
      </c>
      <c r="I147" s="44">
        <f t="shared" si="6"/>
        <v>42</v>
      </c>
      <c r="J147" s="98"/>
      <c r="K147" s="103"/>
    </row>
    <row r="148" spans="1:11" x14ac:dyDescent="0.3">
      <c r="A148" s="4" t="s">
        <v>189</v>
      </c>
      <c r="B148" s="4" t="s">
        <v>46</v>
      </c>
      <c r="C148" s="58">
        <v>6</v>
      </c>
      <c r="D148" s="51">
        <v>7</v>
      </c>
      <c r="E148" s="51">
        <v>7</v>
      </c>
      <c r="F148" s="4" t="s">
        <v>71</v>
      </c>
      <c r="G148" s="4" t="s">
        <v>77</v>
      </c>
      <c r="H148" s="48">
        <f>IF(G148&gt;0,VLOOKUP(G148,Apoio!$H$2:$I$24,2,0),"")</f>
        <v>8</v>
      </c>
      <c r="I148" s="44">
        <f t="shared" si="6"/>
        <v>48</v>
      </c>
      <c r="J148" s="98"/>
      <c r="K148" s="103"/>
    </row>
    <row r="149" spans="1:11" x14ac:dyDescent="0.3">
      <c r="A149" s="4" t="s">
        <v>189</v>
      </c>
      <c r="B149" s="4" t="s">
        <v>46</v>
      </c>
      <c r="C149" s="58">
        <v>6</v>
      </c>
      <c r="D149" s="51">
        <v>7</v>
      </c>
      <c r="E149" s="51">
        <v>7</v>
      </c>
      <c r="F149" s="4" t="s">
        <v>71</v>
      </c>
      <c r="G149" s="4" t="s">
        <v>84</v>
      </c>
      <c r="H149" s="48">
        <f>IF(G149&gt;0,VLOOKUP(G149,Apoio!$H$2:$I$24,2,0),"")</f>
        <v>8</v>
      </c>
      <c r="I149" s="44">
        <f t="shared" si="6"/>
        <v>48</v>
      </c>
      <c r="J149" s="98"/>
      <c r="K149" s="103"/>
    </row>
    <row r="150" spans="1:11" x14ac:dyDescent="0.3">
      <c r="A150" s="4" t="s">
        <v>189</v>
      </c>
      <c r="B150" s="4" t="s">
        <v>46</v>
      </c>
      <c r="C150" s="58">
        <v>6</v>
      </c>
      <c r="D150" s="51">
        <v>7</v>
      </c>
      <c r="E150" s="51">
        <v>7</v>
      </c>
      <c r="F150" s="4" t="s">
        <v>71</v>
      </c>
      <c r="G150" s="4" t="s">
        <v>91</v>
      </c>
      <c r="H150" s="48">
        <f>IF(G150&gt;0,VLOOKUP(G150,Apoio!$H$2:$I$24,2,0),"")</f>
        <v>6</v>
      </c>
      <c r="I150" s="44">
        <f t="shared" si="6"/>
        <v>36</v>
      </c>
      <c r="J150" s="98"/>
      <c r="K150" s="103"/>
    </row>
    <row r="151" spans="1:11" x14ac:dyDescent="0.3">
      <c r="A151" s="4" t="s">
        <v>189</v>
      </c>
      <c r="B151" s="4" t="s">
        <v>46</v>
      </c>
      <c r="C151" s="58">
        <v>6</v>
      </c>
      <c r="D151" s="51">
        <v>7</v>
      </c>
      <c r="E151" s="51">
        <v>7</v>
      </c>
      <c r="F151" s="4" t="s">
        <v>71</v>
      </c>
      <c r="G151" s="4" t="s">
        <v>97</v>
      </c>
      <c r="H151" s="48">
        <f>IF(G151&gt;0,VLOOKUP(G151,Apoio!$H$2:$I$24,2,0),"")</f>
        <v>8</v>
      </c>
      <c r="I151" s="44">
        <f t="shared" si="6"/>
        <v>48</v>
      </c>
      <c r="J151" s="98"/>
      <c r="K151" s="103"/>
    </row>
    <row r="152" spans="1:11" x14ac:dyDescent="0.3">
      <c r="A152" s="4" t="s">
        <v>189</v>
      </c>
      <c r="B152" s="4" t="s">
        <v>46</v>
      </c>
      <c r="C152" s="58">
        <v>6</v>
      </c>
      <c r="D152" s="51">
        <v>7</v>
      </c>
      <c r="E152" s="51">
        <v>7</v>
      </c>
      <c r="F152" s="4" t="s">
        <v>71</v>
      </c>
      <c r="G152" s="4" t="s">
        <v>100</v>
      </c>
      <c r="H152" s="48">
        <f>IF(G152&gt;0,VLOOKUP(G152,Apoio!$H$2:$I$24,2,0),"")</f>
        <v>3</v>
      </c>
      <c r="I152" s="44">
        <f t="shared" si="6"/>
        <v>18</v>
      </c>
      <c r="J152" s="98"/>
      <c r="K152" s="103"/>
    </row>
    <row r="153" spans="1:11" x14ac:dyDescent="0.3">
      <c r="A153" s="4" t="s">
        <v>189</v>
      </c>
      <c r="B153" s="4" t="s">
        <v>46</v>
      </c>
      <c r="C153" s="58">
        <v>5</v>
      </c>
      <c r="D153" s="89">
        <v>7</v>
      </c>
      <c r="E153" s="51">
        <v>7</v>
      </c>
      <c r="F153" s="4" t="s">
        <v>78</v>
      </c>
      <c r="G153" s="4" t="s">
        <v>103</v>
      </c>
      <c r="H153" s="48">
        <f>IF(G153&gt;0,VLOOKUP(G153,Apoio!$H$2:$I$24,2,0),"")</f>
        <v>6</v>
      </c>
      <c r="I153" s="44">
        <f t="shared" si="6"/>
        <v>30</v>
      </c>
      <c r="J153" s="98"/>
      <c r="K153" s="103"/>
    </row>
    <row r="154" spans="1:11" x14ac:dyDescent="0.3">
      <c r="A154" s="4" t="s">
        <v>189</v>
      </c>
      <c r="B154" s="4" t="s">
        <v>46</v>
      </c>
      <c r="C154" s="75">
        <v>5</v>
      </c>
      <c r="D154" s="90">
        <v>7</v>
      </c>
      <c r="E154" s="51">
        <v>7</v>
      </c>
      <c r="F154" s="4" t="s">
        <v>78</v>
      </c>
      <c r="G154" s="4" t="s">
        <v>106</v>
      </c>
      <c r="H154" s="48">
        <f>IF(G154&gt;0,VLOOKUP(G154,Apoio!$H$2:$I$24,2,0),"")</f>
        <v>7</v>
      </c>
      <c r="I154" s="44">
        <f t="shared" si="6"/>
        <v>35</v>
      </c>
      <c r="J154" s="98"/>
      <c r="K154" s="103"/>
    </row>
    <row r="155" spans="1:11" x14ac:dyDescent="0.3">
      <c r="A155" s="4" t="s">
        <v>189</v>
      </c>
      <c r="B155" s="4" t="s">
        <v>46</v>
      </c>
      <c r="C155" s="75">
        <v>5</v>
      </c>
      <c r="D155" s="90">
        <v>7</v>
      </c>
      <c r="E155" s="51">
        <v>7</v>
      </c>
      <c r="F155" s="4" t="s">
        <v>78</v>
      </c>
      <c r="G155" s="4" t="s">
        <v>109</v>
      </c>
      <c r="H155" s="48">
        <f>IF(G155&gt;0,VLOOKUP(G155,Apoio!$H$2:$I$24,2,0),"")</f>
        <v>8</v>
      </c>
      <c r="I155" s="44">
        <f t="shared" si="6"/>
        <v>40</v>
      </c>
      <c r="J155" s="98"/>
      <c r="K155" s="103"/>
    </row>
    <row r="156" spans="1:11" x14ac:dyDescent="0.3">
      <c r="A156" s="4" t="s">
        <v>189</v>
      </c>
      <c r="B156" s="4" t="s">
        <v>46</v>
      </c>
      <c r="C156" s="75">
        <v>5</v>
      </c>
      <c r="D156" s="90">
        <v>7</v>
      </c>
      <c r="E156" s="51">
        <v>7</v>
      </c>
      <c r="F156" s="4" t="s">
        <v>78</v>
      </c>
      <c r="G156" s="4" t="s">
        <v>112</v>
      </c>
      <c r="H156" s="48">
        <f>IF(G156&gt;0,VLOOKUP(G156,Apoio!$H$2:$I$24,2,0),"")</f>
        <v>8</v>
      </c>
      <c r="I156" s="44">
        <f t="shared" si="6"/>
        <v>40</v>
      </c>
      <c r="J156" s="98"/>
      <c r="K156" s="103"/>
    </row>
    <row r="157" spans="1:11" x14ac:dyDescent="0.3">
      <c r="A157" s="4" t="s">
        <v>189</v>
      </c>
      <c r="B157" s="4" t="s">
        <v>46</v>
      </c>
      <c r="C157" s="75">
        <v>5</v>
      </c>
      <c r="D157" s="90">
        <v>7</v>
      </c>
      <c r="E157" s="51">
        <v>7</v>
      </c>
      <c r="F157" s="4" t="s">
        <v>78</v>
      </c>
      <c r="G157" s="4" t="s">
        <v>115</v>
      </c>
      <c r="H157" s="48">
        <f>IF(G157&gt;0,VLOOKUP(G157,Apoio!$H$2:$I$24,2,0),"")</f>
        <v>7</v>
      </c>
      <c r="I157" s="44">
        <f t="shared" si="6"/>
        <v>35</v>
      </c>
      <c r="J157" s="98"/>
      <c r="K157" s="103"/>
    </row>
    <row r="158" spans="1:11" x14ac:dyDescent="0.3">
      <c r="A158" s="4" t="s">
        <v>189</v>
      </c>
      <c r="B158" s="4" t="s">
        <v>46</v>
      </c>
      <c r="C158" s="75">
        <v>5</v>
      </c>
      <c r="D158" s="90">
        <v>7</v>
      </c>
      <c r="E158" s="51">
        <v>7</v>
      </c>
      <c r="F158" s="4" t="s">
        <v>78</v>
      </c>
      <c r="G158" s="4" t="s">
        <v>118</v>
      </c>
      <c r="H158" s="48">
        <f>IF(G158&gt;0,VLOOKUP(G158,Apoio!$H$2:$I$24,2,0),"")</f>
        <v>3</v>
      </c>
      <c r="I158" s="44">
        <f t="shared" si="6"/>
        <v>15</v>
      </c>
      <c r="J158" s="98"/>
      <c r="K158" s="103"/>
    </row>
    <row r="159" spans="1:11" x14ac:dyDescent="0.3">
      <c r="A159" s="4" t="s">
        <v>43</v>
      </c>
      <c r="B159" s="4" t="s">
        <v>46</v>
      </c>
      <c r="C159" s="59">
        <v>8</v>
      </c>
      <c r="D159" s="96">
        <v>7</v>
      </c>
      <c r="E159" s="51">
        <v>7</v>
      </c>
      <c r="F159" s="4" t="s">
        <v>85</v>
      </c>
      <c r="G159" s="4" t="s">
        <v>121</v>
      </c>
      <c r="H159" s="48">
        <f>IF(G159&gt;0,VLOOKUP(G159,Apoio!$H$2:$I$24,2,0),"")</f>
        <v>7</v>
      </c>
      <c r="I159" s="44">
        <f t="shared" si="6"/>
        <v>56</v>
      </c>
      <c r="J159" s="98"/>
      <c r="K159" s="103"/>
    </row>
    <row r="160" spans="1:11" x14ac:dyDescent="0.3">
      <c r="A160" s="4" t="s">
        <v>43</v>
      </c>
      <c r="B160" s="4" t="s">
        <v>46</v>
      </c>
      <c r="C160" s="64">
        <v>8</v>
      </c>
      <c r="D160" s="96">
        <v>7</v>
      </c>
      <c r="E160" s="51">
        <v>7</v>
      </c>
      <c r="F160" s="4" t="s">
        <v>85</v>
      </c>
      <c r="G160" s="4" t="s">
        <v>124</v>
      </c>
      <c r="H160" s="48">
        <f>IF(G160&gt;0,VLOOKUP(G160,Apoio!$H$2:$I$24,2,0),"")</f>
        <v>8</v>
      </c>
      <c r="I160" s="44">
        <f t="shared" si="6"/>
        <v>64</v>
      </c>
      <c r="J160" s="98"/>
      <c r="K160" s="103"/>
    </row>
    <row r="161" spans="1:11" x14ac:dyDescent="0.3">
      <c r="A161" s="4" t="s">
        <v>43</v>
      </c>
      <c r="B161" s="4" t="s">
        <v>46</v>
      </c>
      <c r="C161" s="64">
        <v>8</v>
      </c>
      <c r="D161" s="96">
        <v>7</v>
      </c>
      <c r="E161" s="51">
        <v>7</v>
      </c>
      <c r="F161" s="4" t="s">
        <v>85</v>
      </c>
      <c r="G161" s="4" t="s">
        <v>127</v>
      </c>
      <c r="H161" s="48">
        <f>IF(G161&gt;0,VLOOKUP(G161,Apoio!$H$2:$I$24,2,0),"")</f>
        <v>8</v>
      </c>
      <c r="I161" s="44">
        <f t="shared" si="6"/>
        <v>64</v>
      </c>
      <c r="J161" s="98"/>
      <c r="K161" s="103"/>
    </row>
    <row r="162" spans="1:11" x14ac:dyDescent="0.3">
      <c r="A162" s="4" t="s">
        <v>43</v>
      </c>
      <c r="B162" s="4" t="s">
        <v>46</v>
      </c>
      <c r="C162" s="64">
        <v>8</v>
      </c>
      <c r="D162" s="96">
        <v>7</v>
      </c>
      <c r="E162" s="51">
        <v>7</v>
      </c>
      <c r="F162" s="4" t="s">
        <v>85</v>
      </c>
      <c r="G162" s="4" t="s">
        <v>130</v>
      </c>
      <c r="H162" s="48">
        <f>IF(G162&gt;0,VLOOKUP(G162,Apoio!$H$2:$I$24,2,0),"")</f>
        <v>13</v>
      </c>
      <c r="I162" s="44">
        <f t="shared" si="6"/>
        <v>104</v>
      </c>
      <c r="J162" s="98"/>
      <c r="K162" s="103"/>
    </row>
    <row r="163" spans="1:11" x14ac:dyDescent="0.3">
      <c r="A163" s="4" t="s">
        <v>43</v>
      </c>
      <c r="B163" s="4" t="s">
        <v>46</v>
      </c>
      <c r="C163" s="64">
        <v>8</v>
      </c>
      <c r="D163" s="96">
        <v>7</v>
      </c>
      <c r="E163" s="51">
        <v>7</v>
      </c>
      <c r="F163" s="4" t="s">
        <v>85</v>
      </c>
      <c r="G163" s="4" t="s">
        <v>133</v>
      </c>
      <c r="H163" s="48">
        <f>IF(G163&gt;0,VLOOKUP(G163,Apoio!$H$2:$I$24,2,0),"")</f>
        <v>3</v>
      </c>
      <c r="I163" s="44">
        <f t="shared" si="6"/>
        <v>24</v>
      </c>
      <c r="J163" s="98"/>
      <c r="K163" s="103"/>
    </row>
    <row r="164" spans="1:11" x14ac:dyDescent="0.3">
      <c r="A164" s="4" t="s">
        <v>43</v>
      </c>
      <c r="B164" s="4" t="s">
        <v>46</v>
      </c>
      <c r="C164" s="64">
        <v>8</v>
      </c>
      <c r="D164" s="109">
        <v>4.5999999999999996</v>
      </c>
      <c r="E164" s="51">
        <v>6</v>
      </c>
      <c r="F164" s="4" t="s">
        <v>92</v>
      </c>
      <c r="G164" s="4" t="s">
        <v>136</v>
      </c>
      <c r="H164" s="48">
        <f>IF(G164&gt;0,VLOOKUP(G164,Apoio!$H$2:$I$24,2,0),"")</f>
        <v>13</v>
      </c>
      <c r="I164" s="44">
        <f t="shared" si="6"/>
        <v>135.6521739130435</v>
      </c>
      <c r="J164" s="98"/>
      <c r="K164" s="103"/>
    </row>
    <row r="165" spans="1:11" x14ac:dyDescent="0.3">
      <c r="A165" s="4" t="s">
        <v>43</v>
      </c>
      <c r="B165" s="4" t="s">
        <v>46</v>
      </c>
      <c r="C165" s="64">
        <v>8</v>
      </c>
      <c r="D165" s="109">
        <v>4.5999999999999996</v>
      </c>
      <c r="E165" s="51">
        <v>6</v>
      </c>
      <c r="F165" s="4" t="s">
        <v>92</v>
      </c>
      <c r="G165" s="4" t="s">
        <v>139</v>
      </c>
      <c r="H165" s="48">
        <f>IF(G165&gt;0,VLOOKUP(G165,Apoio!$H$2:$I$24,2,0),"")</f>
        <v>8</v>
      </c>
      <c r="I165" s="44">
        <f t="shared" si="6"/>
        <v>83.478260869565219</v>
      </c>
      <c r="J165" s="98"/>
      <c r="K165" s="103"/>
    </row>
    <row r="166" spans="1:11" x14ac:dyDescent="0.3">
      <c r="A166" s="4" t="s">
        <v>43</v>
      </c>
      <c r="B166" s="4" t="s">
        <v>46</v>
      </c>
      <c r="C166" s="64">
        <v>8</v>
      </c>
      <c r="D166" s="109">
        <v>4.5999999999999996</v>
      </c>
      <c r="E166" s="51">
        <v>6</v>
      </c>
      <c r="F166" s="4" t="s">
        <v>92</v>
      </c>
      <c r="G166" s="4" t="s">
        <v>142</v>
      </c>
      <c r="H166" s="48">
        <f>IF(G166&gt;0,VLOOKUP(G166,Apoio!$H$2:$I$24,2,0),"")</f>
        <v>8</v>
      </c>
      <c r="I166" s="44">
        <f t="shared" si="6"/>
        <v>83.478260869565219</v>
      </c>
      <c r="J166" s="98"/>
      <c r="K166" s="103"/>
    </row>
    <row r="167" spans="1:11" x14ac:dyDescent="0.3">
      <c r="A167" s="4" t="s">
        <v>43</v>
      </c>
      <c r="B167" s="4" t="s">
        <v>46</v>
      </c>
      <c r="C167" s="64">
        <v>8</v>
      </c>
      <c r="D167" s="109">
        <v>4.5999999999999996</v>
      </c>
      <c r="E167" s="51">
        <v>6</v>
      </c>
      <c r="F167" s="4" t="s">
        <v>92</v>
      </c>
      <c r="G167" s="4" t="s">
        <v>145</v>
      </c>
      <c r="H167" s="48">
        <f>IF(G167&gt;0,VLOOKUP(G167,Apoio!$H$2:$I$24,2,0),"")</f>
        <v>7</v>
      </c>
      <c r="I167" s="44">
        <f t="shared" si="6"/>
        <v>73.043478260869577</v>
      </c>
      <c r="J167" s="98"/>
      <c r="K167" s="103"/>
    </row>
    <row r="168" spans="1:11" x14ac:dyDescent="0.3">
      <c r="A168" s="4" t="s">
        <v>43</v>
      </c>
      <c r="B168" s="4" t="s">
        <v>46</v>
      </c>
      <c r="C168" s="64">
        <v>8</v>
      </c>
      <c r="D168" s="109">
        <v>4.5999999999999996</v>
      </c>
      <c r="E168" s="51">
        <v>6</v>
      </c>
      <c r="F168" s="4" t="s">
        <v>92</v>
      </c>
      <c r="G168" s="4" t="s">
        <v>148</v>
      </c>
      <c r="H168" s="48">
        <f>IF(G168&gt;0,VLOOKUP(G168,Apoio!$H$2:$I$24,2,0),"")</f>
        <v>8</v>
      </c>
      <c r="I168" s="44">
        <f t="shared" si="6"/>
        <v>83.478260869565219</v>
      </c>
      <c r="J168" s="98"/>
      <c r="K168" s="103"/>
    </row>
    <row r="169" spans="1:11" x14ac:dyDescent="0.3">
      <c r="A169" s="4" t="s">
        <v>43</v>
      </c>
      <c r="B169" s="4" t="s">
        <v>46</v>
      </c>
      <c r="C169" s="64">
        <v>8</v>
      </c>
      <c r="D169" s="109">
        <v>4.5999999999999996</v>
      </c>
      <c r="E169" s="51">
        <v>6</v>
      </c>
      <c r="F169" s="4" t="s">
        <v>92</v>
      </c>
      <c r="G169" s="4" t="s">
        <v>151</v>
      </c>
      <c r="H169" s="48">
        <f>IF(G169&gt;0,VLOOKUP(G169,Apoio!$H$2:$I$24,2,0),"")</f>
        <v>8</v>
      </c>
      <c r="I169" s="44">
        <f t="shared" si="6"/>
        <v>83.478260869565219</v>
      </c>
      <c r="J169" s="98"/>
      <c r="K169" s="103"/>
    </row>
    <row r="170" spans="1:11" x14ac:dyDescent="0.3">
      <c r="A170" s="4" t="s">
        <v>189</v>
      </c>
      <c r="B170" s="4" t="s">
        <v>47</v>
      </c>
      <c r="C170" s="58">
        <v>7</v>
      </c>
      <c r="D170" s="51">
        <v>6.4</v>
      </c>
      <c r="E170" s="51">
        <v>7</v>
      </c>
      <c r="F170" s="4" t="s">
        <v>71</v>
      </c>
      <c r="G170" s="4" t="s">
        <v>70</v>
      </c>
      <c r="H170" s="48">
        <f>IF(G170&gt;0,VLOOKUP(G170,Apoio!$H$2:$I$24,2,0),"")</f>
        <v>7</v>
      </c>
      <c r="I170" s="44">
        <f t="shared" ref="I170:I201" si="7">IF(D170&gt;0,(((H170*E170)*C170)/D170),"")</f>
        <v>53.59375</v>
      </c>
      <c r="J170" s="98"/>
      <c r="K170" s="103"/>
    </row>
    <row r="171" spans="1:11" x14ac:dyDescent="0.3">
      <c r="A171" s="4" t="s">
        <v>189</v>
      </c>
      <c r="B171" s="4" t="s">
        <v>47</v>
      </c>
      <c r="C171" s="58">
        <v>7</v>
      </c>
      <c r="D171" s="51">
        <v>6.4</v>
      </c>
      <c r="E171" s="51">
        <v>7</v>
      </c>
      <c r="F171" s="4" t="s">
        <v>71</v>
      </c>
      <c r="G171" s="4" t="s">
        <v>77</v>
      </c>
      <c r="H171" s="48">
        <f>IF(G171&gt;0,VLOOKUP(G171,Apoio!$H$2:$I$24,2,0),"")</f>
        <v>8</v>
      </c>
      <c r="I171" s="44">
        <f t="shared" si="7"/>
        <v>61.25</v>
      </c>
      <c r="J171" s="98"/>
      <c r="K171" s="103"/>
    </row>
    <row r="172" spans="1:11" x14ac:dyDescent="0.3">
      <c r="A172" s="4" t="s">
        <v>189</v>
      </c>
      <c r="B172" s="4" t="s">
        <v>47</v>
      </c>
      <c r="C172" s="58">
        <v>7</v>
      </c>
      <c r="D172" s="51">
        <v>6.4</v>
      </c>
      <c r="E172" s="51">
        <v>7</v>
      </c>
      <c r="F172" s="4" t="s">
        <v>71</v>
      </c>
      <c r="G172" s="4" t="s">
        <v>84</v>
      </c>
      <c r="H172" s="48">
        <f>IF(G172&gt;0,VLOOKUP(G172,Apoio!$H$2:$I$24,2,0),"")</f>
        <v>8</v>
      </c>
      <c r="I172" s="44">
        <f t="shared" si="7"/>
        <v>61.25</v>
      </c>
      <c r="J172" s="98"/>
      <c r="K172" s="103"/>
    </row>
    <row r="173" spans="1:11" x14ac:dyDescent="0.3">
      <c r="A173" s="4" t="s">
        <v>189</v>
      </c>
      <c r="B173" s="4" t="s">
        <v>47</v>
      </c>
      <c r="C173" s="58">
        <v>7</v>
      </c>
      <c r="D173" s="51">
        <v>6.4</v>
      </c>
      <c r="E173" s="51">
        <v>7</v>
      </c>
      <c r="F173" s="4" t="s">
        <v>71</v>
      </c>
      <c r="G173" s="4" t="s">
        <v>91</v>
      </c>
      <c r="H173" s="48">
        <f>IF(G173&gt;0,VLOOKUP(G173,Apoio!$H$2:$I$24,2,0),"")</f>
        <v>6</v>
      </c>
      <c r="I173" s="44">
        <f t="shared" si="7"/>
        <v>45.9375</v>
      </c>
      <c r="J173" s="98"/>
      <c r="K173" s="103"/>
    </row>
    <row r="174" spans="1:11" x14ac:dyDescent="0.3">
      <c r="A174" s="4" t="s">
        <v>189</v>
      </c>
      <c r="B174" s="4" t="s">
        <v>47</v>
      </c>
      <c r="C174" s="58">
        <v>7</v>
      </c>
      <c r="D174" s="51">
        <v>6.4</v>
      </c>
      <c r="E174" s="51">
        <v>7</v>
      </c>
      <c r="F174" s="4" t="s">
        <v>71</v>
      </c>
      <c r="G174" s="4" t="s">
        <v>97</v>
      </c>
      <c r="H174" s="48">
        <f>IF(G174&gt;0,VLOOKUP(G174,Apoio!$H$2:$I$24,2,0),"")</f>
        <v>8</v>
      </c>
      <c r="I174" s="44">
        <f t="shared" si="7"/>
        <v>61.25</v>
      </c>
      <c r="J174" s="98"/>
      <c r="K174" s="103"/>
    </row>
    <row r="175" spans="1:11" x14ac:dyDescent="0.3">
      <c r="A175" s="4" t="s">
        <v>189</v>
      </c>
      <c r="B175" s="4" t="s">
        <v>47</v>
      </c>
      <c r="C175" s="58">
        <v>7</v>
      </c>
      <c r="D175" s="51">
        <v>6.4</v>
      </c>
      <c r="E175" s="51">
        <v>7</v>
      </c>
      <c r="F175" s="4" t="s">
        <v>71</v>
      </c>
      <c r="G175" s="4" t="s">
        <v>100</v>
      </c>
      <c r="H175" s="48">
        <f>IF(G175&gt;0,VLOOKUP(G175,Apoio!$H$2:$I$24,2,0),"")</f>
        <v>3</v>
      </c>
      <c r="I175" s="44">
        <f t="shared" si="7"/>
        <v>22.96875</v>
      </c>
      <c r="J175" s="98"/>
      <c r="K175" s="103"/>
    </row>
    <row r="176" spans="1:11" x14ac:dyDescent="0.3">
      <c r="A176" s="4" t="s">
        <v>189</v>
      </c>
      <c r="B176" s="4" t="s">
        <v>47</v>
      </c>
      <c r="C176" s="58">
        <v>6</v>
      </c>
      <c r="D176" s="51">
        <v>5.6</v>
      </c>
      <c r="E176" s="51">
        <v>7</v>
      </c>
      <c r="F176" s="4" t="s">
        <v>78</v>
      </c>
      <c r="G176" s="4" t="s">
        <v>103</v>
      </c>
      <c r="H176" s="48">
        <f>IF(G176&gt;0,VLOOKUP(G176,Apoio!$H$2:$I$24,2,0),"")</f>
        <v>6</v>
      </c>
      <c r="I176" s="44">
        <f t="shared" si="7"/>
        <v>45</v>
      </c>
      <c r="J176" s="98"/>
      <c r="K176" s="103"/>
    </row>
    <row r="177" spans="1:13" x14ac:dyDescent="0.3">
      <c r="A177" s="4" t="s">
        <v>189</v>
      </c>
      <c r="B177" s="4" t="s">
        <v>47</v>
      </c>
      <c r="C177" s="58">
        <v>6</v>
      </c>
      <c r="D177" s="51">
        <v>5.6</v>
      </c>
      <c r="E177" s="51">
        <v>7</v>
      </c>
      <c r="F177" s="4" t="s">
        <v>78</v>
      </c>
      <c r="G177" s="4" t="s">
        <v>106</v>
      </c>
      <c r="H177" s="48">
        <f>IF(G177&gt;0,VLOOKUP(G177,Apoio!$H$2:$I$24,2,0),"")</f>
        <v>7</v>
      </c>
      <c r="I177" s="44">
        <f t="shared" si="7"/>
        <v>52.5</v>
      </c>
      <c r="J177" s="98"/>
      <c r="K177" s="103"/>
    </row>
    <row r="178" spans="1:13" x14ac:dyDescent="0.3">
      <c r="A178" s="4" t="s">
        <v>189</v>
      </c>
      <c r="B178" s="4" t="s">
        <v>47</v>
      </c>
      <c r="C178" s="58">
        <v>6</v>
      </c>
      <c r="D178" s="51">
        <v>5.6</v>
      </c>
      <c r="E178" s="51">
        <v>7</v>
      </c>
      <c r="F178" s="4" t="s">
        <v>78</v>
      </c>
      <c r="G178" s="4" t="s">
        <v>109</v>
      </c>
      <c r="H178" s="48">
        <f>IF(G178&gt;0,VLOOKUP(G178,Apoio!$H$2:$I$24,2,0),"")</f>
        <v>8</v>
      </c>
      <c r="I178" s="44">
        <f t="shared" si="7"/>
        <v>60.000000000000007</v>
      </c>
      <c r="J178" s="98"/>
      <c r="K178" s="103"/>
    </row>
    <row r="179" spans="1:13" x14ac:dyDescent="0.3">
      <c r="A179" s="4" t="s">
        <v>189</v>
      </c>
      <c r="B179" s="4" t="s">
        <v>47</v>
      </c>
      <c r="C179" s="58">
        <v>6</v>
      </c>
      <c r="D179" s="51">
        <v>5.6</v>
      </c>
      <c r="E179" s="51">
        <v>7</v>
      </c>
      <c r="F179" s="4" t="s">
        <v>78</v>
      </c>
      <c r="G179" s="4" t="s">
        <v>112</v>
      </c>
      <c r="H179" s="48">
        <f>IF(G179&gt;0,VLOOKUP(G179,Apoio!$H$2:$I$24,2,0),"")</f>
        <v>8</v>
      </c>
      <c r="I179" s="44">
        <f t="shared" si="7"/>
        <v>60.000000000000007</v>
      </c>
      <c r="J179" s="98"/>
      <c r="K179" s="103"/>
    </row>
    <row r="180" spans="1:13" x14ac:dyDescent="0.3">
      <c r="A180" s="4" t="s">
        <v>189</v>
      </c>
      <c r="B180" s="4" t="s">
        <v>47</v>
      </c>
      <c r="C180" s="58">
        <v>6</v>
      </c>
      <c r="D180" s="51">
        <v>5.6</v>
      </c>
      <c r="E180" s="51">
        <v>7</v>
      </c>
      <c r="F180" s="4" t="s">
        <v>78</v>
      </c>
      <c r="G180" s="4" t="s">
        <v>115</v>
      </c>
      <c r="H180" s="48">
        <f>IF(G180&gt;0,VLOOKUP(G180,Apoio!$H$2:$I$24,2,0),"")</f>
        <v>7</v>
      </c>
      <c r="I180" s="44">
        <f t="shared" si="7"/>
        <v>52.5</v>
      </c>
      <c r="J180" s="98"/>
      <c r="K180" s="103"/>
    </row>
    <row r="181" spans="1:13" x14ac:dyDescent="0.3">
      <c r="A181" s="4" t="s">
        <v>189</v>
      </c>
      <c r="B181" s="4" t="s">
        <v>47</v>
      </c>
      <c r="C181" s="58">
        <v>6</v>
      </c>
      <c r="D181" s="51">
        <v>5.6</v>
      </c>
      <c r="E181" s="51">
        <v>7</v>
      </c>
      <c r="F181" s="4" t="s">
        <v>78</v>
      </c>
      <c r="G181" s="4" t="s">
        <v>118</v>
      </c>
      <c r="H181" s="48">
        <f>IF(G181&gt;0,VLOOKUP(G181,Apoio!$H$2:$I$24,2,0),"")</f>
        <v>3</v>
      </c>
      <c r="I181" s="44">
        <f t="shared" si="7"/>
        <v>22.5</v>
      </c>
      <c r="J181" s="98"/>
      <c r="K181" s="103"/>
    </row>
    <row r="182" spans="1:13" x14ac:dyDescent="0.3">
      <c r="A182" s="4" t="s">
        <v>43</v>
      </c>
      <c r="B182" s="4" t="s">
        <v>47</v>
      </c>
      <c r="C182" s="59">
        <v>6</v>
      </c>
      <c r="D182" s="96">
        <v>6</v>
      </c>
      <c r="E182" s="51">
        <v>7</v>
      </c>
      <c r="F182" s="4" t="s">
        <v>85</v>
      </c>
      <c r="G182" s="4" t="s">
        <v>121</v>
      </c>
      <c r="H182" s="48">
        <f>IF(G182&gt;0,VLOOKUP(G182,Apoio!$H$2:$I$24,2,0),"")</f>
        <v>7</v>
      </c>
      <c r="I182" s="44">
        <f t="shared" si="7"/>
        <v>49</v>
      </c>
      <c r="J182" s="98"/>
      <c r="K182" s="103"/>
      <c r="M182" s="10" t="s">
        <v>220</v>
      </c>
    </row>
    <row r="183" spans="1:13" x14ac:dyDescent="0.3">
      <c r="A183" s="4" t="s">
        <v>43</v>
      </c>
      <c r="B183" s="4" t="s">
        <v>47</v>
      </c>
      <c r="C183" s="64">
        <v>6</v>
      </c>
      <c r="D183" s="96">
        <v>6</v>
      </c>
      <c r="E183" s="51">
        <v>7</v>
      </c>
      <c r="F183" s="4" t="s">
        <v>85</v>
      </c>
      <c r="G183" s="4" t="s">
        <v>124</v>
      </c>
      <c r="H183" s="48">
        <f>IF(G183&gt;0,VLOOKUP(G183,Apoio!$H$2:$I$24,2,0),"")</f>
        <v>8</v>
      </c>
      <c r="I183" s="44">
        <f t="shared" si="7"/>
        <v>56</v>
      </c>
      <c r="J183" s="98"/>
      <c r="K183" s="103"/>
    </row>
    <row r="184" spans="1:13" x14ac:dyDescent="0.3">
      <c r="A184" s="4" t="s">
        <v>43</v>
      </c>
      <c r="B184" s="4" t="s">
        <v>47</v>
      </c>
      <c r="C184" s="64">
        <v>6</v>
      </c>
      <c r="D184" s="96">
        <v>6</v>
      </c>
      <c r="E184" s="51">
        <v>7</v>
      </c>
      <c r="F184" s="4" t="s">
        <v>85</v>
      </c>
      <c r="G184" s="4" t="s">
        <v>127</v>
      </c>
      <c r="H184" s="48">
        <f>IF(G184&gt;0,VLOOKUP(G184,Apoio!$H$2:$I$24,2,0),"")</f>
        <v>8</v>
      </c>
      <c r="I184" s="44">
        <f t="shared" si="7"/>
        <v>56</v>
      </c>
      <c r="J184" s="98"/>
      <c r="K184" s="103"/>
    </row>
    <row r="185" spans="1:13" x14ac:dyDescent="0.3">
      <c r="A185" s="4" t="s">
        <v>43</v>
      </c>
      <c r="B185" s="4" t="s">
        <v>47</v>
      </c>
      <c r="C185" s="64">
        <v>6</v>
      </c>
      <c r="D185" s="96">
        <v>6</v>
      </c>
      <c r="E185" s="51">
        <v>7</v>
      </c>
      <c r="F185" s="4" t="s">
        <v>85</v>
      </c>
      <c r="G185" s="4" t="s">
        <v>130</v>
      </c>
      <c r="H185" s="48">
        <f>IF(G185&gt;0,VLOOKUP(G185,Apoio!$H$2:$I$24,2,0),"")</f>
        <v>13</v>
      </c>
      <c r="I185" s="44">
        <f t="shared" si="7"/>
        <v>91</v>
      </c>
      <c r="J185" s="98"/>
      <c r="K185" s="103"/>
    </row>
    <row r="186" spans="1:13" x14ac:dyDescent="0.3">
      <c r="A186" s="4" t="s">
        <v>43</v>
      </c>
      <c r="B186" s="4" t="s">
        <v>47</v>
      </c>
      <c r="C186" s="64">
        <v>6</v>
      </c>
      <c r="D186" s="96">
        <v>6</v>
      </c>
      <c r="E186" s="51">
        <v>7</v>
      </c>
      <c r="F186" s="4" t="s">
        <v>85</v>
      </c>
      <c r="G186" s="4" t="s">
        <v>133</v>
      </c>
      <c r="H186" s="48">
        <f>IF(G186&gt;0,VLOOKUP(G186,Apoio!$H$2:$I$24,2,0),"")</f>
        <v>3</v>
      </c>
      <c r="I186" s="44">
        <f t="shared" si="7"/>
        <v>21</v>
      </c>
      <c r="J186" s="98"/>
      <c r="K186" s="103"/>
    </row>
    <row r="187" spans="1:13" x14ac:dyDescent="0.3">
      <c r="A187" s="4" t="s">
        <v>43</v>
      </c>
      <c r="B187" s="4" t="s">
        <v>47</v>
      </c>
      <c r="C187" s="64">
        <v>5</v>
      </c>
      <c r="D187" s="109">
        <v>4.8</v>
      </c>
      <c r="E187" s="51">
        <v>7</v>
      </c>
      <c r="F187" s="4" t="s">
        <v>92</v>
      </c>
      <c r="G187" s="4" t="s">
        <v>136</v>
      </c>
      <c r="H187" s="48">
        <f>IF(G187&gt;0,VLOOKUP(G187,Apoio!$H$2:$I$24,2,0),"")</f>
        <v>13</v>
      </c>
      <c r="I187" s="44">
        <f t="shared" si="7"/>
        <v>94.791666666666671</v>
      </c>
      <c r="J187" s="98"/>
      <c r="K187" s="103"/>
    </row>
    <row r="188" spans="1:13" x14ac:dyDescent="0.3">
      <c r="A188" s="4" t="s">
        <v>43</v>
      </c>
      <c r="B188" s="4" t="s">
        <v>47</v>
      </c>
      <c r="C188" s="64">
        <v>5</v>
      </c>
      <c r="D188" s="109">
        <v>4.8</v>
      </c>
      <c r="E188" s="51">
        <v>7</v>
      </c>
      <c r="F188" s="4" t="s">
        <v>92</v>
      </c>
      <c r="G188" s="4" t="s">
        <v>139</v>
      </c>
      <c r="H188" s="48">
        <f>IF(G188&gt;0,VLOOKUP(G188,Apoio!$H$2:$I$24,2,0),"")</f>
        <v>8</v>
      </c>
      <c r="I188" s="44">
        <f t="shared" si="7"/>
        <v>58.333333333333336</v>
      </c>
      <c r="J188" s="98"/>
      <c r="K188" s="103"/>
    </row>
    <row r="189" spans="1:13" x14ac:dyDescent="0.3">
      <c r="A189" s="4" t="s">
        <v>43</v>
      </c>
      <c r="B189" s="4" t="s">
        <v>47</v>
      </c>
      <c r="C189" s="64">
        <v>5</v>
      </c>
      <c r="D189" s="109">
        <v>4.8</v>
      </c>
      <c r="E189" s="51">
        <v>7</v>
      </c>
      <c r="F189" s="4" t="s">
        <v>92</v>
      </c>
      <c r="G189" s="4" t="s">
        <v>142</v>
      </c>
      <c r="H189" s="48">
        <f>IF(G189&gt;0,VLOOKUP(G189,Apoio!$H$2:$I$24,2,0),"")</f>
        <v>8</v>
      </c>
      <c r="I189" s="44">
        <f t="shared" si="7"/>
        <v>58.333333333333336</v>
      </c>
      <c r="J189" s="98"/>
      <c r="K189" s="103"/>
    </row>
    <row r="190" spans="1:13" x14ac:dyDescent="0.3">
      <c r="A190" s="4" t="s">
        <v>43</v>
      </c>
      <c r="B190" s="4" t="s">
        <v>47</v>
      </c>
      <c r="C190" s="64">
        <v>5</v>
      </c>
      <c r="D190" s="109">
        <v>4.8</v>
      </c>
      <c r="E190" s="51">
        <v>7</v>
      </c>
      <c r="F190" s="4" t="s">
        <v>92</v>
      </c>
      <c r="G190" s="4" t="s">
        <v>145</v>
      </c>
      <c r="H190" s="48">
        <f>IF(G190&gt;0,VLOOKUP(G190,Apoio!$H$2:$I$24,2,0),"")</f>
        <v>7</v>
      </c>
      <c r="I190" s="44">
        <f t="shared" si="7"/>
        <v>51.041666666666671</v>
      </c>
      <c r="J190" s="98"/>
      <c r="K190" s="103"/>
    </row>
    <row r="191" spans="1:13" x14ac:dyDescent="0.3">
      <c r="A191" s="4" t="s">
        <v>43</v>
      </c>
      <c r="B191" s="4" t="s">
        <v>47</v>
      </c>
      <c r="C191" s="64">
        <v>5</v>
      </c>
      <c r="D191" s="109">
        <v>4.8</v>
      </c>
      <c r="E191" s="51">
        <v>7</v>
      </c>
      <c r="F191" s="4" t="s">
        <v>92</v>
      </c>
      <c r="G191" s="4" t="s">
        <v>148</v>
      </c>
      <c r="H191" s="48">
        <f>IF(G191&gt;0,VLOOKUP(G191,Apoio!$H$2:$I$24,2,0),"")</f>
        <v>8</v>
      </c>
      <c r="I191" s="44">
        <f t="shared" si="7"/>
        <v>58.333333333333336</v>
      </c>
      <c r="J191" s="98"/>
      <c r="K191" s="103"/>
    </row>
    <row r="192" spans="1:13" x14ac:dyDescent="0.3">
      <c r="A192" s="4" t="s">
        <v>43</v>
      </c>
      <c r="B192" s="4" t="s">
        <v>47</v>
      </c>
      <c r="C192" s="64">
        <v>5</v>
      </c>
      <c r="D192" s="109">
        <v>4.8</v>
      </c>
      <c r="E192" s="51">
        <v>7</v>
      </c>
      <c r="F192" s="4" t="s">
        <v>92</v>
      </c>
      <c r="G192" s="4" t="s">
        <v>151</v>
      </c>
      <c r="H192" s="48">
        <f>IF(G192&gt;0,VLOOKUP(G192,Apoio!$H$2:$I$24,2,0),"")</f>
        <v>8</v>
      </c>
      <c r="I192" s="44">
        <f t="shared" si="7"/>
        <v>58.333333333333336</v>
      </c>
      <c r="J192" s="98"/>
      <c r="K192" s="103"/>
    </row>
    <row r="193" spans="1:11" x14ac:dyDescent="0.3">
      <c r="A193" s="4" t="s">
        <v>189</v>
      </c>
      <c r="B193" s="4" t="s">
        <v>48</v>
      </c>
      <c r="C193" s="58">
        <v>4</v>
      </c>
      <c r="D193" s="51">
        <v>6.7</v>
      </c>
      <c r="E193" s="51">
        <v>7</v>
      </c>
      <c r="F193" s="4" t="s">
        <v>71</v>
      </c>
      <c r="G193" s="4" t="s">
        <v>70</v>
      </c>
      <c r="H193" s="48">
        <f>IF(G193&gt;0,VLOOKUP(G193,Apoio!$H$2:$I$24,2,0),"")</f>
        <v>7</v>
      </c>
      <c r="I193" s="44">
        <f t="shared" si="7"/>
        <v>29.253731343283583</v>
      </c>
      <c r="J193" s="98"/>
      <c r="K193" s="103"/>
    </row>
    <row r="194" spans="1:11" x14ac:dyDescent="0.3">
      <c r="A194" s="4" t="s">
        <v>189</v>
      </c>
      <c r="B194" s="4" t="s">
        <v>48</v>
      </c>
      <c r="C194" s="58">
        <v>4</v>
      </c>
      <c r="D194" s="51">
        <v>6.7</v>
      </c>
      <c r="E194" s="51">
        <v>7</v>
      </c>
      <c r="F194" s="4" t="s">
        <v>71</v>
      </c>
      <c r="G194" s="4" t="s">
        <v>77</v>
      </c>
      <c r="H194" s="48">
        <f>IF(G194&gt;0,VLOOKUP(G194,Apoio!$H$2:$I$24,2,0),"")</f>
        <v>8</v>
      </c>
      <c r="I194" s="44">
        <f t="shared" si="7"/>
        <v>33.432835820895519</v>
      </c>
      <c r="J194" s="98"/>
      <c r="K194" s="103"/>
    </row>
    <row r="195" spans="1:11" x14ac:dyDescent="0.3">
      <c r="A195" s="4" t="s">
        <v>189</v>
      </c>
      <c r="B195" s="4" t="s">
        <v>48</v>
      </c>
      <c r="C195" s="58">
        <v>4</v>
      </c>
      <c r="D195" s="51">
        <v>6.7</v>
      </c>
      <c r="E195" s="51">
        <v>7</v>
      </c>
      <c r="F195" s="4" t="s">
        <v>71</v>
      </c>
      <c r="G195" s="4" t="s">
        <v>84</v>
      </c>
      <c r="H195" s="48">
        <f>IF(G195&gt;0,VLOOKUP(G195,Apoio!$H$2:$I$24,2,0),"")</f>
        <v>8</v>
      </c>
      <c r="I195" s="44">
        <f t="shared" si="7"/>
        <v>33.432835820895519</v>
      </c>
      <c r="J195" s="98"/>
      <c r="K195" s="103"/>
    </row>
    <row r="196" spans="1:11" x14ac:dyDescent="0.3">
      <c r="A196" s="4" t="s">
        <v>189</v>
      </c>
      <c r="B196" s="4" t="s">
        <v>48</v>
      </c>
      <c r="C196" s="58">
        <v>4</v>
      </c>
      <c r="D196" s="51">
        <v>6.7</v>
      </c>
      <c r="E196" s="51">
        <v>7</v>
      </c>
      <c r="F196" s="4" t="s">
        <v>71</v>
      </c>
      <c r="G196" s="4" t="s">
        <v>91</v>
      </c>
      <c r="H196" s="48">
        <f>IF(G196&gt;0,VLOOKUP(G196,Apoio!$H$2:$I$24,2,0),"")</f>
        <v>6</v>
      </c>
      <c r="I196" s="44">
        <f t="shared" si="7"/>
        <v>25.07462686567164</v>
      </c>
      <c r="J196" s="98"/>
      <c r="K196" s="103"/>
    </row>
    <row r="197" spans="1:11" x14ac:dyDescent="0.3">
      <c r="A197" s="4" t="s">
        <v>189</v>
      </c>
      <c r="B197" s="4" t="s">
        <v>48</v>
      </c>
      <c r="C197" s="58">
        <v>4</v>
      </c>
      <c r="D197" s="51">
        <v>6.7</v>
      </c>
      <c r="E197" s="51">
        <v>7</v>
      </c>
      <c r="F197" s="4" t="s">
        <v>71</v>
      </c>
      <c r="G197" s="4" t="s">
        <v>97</v>
      </c>
      <c r="H197" s="48">
        <f>IF(G197&gt;0,VLOOKUP(G197,Apoio!$H$2:$I$24,2,0),"")</f>
        <v>8</v>
      </c>
      <c r="I197" s="44">
        <f t="shared" si="7"/>
        <v>33.432835820895519</v>
      </c>
      <c r="J197" s="98"/>
      <c r="K197" s="103"/>
    </row>
    <row r="198" spans="1:11" x14ac:dyDescent="0.3">
      <c r="A198" s="4" t="s">
        <v>189</v>
      </c>
      <c r="B198" s="4" t="s">
        <v>48</v>
      </c>
      <c r="C198" s="58">
        <v>4</v>
      </c>
      <c r="D198" s="51">
        <v>6.7</v>
      </c>
      <c r="E198" s="51">
        <v>7</v>
      </c>
      <c r="F198" s="4" t="s">
        <v>71</v>
      </c>
      <c r="G198" s="4" t="s">
        <v>100</v>
      </c>
      <c r="H198" s="48">
        <f>IF(G198&gt;0,VLOOKUP(G198,Apoio!$H$2:$I$24,2,0),"")</f>
        <v>3</v>
      </c>
      <c r="I198" s="44">
        <f t="shared" si="7"/>
        <v>12.53731343283582</v>
      </c>
      <c r="J198" s="98"/>
      <c r="K198" s="103"/>
    </row>
    <row r="199" spans="1:11" x14ac:dyDescent="0.3">
      <c r="A199" s="4" t="s">
        <v>189</v>
      </c>
      <c r="B199" s="4" t="s">
        <v>48</v>
      </c>
      <c r="C199" s="58">
        <v>5</v>
      </c>
      <c r="D199" s="51">
        <v>6.7</v>
      </c>
      <c r="E199" s="51">
        <v>7</v>
      </c>
      <c r="F199" s="4" t="s">
        <v>78</v>
      </c>
      <c r="G199" s="4" t="s">
        <v>103</v>
      </c>
      <c r="H199" s="48">
        <f>IF(G199&gt;0,VLOOKUP(G199,Apoio!$H$2:$I$24,2,0),"")</f>
        <v>6</v>
      </c>
      <c r="I199" s="44">
        <f t="shared" si="7"/>
        <v>31.343283582089551</v>
      </c>
      <c r="J199" s="98"/>
      <c r="K199" s="103"/>
    </row>
    <row r="200" spans="1:11" x14ac:dyDescent="0.3">
      <c r="A200" s="4" t="s">
        <v>189</v>
      </c>
      <c r="B200" s="4" t="s">
        <v>48</v>
      </c>
      <c r="C200" s="58">
        <v>5</v>
      </c>
      <c r="D200" s="51">
        <v>6.7</v>
      </c>
      <c r="E200" s="51">
        <v>7</v>
      </c>
      <c r="F200" s="4" t="s">
        <v>78</v>
      </c>
      <c r="G200" s="4" t="s">
        <v>106</v>
      </c>
      <c r="H200" s="48">
        <f>IF(G200&gt;0,VLOOKUP(G200,Apoio!$H$2:$I$24,2,0),"")</f>
        <v>7</v>
      </c>
      <c r="I200" s="44">
        <f t="shared" si="7"/>
        <v>36.567164179104473</v>
      </c>
      <c r="J200" s="98"/>
      <c r="K200" s="103"/>
    </row>
    <row r="201" spans="1:11" x14ac:dyDescent="0.3">
      <c r="A201" s="4" t="s">
        <v>189</v>
      </c>
      <c r="B201" s="4" t="s">
        <v>48</v>
      </c>
      <c r="C201" s="58">
        <v>5</v>
      </c>
      <c r="D201" s="51">
        <v>6.7</v>
      </c>
      <c r="E201" s="51">
        <v>7</v>
      </c>
      <c r="F201" s="4" t="s">
        <v>78</v>
      </c>
      <c r="G201" s="4" t="s">
        <v>109</v>
      </c>
      <c r="H201" s="48">
        <f>IF(G201&gt;0,VLOOKUP(G201,Apoio!$H$2:$I$24,2,0),"")</f>
        <v>8</v>
      </c>
      <c r="I201" s="44">
        <f t="shared" si="7"/>
        <v>41.791044776119399</v>
      </c>
      <c r="J201" s="98"/>
      <c r="K201" s="103"/>
    </row>
    <row r="202" spans="1:11" x14ac:dyDescent="0.3">
      <c r="A202" s="4" t="s">
        <v>189</v>
      </c>
      <c r="B202" s="4" t="s">
        <v>48</v>
      </c>
      <c r="C202" s="58">
        <v>5</v>
      </c>
      <c r="D202" s="51">
        <v>6.7</v>
      </c>
      <c r="E202" s="51">
        <v>7</v>
      </c>
      <c r="F202" s="4" t="s">
        <v>78</v>
      </c>
      <c r="G202" s="4" t="s">
        <v>112</v>
      </c>
      <c r="H202" s="48">
        <f>IF(G202&gt;0,VLOOKUP(G202,Apoio!$H$2:$I$24,2,0),"")</f>
        <v>8</v>
      </c>
      <c r="I202" s="44">
        <f t="shared" ref="I202:I233" si="8">IF(D202&gt;0,(((H202*E202)*C202)/D202),"")</f>
        <v>41.791044776119399</v>
      </c>
      <c r="J202" s="98"/>
      <c r="K202" s="103"/>
    </row>
    <row r="203" spans="1:11" x14ac:dyDescent="0.3">
      <c r="A203" s="4" t="s">
        <v>189</v>
      </c>
      <c r="B203" s="4" t="s">
        <v>48</v>
      </c>
      <c r="C203" s="58">
        <v>5</v>
      </c>
      <c r="D203" s="51">
        <v>6.7</v>
      </c>
      <c r="E203" s="51">
        <v>7</v>
      </c>
      <c r="F203" s="4" t="s">
        <v>78</v>
      </c>
      <c r="G203" s="4" t="s">
        <v>115</v>
      </c>
      <c r="H203" s="48">
        <f>IF(G203&gt;0,VLOOKUP(G203,Apoio!$H$2:$I$24,2,0),"")</f>
        <v>7</v>
      </c>
      <c r="I203" s="44">
        <f t="shared" si="8"/>
        <v>36.567164179104473</v>
      </c>
      <c r="J203" s="98"/>
      <c r="K203" s="103"/>
    </row>
    <row r="204" spans="1:11" x14ac:dyDescent="0.3">
      <c r="A204" s="4" t="s">
        <v>189</v>
      </c>
      <c r="B204" s="4" t="s">
        <v>48</v>
      </c>
      <c r="C204" s="58">
        <v>5</v>
      </c>
      <c r="D204" s="51">
        <v>6.7</v>
      </c>
      <c r="E204" s="51">
        <v>7</v>
      </c>
      <c r="F204" s="4" t="s">
        <v>78</v>
      </c>
      <c r="G204" s="4" t="s">
        <v>118</v>
      </c>
      <c r="H204" s="48">
        <f>IF(G204&gt;0,VLOOKUP(G204,Apoio!$H$2:$I$24,2,0),"")</f>
        <v>3</v>
      </c>
      <c r="I204" s="44">
        <f t="shared" si="8"/>
        <v>15.671641791044776</v>
      </c>
      <c r="J204" s="98"/>
      <c r="K204" s="103"/>
    </row>
    <row r="205" spans="1:11" x14ac:dyDescent="0.3">
      <c r="A205" s="4" t="s">
        <v>43</v>
      </c>
      <c r="B205" s="4" t="s">
        <v>48</v>
      </c>
      <c r="C205" s="59">
        <v>5</v>
      </c>
      <c r="D205" s="96">
        <v>7</v>
      </c>
      <c r="E205" s="51">
        <v>7</v>
      </c>
      <c r="F205" s="4" t="s">
        <v>85</v>
      </c>
      <c r="G205" s="4" t="s">
        <v>121</v>
      </c>
      <c r="H205" s="48">
        <f>IF(G205&gt;0,VLOOKUP(G205,Apoio!$H$2:$I$24,2,0),"")</f>
        <v>7</v>
      </c>
      <c r="I205" s="44">
        <f t="shared" si="8"/>
        <v>35</v>
      </c>
      <c r="J205" s="98"/>
      <c r="K205" s="103"/>
    </row>
    <row r="206" spans="1:11" x14ac:dyDescent="0.3">
      <c r="A206" s="4" t="s">
        <v>43</v>
      </c>
      <c r="B206" s="4" t="s">
        <v>48</v>
      </c>
      <c r="C206" s="64">
        <v>5</v>
      </c>
      <c r="D206" s="97">
        <v>7</v>
      </c>
      <c r="E206" s="51">
        <v>7</v>
      </c>
      <c r="F206" s="4" t="s">
        <v>85</v>
      </c>
      <c r="G206" s="4" t="s">
        <v>124</v>
      </c>
      <c r="H206" s="48">
        <f>IF(G206&gt;0,VLOOKUP(G206,Apoio!$H$2:$I$24,2,0),"")</f>
        <v>8</v>
      </c>
      <c r="I206" s="44">
        <f t="shared" si="8"/>
        <v>40</v>
      </c>
      <c r="J206" s="98"/>
      <c r="K206" s="103"/>
    </row>
    <row r="207" spans="1:11" x14ac:dyDescent="0.3">
      <c r="A207" s="4" t="s">
        <v>43</v>
      </c>
      <c r="B207" s="4" t="s">
        <v>48</v>
      </c>
      <c r="C207" s="64">
        <v>5</v>
      </c>
      <c r="D207" s="97">
        <v>7</v>
      </c>
      <c r="E207" s="51">
        <v>7</v>
      </c>
      <c r="F207" s="4" t="s">
        <v>85</v>
      </c>
      <c r="G207" s="4" t="s">
        <v>127</v>
      </c>
      <c r="H207" s="48">
        <f>IF(G207&gt;0,VLOOKUP(G207,Apoio!$H$2:$I$24,2,0),"")</f>
        <v>8</v>
      </c>
      <c r="I207" s="44">
        <f t="shared" si="8"/>
        <v>40</v>
      </c>
      <c r="J207" s="98"/>
      <c r="K207" s="103"/>
    </row>
    <row r="208" spans="1:11" x14ac:dyDescent="0.3">
      <c r="A208" s="4" t="s">
        <v>43</v>
      </c>
      <c r="B208" s="4" t="s">
        <v>48</v>
      </c>
      <c r="C208" s="64">
        <v>5</v>
      </c>
      <c r="D208" s="97">
        <v>7</v>
      </c>
      <c r="E208" s="51">
        <v>7</v>
      </c>
      <c r="F208" s="4" t="s">
        <v>85</v>
      </c>
      <c r="G208" s="4" t="s">
        <v>130</v>
      </c>
      <c r="H208" s="48">
        <f>IF(G208&gt;0,VLOOKUP(G208,Apoio!$H$2:$I$24,2,0),"")</f>
        <v>13</v>
      </c>
      <c r="I208" s="44">
        <f t="shared" si="8"/>
        <v>65</v>
      </c>
      <c r="J208" s="98"/>
      <c r="K208" s="103"/>
    </row>
    <row r="209" spans="1:11" x14ac:dyDescent="0.3">
      <c r="A209" s="4" t="s">
        <v>43</v>
      </c>
      <c r="B209" s="4" t="s">
        <v>48</v>
      </c>
      <c r="C209" s="64">
        <v>5</v>
      </c>
      <c r="D209" s="97">
        <v>7</v>
      </c>
      <c r="E209" s="51">
        <v>7</v>
      </c>
      <c r="F209" s="4" t="s">
        <v>85</v>
      </c>
      <c r="G209" s="4" t="s">
        <v>133</v>
      </c>
      <c r="H209" s="48">
        <f>IF(G209&gt;0,VLOOKUP(G209,Apoio!$H$2:$I$24,2,0),"")</f>
        <v>3</v>
      </c>
      <c r="I209" s="44">
        <f t="shared" si="8"/>
        <v>15</v>
      </c>
      <c r="J209" s="98"/>
      <c r="K209" s="103"/>
    </row>
    <row r="210" spans="1:11" x14ac:dyDescent="0.3">
      <c r="A210" s="4" t="s">
        <v>43</v>
      </c>
      <c r="B210" s="4" t="s">
        <v>48</v>
      </c>
      <c r="C210" s="64">
        <v>4.5</v>
      </c>
      <c r="D210" s="110">
        <v>6.9</v>
      </c>
      <c r="E210" s="51">
        <v>7</v>
      </c>
      <c r="F210" s="4" t="s">
        <v>92</v>
      </c>
      <c r="G210" s="4" t="s">
        <v>136</v>
      </c>
      <c r="H210" s="48">
        <f>IF(G210&gt;0,VLOOKUP(G210,Apoio!$H$2:$I$24,2,0),"")</f>
        <v>13</v>
      </c>
      <c r="I210" s="44">
        <f t="shared" si="8"/>
        <v>59.347826086956516</v>
      </c>
      <c r="J210" s="98"/>
      <c r="K210" s="103"/>
    </row>
    <row r="211" spans="1:11" x14ac:dyDescent="0.3">
      <c r="A211" s="4" t="s">
        <v>43</v>
      </c>
      <c r="B211" s="4" t="s">
        <v>48</v>
      </c>
      <c r="C211" s="64">
        <v>4.5</v>
      </c>
      <c r="D211" s="110">
        <v>6.9</v>
      </c>
      <c r="E211" s="51">
        <v>7</v>
      </c>
      <c r="F211" s="4" t="s">
        <v>92</v>
      </c>
      <c r="G211" s="4" t="s">
        <v>139</v>
      </c>
      <c r="H211" s="48">
        <f>IF(G211&gt;0,VLOOKUP(G211,Apoio!$H$2:$I$24,2,0),"")</f>
        <v>8</v>
      </c>
      <c r="I211" s="44">
        <f t="shared" si="8"/>
        <v>36.521739130434781</v>
      </c>
      <c r="J211" s="98"/>
      <c r="K211" s="103"/>
    </row>
    <row r="212" spans="1:11" x14ac:dyDescent="0.3">
      <c r="A212" s="4" t="s">
        <v>43</v>
      </c>
      <c r="B212" s="4" t="s">
        <v>48</v>
      </c>
      <c r="C212" s="64">
        <v>4.5</v>
      </c>
      <c r="D212" s="110">
        <v>6.9</v>
      </c>
      <c r="E212" s="51">
        <v>7</v>
      </c>
      <c r="F212" s="4" t="s">
        <v>92</v>
      </c>
      <c r="G212" s="4" t="s">
        <v>142</v>
      </c>
      <c r="H212" s="48">
        <f>IF(G212&gt;0,VLOOKUP(G212,Apoio!$H$2:$I$24,2,0),"")</f>
        <v>8</v>
      </c>
      <c r="I212" s="44">
        <f t="shared" si="8"/>
        <v>36.521739130434781</v>
      </c>
      <c r="J212" s="98"/>
      <c r="K212" s="103"/>
    </row>
    <row r="213" spans="1:11" x14ac:dyDescent="0.3">
      <c r="A213" s="4" t="s">
        <v>43</v>
      </c>
      <c r="B213" s="4" t="s">
        <v>48</v>
      </c>
      <c r="C213" s="64">
        <v>4.5</v>
      </c>
      <c r="D213" s="110">
        <v>6.9</v>
      </c>
      <c r="E213" s="51">
        <v>7</v>
      </c>
      <c r="F213" s="4" t="s">
        <v>92</v>
      </c>
      <c r="G213" s="4" t="s">
        <v>145</v>
      </c>
      <c r="H213" s="48">
        <f>IF(G213&gt;0,VLOOKUP(G213,Apoio!$H$2:$I$24,2,0),"")</f>
        <v>7</v>
      </c>
      <c r="I213" s="44">
        <f t="shared" si="8"/>
        <v>31.956521739130434</v>
      </c>
      <c r="J213" s="98"/>
      <c r="K213" s="103"/>
    </row>
    <row r="214" spans="1:11" x14ac:dyDescent="0.3">
      <c r="A214" s="4" t="s">
        <v>43</v>
      </c>
      <c r="B214" s="4" t="s">
        <v>48</v>
      </c>
      <c r="C214" s="64">
        <v>4.5</v>
      </c>
      <c r="D214" s="110">
        <v>6.9</v>
      </c>
      <c r="E214" s="51">
        <v>7</v>
      </c>
      <c r="F214" s="4" t="s">
        <v>92</v>
      </c>
      <c r="G214" s="4" t="s">
        <v>148</v>
      </c>
      <c r="H214" s="48">
        <f>IF(G214&gt;0,VLOOKUP(G214,Apoio!$H$2:$I$24,2,0),"")</f>
        <v>8</v>
      </c>
      <c r="I214" s="44">
        <f t="shared" si="8"/>
        <v>36.521739130434781</v>
      </c>
      <c r="J214" s="98"/>
      <c r="K214" s="103"/>
    </row>
    <row r="215" spans="1:11" x14ac:dyDescent="0.3">
      <c r="A215" s="4" t="s">
        <v>43</v>
      </c>
      <c r="B215" s="4" t="s">
        <v>48</v>
      </c>
      <c r="C215" s="64">
        <v>4.5</v>
      </c>
      <c r="D215" s="110">
        <v>6.9</v>
      </c>
      <c r="E215" s="51">
        <v>7</v>
      </c>
      <c r="F215" s="4" t="s">
        <v>92</v>
      </c>
      <c r="G215" s="4" t="s">
        <v>151</v>
      </c>
      <c r="H215" s="48">
        <f>IF(G215&gt;0,VLOOKUP(G215,Apoio!$H$2:$I$24,2,0),"")</f>
        <v>8</v>
      </c>
      <c r="I215" s="44">
        <f t="shared" si="8"/>
        <v>36.521739130434781</v>
      </c>
      <c r="J215" s="98"/>
      <c r="K215" s="103"/>
    </row>
    <row r="216" spans="1:11" x14ac:dyDescent="0.3">
      <c r="A216" s="59" t="s">
        <v>2</v>
      </c>
      <c r="B216" s="58" t="s">
        <v>3</v>
      </c>
      <c r="C216" s="58">
        <v>7</v>
      </c>
      <c r="D216" s="58">
        <v>4.9000000000000004</v>
      </c>
      <c r="E216" s="51">
        <v>7</v>
      </c>
      <c r="F216" s="4" t="s">
        <v>71</v>
      </c>
      <c r="G216" s="4" t="s">
        <v>70</v>
      </c>
      <c r="H216" s="48">
        <f>IF(G216&gt;0,VLOOKUP(G216,Apoio!$H$2:$I$24,2,0),"")</f>
        <v>7</v>
      </c>
      <c r="I216" s="44">
        <f t="shared" si="8"/>
        <v>70</v>
      </c>
      <c r="J216" s="98">
        <f>I216*30%</f>
        <v>21</v>
      </c>
      <c r="K216" s="103"/>
    </row>
    <row r="217" spans="1:11" x14ac:dyDescent="0.3">
      <c r="A217" s="59" t="s">
        <v>2</v>
      </c>
      <c r="B217" s="58" t="s">
        <v>3</v>
      </c>
      <c r="C217" s="58">
        <v>7</v>
      </c>
      <c r="D217" s="58">
        <v>4.9000000000000004</v>
      </c>
      <c r="E217" s="51">
        <v>7</v>
      </c>
      <c r="F217" s="4" t="s">
        <v>71</v>
      </c>
      <c r="G217" s="4" t="s">
        <v>77</v>
      </c>
      <c r="H217" s="48">
        <f>IF(G217&gt;0,VLOOKUP(G217,Apoio!$H$2:$I$24,2,0),"")</f>
        <v>8</v>
      </c>
      <c r="I217" s="44">
        <f t="shared" si="8"/>
        <v>80</v>
      </c>
      <c r="J217" s="98">
        <f t="shared" ref="J217:J261" si="9">I217*30%</f>
        <v>24</v>
      </c>
      <c r="K217" s="103"/>
    </row>
    <row r="218" spans="1:11" x14ac:dyDescent="0.3">
      <c r="A218" s="59" t="s">
        <v>2</v>
      </c>
      <c r="B218" s="58" t="s">
        <v>3</v>
      </c>
      <c r="C218" s="58">
        <v>7</v>
      </c>
      <c r="D218" s="58">
        <v>4.9000000000000004</v>
      </c>
      <c r="E218" s="51">
        <v>7</v>
      </c>
      <c r="F218" s="4" t="s">
        <v>71</v>
      </c>
      <c r="G218" s="4" t="s">
        <v>84</v>
      </c>
      <c r="H218" s="48">
        <f>IF(G218&gt;0,VLOOKUP(G218,Apoio!$H$2:$I$24,2,0),"")</f>
        <v>8</v>
      </c>
      <c r="I218" s="44">
        <f t="shared" si="8"/>
        <v>80</v>
      </c>
      <c r="J218" s="98">
        <f t="shared" si="9"/>
        <v>24</v>
      </c>
      <c r="K218" s="103"/>
    </row>
    <row r="219" spans="1:11" x14ac:dyDescent="0.3">
      <c r="A219" s="59" t="s">
        <v>2</v>
      </c>
      <c r="B219" s="58" t="s">
        <v>3</v>
      </c>
      <c r="C219" s="58">
        <v>7</v>
      </c>
      <c r="D219" s="58">
        <v>4.9000000000000004</v>
      </c>
      <c r="E219" s="51">
        <v>7</v>
      </c>
      <c r="F219" s="4" t="s">
        <v>71</v>
      </c>
      <c r="G219" s="4" t="s">
        <v>91</v>
      </c>
      <c r="H219" s="48">
        <f>IF(G219&gt;0,VLOOKUP(G219,Apoio!$H$2:$I$24,2,0),"")</f>
        <v>6</v>
      </c>
      <c r="I219" s="44">
        <f t="shared" si="8"/>
        <v>59.999999999999993</v>
      </c>
      <c r="J219" s="98">
        <f t="shared" si="9"/>
        <v>17.999999999999996</v>
      </c>
      <c r="K219" s="103"/>
    </row>
    <row r="220" spans="1:11" x14ac:dyDescent="0.3">
      <c r="A220" s="59" t="s">
        <v>2</v>
      </c>
      <c r="B220" s="58" t="s">
        <v>3</v>
      </c>
      <c r="C220" s="58">
        <v>7</v>
      </c>
      <c r="D220" s="58">
        <v>4.9000000000000004</v>
      </c>
      <c r="E220" s="51">
        <v>7</v>
      </c>
      <c r="F220" s="4" t="s">
        <v>71</v>
      </c>
      <c r="G220" s="4" t="s">
        <v>97</v>
      </c>
      <c r="H220" s="48">
        <f>IF(G220&gt;0,VLOOKUP(G220,Apoio!$H$2:$I$24,2,0),"")</f>
        <v>8</v>
      </c>
      <c r="I220" s="44">
        <f t="shared" si="8"/>
        <v>80</v>
      </c>
      <c r="J220" s="98">
        <f t="shared" si="9"/>
        <v>24</v>
      </c>
      <c r="K220" s="103"/>
    </row>
    <row r="221" spans="1:11" x14ac:dyDescent="0.3">
      <c r="A221" s="59" t="s">
        <v>2</v>
      </c>
      <c r="B221" s="58" t="s">
        <v>3</v>
      </c>
      <c r="C221" s="58">
        <v>7</v>
      </c>
      <c r="D221" s="58">
        <v>4.9000000000000004</v>
      </c>
      <c r="E221" s="51">
        <v>7</v>
      </c>
      <c r="F221" s="4" t="s">
        <v>71</v>
      </c>
      <c r="G221" s="4" t="s">
        <v>100</v>
      </c>
      <c r="H221" s="48">
        <f>IF(G221&gt;0,VLOOKUP(G221,Apoio!$H$2:$I$24,2,0),"")</f>
        <v>3</v>
      </c>
      <c r="I221" s="44">
        <f t="shared" si="8"/>
        <v>29.999999999999996</v>
      </c>
      <c r="J221" s="98">
        <f t="shared" si="9"/>
        <v>8.9999999999999982</v>
      </c>
      <c r="K221" s="103"/>
    </row>
    <row r="222" spans="1:11" x14ac:dyDescent="0.3">
      <c r="A222" s="59" t="s">
        <v>2</v>
      </c>
      <c r="B222" s="58" t="s">
        <v>3</v>
      </c>
      <c r="C222" s="58">
        <v>4.5999999999999996</v>
      </c>
      <c r="D222" s="58">
        <v>5.3</v>
      </c>
      <c r="E222" s="51">
        <v>7</v>
      </c>
      <c r="F222" s="4" t="s">
        <v>78</v>
      </c>
      <c r="G222" s="4" t="s">
        <v>103</v>
      </c>
      <c r="H222" s="48">
        <f>IF(G222&gt;0,VLOOKUP(G222,Apoio!$H$2:$I$24,2,0),"")</f>
        <v>6</v>
      </c>
      <c r="I222" s="44">
        <f t="shared" si="8"/>
        <v>36.452830188679243</v>
      </c>
      <c r="J222" s="98">
        <f t="shared" ref="J222:J227" si="10">I222*15%</f>
        <v>5.4679245283018867</v>
      </c>
      <c r="K222" s="103"/>
    </row>
    <row r="223" spans="1:11" x14ac:dyDescent="0.3">
      <c r="A223" s="59" t="s">
        <v>2</v>
      </c>
      <c r="B223" s="58" t="s">
        <v>3</v>
      </c>
      <c r="C223" s="58">
        <v>5</v>
      </c>
      <c r="D223" s="58">
        <v>5.3</v>
      </c>
      <c r="E223" s="51">
        <v>7</v>
      </c>
      <c r="F223" s="4" t="s">
        <v>78</v>
      </c>
      <c r="G223" s="4" t="s">
        <v>106</v>
      </c>
      <c r="H223" s="48">
        <f>IF(G223&gt;0,VLOOKUP(G223,Apoio!$H$2:$I$24,2,0),"")</f>
        <v>7</v>
      </c>
      <c r="I223" s="44">
        <f t="shared" si="8"/>
        <v>46.226415094339622</v>
      </c>
      <c r="J223" s="98">
        <f t="shared" si="10"/>
        <v>6.9339622641509431</v>
      </c>
      <c r="K223" s="103"/>
    </row>
    <row r="224" spans="1:11" x14ac:dyDescent="0.3">
      <c r="A224" s="59" t="s">
        <v>2</v>
      </c>
      <c r="B224" s="58" t="s">
        <v>3</v>
      </c>
      <c r="C224" s="58">
        <v>6</v>
      </c>
      <c r="D224" s="58">
        <v>5.3</v>
      </c>
      <c r="E224" s="51">
        <v>7</v>
      </c>
      <c r="F224" s="4" t="s">
        <v>78</v>
      </c>
      <c r="G224" s="4" t="s">
        <v>109</v>
      </c>
      <c r="H224" s="48">
        <f>IF(G224&gt;0,VLOOKUP(G224,Apoio!$H$2:$I$24,2,0),"")</f>
        <v>8</v>
      </c>
      <c r="I224" s="44">
        <f t="shared" si="8"/>
        <v>63.39622641509434</v>
      </c>
      <c r="J224" s="98">
        <f t="shared" si="10"/>
        <v>9.5094339622641506</v>
      </c>
      <c r="K224" s="103"/>
    </row>
    <row r="225" spans="1:11" x14ac:dyDescent="0.3">
      <c r="A225" s="59" t="s">
        <v>2</v>
      </c>
      <c r="B225" s="58" t="s">
        <v>3</v>
      </c>
      <c r="C225" s="58">
        <v>4</v>
      </c>
      <c r="D225" s="58">
        <v>5.3</v>
      </c>
      <c r="E225" s="51">
        <v>7</v>
      </c>
      <c r="F225" s="4" t="s">
        <v>78</v>
      </c>
      <c r="G225" s="4" t="s">
        <v>112</v>
      </c>
      <c r="H225" s="48">
        <f>IF(G225&gt;0,VLOOKUP(G225,Apoio!$H$2:$I$24,2,0),"")</f>
        <v>8</v>
      </c>
      <c r="I225" s="44">
        <f t="shared" si="8"/>
        <v>42.264150943396231</v>
      </c>
      <c r="J225" s="98">
        <f t="shared" si="10"/>
        <v>6.3396226415094343</v>
      </c>
      <c r="K225" s="103"/>
    </row>
    <row r="226" spans="1:11" x14ac:dyDescent="0.3">
      <c r="A226" s="59" t="s">
        <v>2</v>
      </c>
      <c r="B226" s="58" t="s">
        <v>3</v>
      </c>
      <c r="C226" s="58">
        <v>5</v>
      </c>
      <c r="D226" s="58">
        <v>5.3</v>
      </c>
      <c r="E226" s="51">
        <v>7</v>
      </c>
      <c r="F226" s="4" t="s">
        <v>78</v>
      </c>
      <c r="G226" s="4" t="s">
        <v>115</v>
      </c>
      <c r="H226" s="48">
        <f>IF(G226&gt;0,VLOOKUP(G226,Apoio!$H$2:$I$24,2,0),"")</f>
        <v>7</v>
      </c>
      <c r="I226" s="44">
        <f t="shared" si="8"/>
        <v>46.226415094339622</v>
      </c>
      <c r="J226" s="98">
        <f t="shared" si="10"/>
        <v>6.9339622641509431</v>
      </c>
      <c r="K226" s="103"/>
    </row>
    <row r="227" spans="1:11" x14ac:dyDescent="0.3">
      <c r="A227" s="58" t="s">
        <v>2</v>
      </c>
      <c r="B227" s="58" t="s">
        <v>3</v>
      </c>
      <c r="C227" s="58">
        <v>4</v>
      </c>
      <c r="D227" s="58">
        <v>5.3</v>
      </c>
      <c r="E227" s="51">
        <v>7</v>
      </c>
      <c r="F227" s="4" t="s">
        <v>78</v>
      </c>
      <c r="G227" s="4" t="s">
        <v>118</v>
      </c>
      <c r="H227" s="48">
        <f>IF(G227&gt;0,VLOOKUP(G227,Apoio!$H$2:$I$24,2,0),"")</f>
        <v>3</v>
      </c>
      <c r="I227" s="44">
        <f t="shared" si="8"/>
        <v>15.849056603773585</v>
      </c>
      <c r="J227" s="98">
        <f t="shared" si="10"/>
        <v>2.3773584905660377</v>
      </c>
      <c r="K227" s="103"/>
    </row>
    <row r="228" spans="1:11" x14ac:dyDescent="0.3">
      <c r="A228" s="58" t="s">
        <v>2</v>
      </c>
      <c r="B228" s="58" t="s">
        <v>3</v>
      </c>
      <c r="C228" s="58">
        <v>4.2</v>
      </c>
      <c r="D228" s="58">
        <v>6.1</v>
      </c>
      <c r="E228" s="51">
        <v>7</v>
      </c>
      <c r="F228" s="4" t="s">
        <v>85</v>
      </c>
      <c r="G228" s="4" t="s">
        <v>121</v>
      </c>
      <c r="H228" s="48">
        <f>IF(G228&gt;0,VLOOKUP(G228,Apoio!$H$2:$I$24,2,0),"")</f>
        <v>7</v>
      </c>
      <c r="I228" s="44">
        <f t="shared" si="8"/>
        <v>33.73770491803279</v>
      </c>
      <c r="J228" s="98">
        <v>7</v>
      </c>
      <c r="K228" s="103" t="s">
        <v>221</v>
      </c>
    </row>
    <row r="229" spans="1:11" x14ac:dyDescent="0.3">
      <c r="A229" s="58" t="s">
        <v>2</v>
      </c>
      <c r="B229" s="58" t="s">
        <v>3</v>
      </c>
      <c r="C229" s="58">
        <v>3.5</v>
      </c>
      <c r="D229" s="58">
        <v>6.1</v>
      </c>
      <c r="E229" s="51">
        <v>7</v>
      </c>
      <c r="F229" s="4" t="s">
        <v>85</v>
      </c>
      <c r="G229" s="4" t="s">
        <v>124</v>
      </c>
      <c r="H229" s="48">
        <f>IF(G229&gt;0,VLOOKUP(G229,Apoio!$H$2:$I$24,2,0),"")</f>
        <v>8</v>
      </c>
      <c r="I229" s="44">
        <f t="shared" si="8"/>
        <v>32.131147540983605</v>
      </c>
      <c r="J229" s="98">
        <v>6</v>
      </c>
      <c r="K229" s="103" t="s">
        <v>221</v>
      </c>
    </row>
    <row r="230" spans="1:11" x14ac:dyDescent="0.3">
      <c r="A230" s="58" t="s">
        <v>2</v>
      </c>
      <c r="B230" s="58" t="s">
        <v>3</v>
      </c>
      <c r="C230" s="58">
        <v>4.8</v>
      </c>
      <c r="D230" s="58">
        <v>6.1</v>
      </c>
      <c r="E230" s="51">
        <v>7</v>
      </c>
      <c r="F230" s="4" t="s">
        <v>85</v>
      </c>
      <c r="G230" s="4" t="s">
        <v>127</v>
      </c>
      <c r="H230" s="48">
        <f>IF(G230&gt;0,VLOOKUP(G230,Apoio!$H$2:$I$24,2,0),"")</f>
        <v>8</v>
      </c>
      <c r="I230" s="44">
        <f t="shared" si="8"/>
        <v>44.06557377049181</v>
      </c>
      <c r="J230" s="98">
        <v>10</v>
      </c>
      <c r="K230" s="103" t="s">
        <v>221</v>
      </c>
    </row>
    <row r="231" spans="1:11" x14ac:dyDescent="0.3">
      <c r="A231" s="58" t="s">
        <v>2</v>
      </c>
      <c r="B231" s="58" t="s">
        <v>3</v>
      </c>
      <c r="C231" s="58">
        <v>4.3</v>
      </c>
      <c r="D231" s="58">
        <v>6.1</v>
      </c>
      <c r="E231" s="51">
        <v>7</v>
      </c>
      <c r="F231" s="4" t="s">
        <v>85</v>
      </c>
      <c r="G231" s="4" t="s">
        <v>130</v>
      </c>
      <c r="H231" s="48">
        <f>IF(G231&gt;0,VLOOKUP(G231,Apoio!$H$2:$I$24,2,0),"")</f>
        <v>13</v>
      </c>
      <c r="I231" s="44">
        <f t="shared" si="8"/>
        <v>64.147540983606561</v>
      </c>
      <c r="J231" s="98">
        <v>13</v>
      </c>
      <c r="K231" s="103" t="s">
        <v>221</v>
      </c>
    </row>
    <row r="232" spans="1:11" x14ac:dyDescent="0.3">
      <c r="A232" s="58" t="s">
        <v>2</v>
      </c>
      <c r="B232" s="58" t="s">
        <v>3</v>
      </c>
      <c r="C232" s="58">
        <v>5</v>
      </c>
      <c r="D232" s="58">
        <v>6.1</v>
      </c>
      <c r="E232" s="51">
        <v>7</v>
      </c>
      <c r="F232" s="4" t="s">
        <v>85</v>
      </c>
      <c r="G232" s="4" t="s">
        <v>133</v>
      </c>
      <c r="H232" s="48">
        <f>IF(G232&gt;0,VLOOKUP(G232,Apoio!$H$2:$I$24,2,0),"")</f>
        <v>3</v>
      </c>
      <c r="I232" s="44">
        <f t="shared" si="8"/>
        <v>17.213114754098363</v>
      </c>
      <c r="J232" s="98">
        <v>5</v>
      </c>
      <c r="K232" s="103" t="s">
        <v>221</v>
      </c>
    </row>
    <row r="233" spans="1:11" x14ac:dyDescent="0.3">
      <c r="A233" s="59" t="s">
        <v>2</v>
      </c>
      <c r="B233" s="58" t="s">
        <v>3</v>
      </c>
      <c r="C233" s="58">
        <v>5</v>
      </c>
      <c r="D233" s="58">
        <v>8.3000000000000007</v>
      </c>
      <c r="E233" s="51">
        <v>7</v>
      </c>
      <c r="F233" s="4" t="s">
        <v>92</v>
      </c>
      <c r="G233" s="4" t="s">
        <v>136</v>
      </c>
      <c r="H233" s="48">
        <f>IF(G233&gt;0,VLOOKUP(G233,Apoio!$H$2:$I$24,2,0),"")</f>
        <v>13</v>
      </c>
      <c r="I233" s="44">
        <f t="shared" si="8"/>
        <v>54.819277108433731</v>
      </c>
      <c r="J233" s="98">
        <f t="shared" si="9"/>
        <v>16.445783132530117</v>
      </c>
      <c r="K233" s="103"/>
    </row>
    <row r="234" spans="1:11" x14ac:dyDescent="0.3">
      <c r="A234" s="59" t="s">
        <v>2</v>
      </c>
      <c r="B234" s="58" t="s">
        <v>3</v>
      </c>
      <c r="C234" s="58">
        <v>5</v>
      </c>
      <c r="D234" s="58">
        <v>8.3000000000000007</v>
      </c>
      <c r="E234" s="51">
        <v>7</v>
      </c>
      <c r="F234" s="4" t="s">
        <v>92</v>
      </c>
      <c r="G234" s="4" t="s">
        <v>139</v>
      </c>
      <c r="H234" s="48">
        <f>IF(G234&gt;0,VLOOKUP(G234,Apoio!$H$2:$I$24,2,0),"")</f>
        <v>8</v>
      </c>
      <c r="I234" s="44">
        <f t="shared" ref="I234:I265" si="11">IF(D234&gt;0,(((H234*E234)*C234)/D234),"")</f>
        <v>33.734939759036145</v>
      </c>
      <c r="J234" s="98">
        <f t="shared" si="9"/>
        <v>10.120481927710843</v>
      </c>
      <c r="K234" s="103"/>
    </row>
    <row r="235" spans="1:11" x14ac:dyDescent="0.3">
      <c r="A235" s="59" t="s">
        <v>2</v>
      </c>
      <c r="B235" s="58" t="s">
        <v>3</v>
      </c>
      <c r="C235" s="58">
        <v>5</v>
      </c>
      <c r="D235" s="58">
        <v>8.3000000000000007</v>
      </c>
      <c r="E235" s="51">
        <v>7</v>
      </c>
      <c r="F235" s="4" t="s">
        <v>92</v>
      </c>
      <c r="G235" s="4" t="s">
        <v>142</v>
      </c>
      <c r="H235" s="48">
        <f>IF(G235&gt;0,VLOOKUP(G235,Apoio!$H$2:$I$24,2,0),"")</f>
        <v>8</v>
      </c>
      <c r="I235" s="44">
        <f t="shared" si="11"/>
        <v>33.734939759036145</v>
      </c>
      <c r="J235" s="98">
        <f t="shared" si="9"/>
        <v>10.120481927710843</v>
      </c>
      <c r="K235" s="103"/>
    </row>
    <row r="236" spans="1:11" x14ac:dyDescent="0.3">
      <c r="A236" s="59" t="s">
        <v>2</v>
      </c>
      <c r="B236" s="58" t="s">
        <v>3</v>
      </c>
      <c r="C236" s="58">
        <v>5</v>
      </c>
      <c r="D236" s="58">
        <v>8.3000000000000007</v>
      </c>
      <c r="E236" s="51">
        <v>7</v>
      </c>
      <c r="F236" s="4" t="s">
        <v>92</v>
      </c>
      <c r="G236" s="4" t="s">
        <v>145</v>
      </c>
      <c r="H236" s="48">
        <f>IF(G236&gt;0,VLOOKUP(G236,Apoio!$H$2:$I$24,2,0),"")</f>
        <v>7</v>
      </c>
      <c r="I236" s="44">
        <f t="shared" si="11"/>
        <v>29.518072289156624</v>
      </c>
      <c r="J236" s="98">
        <f t="shared" si="9"/>
        <v>8.8554216867469862</v>
      </c>
      <c r="K236" s="103"/>
    </row>
    <row r="237" spans="1:11" x14ac:dyDescent="0.3">
      <c r="A237" s="59" t="s">
        <v>2</v>
      </c>
      <c r="B237" s="58" t="s">
        <v>3</v>
      </c>
      <c r="C237" s="58">
        <v>5</v>
      </c>
      <c r="D237" s="58">
        <v>8.3000000000000007</v>
      </c>
      <c r="E237" s="51">
        <v>7</v>
      </c>
      <c r="F237" s="4" t="s">
        <v>92</v>
      </c>
      <c r="G237" s="4" t="s">
        <v>148</v>
      </c>
      <c r="H237" s="48">
        <f>IF(G237&gt;0,VLOOKUP(G237,Apoio!$H$2:$I$24,2,0),"")</f>
        <v>8</v>
      </c>
      <c r="I237" s="44">
        <f t="shared" si="11"/>
        <v>33.734939759036145</v>
      </c>
      <c r="J237" s="98">
        <f t="shared" si="9"/>
        <v>10.120481927710843</v>
      </c>
      <c r="K237" s="103"/>
    </row>
    <row r="238" spans="1:11" x14ac:dyDescent="0.3">
      <c r="A238" s="59" t="s">
        <v>2</v>
      </c>
      <c r="B238" s="58" t="s">
        <v>3</v>
      </c>
      <c r="C238" s="58">
        <v>5</v>
      </c>
      <c r="D238" s="58">
        <v>8.3000000000000007</v>
      </c>
      <c r="E238" s="51">
        <v>7</v>
      </c>
      <c r="F238" s="4" t="s">
        <v>92</v>
      </c>
      <c r="G238" s="4" t="s">
        <v>151</v>
      </c>
      <c r="H238" s="48">
        <f>IF(G238&gt;0,VLOOKUP(G238,Apoio!$H$2:$I$24,2,0),"")</f>
        <v>8</v>
      </c>
      <c r="I238" s="44">
        <f t="shared" si="11"/>
        <v>33.734939759036145</v>
      </c>
      <c r="J238" s="98">
        <f t="shared" si="9"/>
        <v>10.120481927710843</v>
      </c>
      <c r="K238" s="103"/>
    </row>
    <row r="239" spans="1:11" x14ac:dyDescent="0.3">
      <c r="A239" s="59" t="s">
        <v>2</v>
      </c>
      <c r="B239" s="58" t="s">
        <v>4</v>
      </c>
      <c r="C239" s="58">
        <v>6</v>
      </c>
      <c r="D239" s="58">
        <v>4.4000000000000004</v>
      </c>
      <c r="E239" s="51">
        <v>7</v>
      </c>
      <c r="F239" s="4" t="s">
        <v>71</v>
      </c>
      <c r="G239" s="4" t="s">
        <v>70</v>
      </c>
      <c r="H239" s="48">
        <f>IF(G239&gt;0,VLOOKUP(G239,Apoio!$H$2:$I$24,2,0),"")</f>
        <v>7</v>
      </c>
      <c r="I239" s="44">
        <f t="shared" si="11"/>
        <v>66.818181818181813</v>
      </c>
      <c r="J239" s="98">
        <f>I239*30%</f>
        <v>20.045454545454543</v>
      </c>
      <c r="K239" s="103"/>
    </row>
    <row r="240" spans="1:11" x14ac:dyDescent="0.3">
      <c r="A240" s="59" t="s">
        <v>2</v>
      </c>
      <c r="B240" s="58" t="s">
        <v>4</v>
      </c>
      <c r="C240" s="58">
        <v>10</v>
      </c>
      <c r="D240" s="58">
        <v>4.4000000000000004</v>
      </c>
      <c r="E240" s="51">
        <v>7</v>
      </c>
      <c r="F240" s="4" t="s">
        <v>71</v>
      </c>
      <c r="G240" s="4" t="s">
        <v>77</v>
      </c>
      <c r="H240" s="48">
        <f>IF(G240&gt;0,VLOOKUP(G240,Apoio!$H$2:$I$24,2,0),"")</f>
        <v>8</v>
      </c>
      <c r="I240" s="44">
        <f t="shared" si="11"/>
        <v>127.27272727272727</v>
      </c>
      <c r="J240" s="98">
        <f t="shared" si="9"/>
        <v>38.18181818181818</v>
      </c>
      <c r="K240" s="103"/>
    </row>
    <row r="241" spans="1:11" x14ac:dyDescent="0.3">
      <c r="A241" s="59" t="s">
        <v>2</v>
      </c>
      <c r="B241" s="58" t="s">
        <v>4</v>
      </c>
      <c r="C241" s="58">
        <v>7.5</v>
      </c>
      <c r="D241" s="58">
        <v>4.4000000000000004</v>
      </c>
      <c r="E241" s="51">
        <v>7</v>
      </c>
      <c r="F241" s="4" t="s">
        <v>71</v>
      </c>
      <c r="G241" s="4" t="s">
        <v>84</v>
      </c>
      <c r="H241" s="48">
        <f>IF(G241&gt;0,VLOOKUP(G241,Apoio!$H$2:$I$24,2,0),"")</f>
        <v>8</v>
      </c>
      <c r="I241" s="44">
        <f t="shared" si="11"/>
        <v>95.454545454545453</v>
      </c>
      <c r="J241" s="98">
        <f t="shared" si="9"/>
        <v>28.636363636363637</v>
      </c>
      <c r="K241" s="103"/>
    </row>
    <row r="242" spans="1:11" x14ac:dyDescent="0.3">
      <c r="A242" s="59" t="s">
        <v>2</v>
      </c>
      <c r="B242" s="58" t="s">
        <v>4</v>
      </c>
      <c r="C242" s="58">
        <v>7</v>
      </c>
      <c r="D242" s="58">
        <v>4.4000000000000004</v>
      </c>
      <c r="E242" s="51">
        <v>7</v>
      </c>
      <c r="F242" s="4" t="s">
        <v>71</v>
      </c>
      <c r="G242" s="4" t="s">
        <v>91</v>
      </c>
      <c r="H242" s="48">
        <f>IF(G242&gt;0,VLOOKUP(G242,Apoio!$H$2:$I$24,2,0),"")</f>
        <v>6</v>
      </c>
      <c r="I242" s="44">
        <f t="shared" si="11"/>
        <v>66.818181818181813</v>
      </c>
      <c r="J242" s="98">
        <f t="shared" si="9"/>
        <v>20.045454545454543</v>
      </c>
      <c r="K242" s="103"/>
    </row>
    <row r="243" spans="1:11" x14ac:dyDescent="0.3">
      <c r="A243" s="59" t="s">
        <v>2</v>
      </c>
      <c r="B243" s="58" t="s">
        <v>4</v>
      </c>
      <c r="C243" s="58">
        <v>7</v>
      </c>
      <c r="D243" s="58">
        <v>4.4000000000000004</v>
      </c>
      <c r="E243" s="51">
        <v>7</v>
      </c>
      <c r="F243" s="4" t="s">
        <v>71</v>
      </c>
      <c r="G243" s="4" t="s">
        <v>97</v>
      </c>
      <c r="H243" s="48">
        <f>IF(G243&gt;0,VLOOKUP(G243,Apoio!$H$2:$I$24,2,0),"")</f>
        <v>8</v>
      </c>
      <c r="I243" s="44">
        <f t="shared" si="11"/>
        <v>89.090909090909079</v>
      </c>
      <c r="J243" s="98">
        <f t="shared" si="9"/>
        <v>26.727272727272723</v>
      </c>
      <c r="K243" s="103"/>
    </row>
    <row r="244" spans="1:11" x14ac:dyDescent="0.3">
      <c r="A244" s="59" t="s">
        <v>2</v>
      </c>
      <c r="B244" s="58" t="s">
        <v>4</v>
      </c>
      <c r="C244" s="58">
        <v>7</v>
      </c>
      <c r="D244" s="58">
        <v>4.4000000000000004</v>
      </c>
      <c r="E244" s="51">
        <v>7</v>
      </c>
      <c r="F244" s="4" t="s">
        <v>71</v>
      </c>
      <c r="G244" s="4" t="s">
        <v>100</v>
      </c>
      <c r="H244" s="48">
        <f>IF(G244&gt;0,VLOOKUP(G244,Apoio!$H$2:$I$24,2,0),"")</f>
        <v>3</v>
      </c>
      <c r="I244" s="44">
        <f t="shared" si="11"/>
        <v>33.409090909090907</v>
      </c>
      <c r="J244" s="98">
        <f t="shared" si="9"/>
        <v>10.022727272727272</v>
      </c>
      <c r="K244" s="103"/>
    </row>
    <row r="245" spans="1:11" x14ac:dyDescent="0.3">
      <c r="A245" s="59" t="s">
        <v>2</v>
      </c>
      <c r="B245" s="58" t="s">
        <v>4</v>
      </c>
      <c r="C245" s="58">
        <v>4</v>
      </c>
      <c r="D245" s="58">
        <v>4</v>
      </c>
      <c r="E245" s="51">
        <v>7</v>
      </c>
      <c r="F245" s="4" t="s">
        <v>78</v>
      </c>
      <c r="G245" s="4" t="s">
        <v>103</v>
      </c>
      <c r="H245" s="48">
        <f>IF(G245&gt;0,VLOOKUP(G245,Apoio!$H$2:$I$24,2,0),"")</f>
        <v>6</v>
      </c>
      <c r="I245" s="44">
        <f t="shared" si="11"/>
        <v>42</v>
      </c>
      <c r="J245" s="98">
        <f t="shared" ref="J245:J250" si="12">I245*15%</f>
        <v>6.3</v>
      </c>
      <c r="K245" s="103"/>
    </row>
    <row r="246" spans="1:11" x14ac:dyDescent="0.3">
      <c r="A246" s="59" t="s">
        <v>2</v>
      </c>
      <c r="B246" s="58" t="s">
        <v>4</v>
      </c>
      <c r="C246" s="58">
        <v>7</v>
      </c>
      <c r="D246" s="58">
        <v>4</v>
      </c>
      <c r="E246" s="51">
        <v>7</v>
      </c>
      <c r="F246" s="4" t="s">
        <v>78</v>
      </c>
      <c r="G246" s="4" t="s">
        <v>106</v>
      </c>
      <c r="H246" s="48">
        <f>IF(G246&gt;0,VLOOKUP(G246,Apoio!$H$2:$I$24,2,0),"")</f>
        <v>7</v>
      </c>
      <c r="I246" s="44">
        <f t="shared" si="11"/>
        <v>85.75</v>
      </c>
      <c r="J246" s="98">
        <f t="shared" si="12"/>
        <v>12.862499999999999</v>
      </c>
      <c r="K246" s="103"/>
    </row>
    <row r="247" spans="1:11" x14ac:dyDescent="0.3">
      <c r="A247" s="59" t="s">
        <v>2</v>
      </c>
      <c r="B247" s="58" t="s">
        <v>4</v>
      </c>
      <c r="C247" s="58">
        <v>8</v>
      </c>
      <c r="D247" s="58">
        <v>4</v>
      </c>
      <c r="E247" s="51">
        <v>7</v>
      </c>
      <c r="F247" s="4" t="s">
        <v>78</v>
      </c>
      <c r="G247" s="4" t="s">
        <v>109</v>
      </c>
      <c r="H247" s="48">
        <f>IF(G247&gt;0,VLOOKUP(G247,Apoio!$H$2:$I$24,2,0),"")</f>
        <v>8</v>
      </c>
      <c r="I247" s="44">
        <f t="shared" si="11"/>
        <v>112</v>
      </c>
      <c r="J247" s="98">
        <f t="shared" si="12"/>
        <v>16.8</v>
      </c>
      <c r="K247" s="103"/>
    </row>
    <row r="248" spans="1:11" x14ac:dyDescent="0.3">
      <c r="A248" s="59" t="s">
        <v>2</v>
      </c>
      <c r="B248" s="58" t="s">
        <v>4</v>
      </c>
      <c r="C248" s="58">
        <v>8</v>
      </c>
      <c r="D248" s="58">
        <v>4</v>
      </c>
      <c r="E248" s="51">
        <v>7</v>
      </c>
      <c r="F248" s="4" t="s">
        <v>78</v>
      </c>
      <c r="G248" s="4" t="s">
        <v>112</v>
      </c>
      <c r="H248" s="48">
        <f>IF(G248&gt;0,VLOOKUP(G248,Apoio!$H$2:$I$24,2,0),"")</f>
        <v>8</v>
      </c>
      <c r="I248" s="44">
        <f t="shared" si="11"/>
        <v>112</v>
      </c>
      <c r="J248" s="98">
        <f t="shared" si="12"/>
        <v>16.8</v>
      </c>
      <c r="K248" s="103"/>
    </row>
    <row r="249" spans="1:11" x14ac:dyDescent="0.3">
      <c r="A249" s="59" t="s">
        <v>2</v>
      </c>
      <c r="B249" s="58" t="s">
        <v>4</v>
      </c>
      <c r="C249" s="58">
        <v>8</v>
      </c>
      <c r="D249" s="58">
        <v>4</v>
      </c>
      <c r="E249" s="51">
        <v>7</v>
      </c>
      <c r="F249" s="4" t="s">
        <v>78</v>
      </c>
      <c r="G249" s="4" t="s">
        <v>115</v>
      </c>
      <c r="H249" s="48">
        <f>IF(G249&gt;0,VLOOKUP(G249,Apoio!$H$2:$I$24,2,0),"")</f>
        <v>7</v>
      </c>
      <c r="I249" s="44">
        <f t="shared" si="11"/>
        <v>98</v>
      </c>
      <c r="J249" s="98">
        <f t="shared" si="12"/>
        <v>14.7</v>
      </c>
      <c r="K249" s="103"/>
    </row>
    <row r="250" spans="1:11" x14ac:dyDescent="0.3">
      <c r="A250" s="58" t="s">
        <v>2</v>
      </c>
      <c r="B250" s="58" t="s">
        <v>4</v>
      </c>
      <c r="C250" s="58">
        <v>8</v>
      </c>
      <c r="D250" s="58">
        <v>4</v>
      </c>
      <c r="E250" s="51">
        <v>7</v>
      </c>
      <c r="F250" s="4" t="s">
        <v>78</v>
      </c>
      <c r="G250" s="4" t="s">
        <v>118</v>
      </c>
      <c r="H250" s="48">
        <f>IF(G250&gt;0,VLOOKUP(G250,Apoio!$H$2:$I$24,2,0),"")</f>
        <v>3</v>
      </c>
      <c r="I250" s="44">
        <f t="shared" si="11"/>
        <v>42</v>
      </c>
      <c r="J250" s="98">
        <f t="shared" si="12"/>
        <v>6.3</v>
      </c>
      <c r="K250" s="103"/>
    </row>
    <row r="251" spans="1:11" x14ac:dyDescent="0.3">
      <c r="A251" s="58" t="s">
        <v>2</v>
      </c>
      <c r="B251" s="58" t="s">
        <v>4</v>
      </c>
      <c r="C251" s="58">
        <v>4.5</v>
      </c>
      <c r="D251" s="58">
        <v>4.4000000000000004</v>
      </c>
      <c r="E251" s="51">
        <v>7</v>
      </c>
      <c r="F251" s="4" t="s">
        <v>85</v>
      </c>
      <c r="G251" s="4" t="s">
        <v>121</v>
      </c>
      <c r="H251" s="48">
        <f>IF(G251&gt;0,VLOOKUP(G251,Apoio!$H$2:$I$24,2,0),"")</f>
        <v>7</v>
      </c>
      <c r="I251" s="44">
        <f t="shared" si="11"/>
        <v>50.11363636363636</v>
      </c>
      <c r="J251" s="98">
        <v>16</v>
      </c>
      <c r="K251" s="103" t="s">
        <v>221</v>
      </c>
    </row>
    <row r="252" spans="1:11" x14ac:dyDescent="0.3">
      <c r="A252" s="58" t="s">
        <v>2</v>
      </c>
      <c r="B252" s="58" t="s">
        <v>4</v>
      </c>
      <c r="C252" s="58">
        <v>3.5</v>
      </c>
      <c r="D252" s="58">
        <v>4.4000000000000004</v>
      </c>
      <c r="E252" s="51">
        <v>7</v>
      </c>
      <c r="F252" s="4" t="s">
        <v>85</v>
      </c>
      <c r="G252" s="4" t="s">
        <v>124</v>
      </c>
      <c r="H252" s="48">
        <f>IF(G252&gt;0,VLOOKUP(G252,Apoio!$H$2:$I$24,2,0),"")</f>
        <v>8</v>
      </c>
      <c r="I252" s="44">
        <f t="shared" si="11"/>
        <v>44.54545454545454</v>
      </c>
      <c r="J252" s="98">
        <v>21</v>
      </c>
      <c r="K252" s="103" t="s">
        <v>221</v>
      </c>
    </row>
    <row r="253" spans="1:11" x14ac:dyDescent="0.3">
      <c r="A253" s="58" t="s">
        <v>2</v>
      </c>
      <c r="B253" s="58" t="s">
        <v>4</v>
      </c>
      <c r="C253" s="58">
        <v>5.5</v>
      </c>
      <c r="D253" s="58">
        <v>4.4000000000000004</v>
      </c>
      <c r="E253" s="51">
        <v>7</v>
      </c>
      <c r="F253" s="4" t="s">
        <v>85</v>
      </c>
      <c r="G253" s="4" t="s">
        <v>127</v>
      </c>
      <c r="H253" s="48">
        <f>IF(G253&gt;0,VLOOKUP(G253,Apoio!$H$2:$I$24,2,0),"")</f>
        <v>8</v>
      </c>
      <c r="I253" s="44">
        <f t="shared" si="11"/>
        <v>70</v>
      </c>
      <c r="J253" s="98">
        <v>25</v>
      </c>
      <c r="K253" s="103" t="s">
        <v>221</v>
      </c>
    </row>
    <row r="254" spans="1:11" x14ac:dyDescent="0.3">
      <c r="A254" s="58" t="s">
        <v>2</v>
      </c>
      <c r="B254" s="58" t="s">
        <v>4</v>
      </c>
      <c r="C254" s="58">
        <v>5</v>
      </c>
      <c r="D254" s="58">
        <v>4.4000000000000004</v>
      </c>
      <c r="E254" s="51">
        <v>7</v>
      </c>
      <c r="F254" s="4" t="s">
        <v>85</v>
      </c>
      <c r="G254" s="4" t="s">
        <v>130</v>
      </c>
      <c r="H254" s="48">
        <f>IF(G254&gt;0,VLOOKUP(G254,Apoio!$H$2:$I$24,2,0),"")</f>
        <v>13</v>
      </c>
      <c r="I254" s="44">
        <f t="shared" si="11"/>
        <v>103.40909090909091</v>
      </c>
      <c r="J254" s="98">
        <v>30</v>
      </c>
      <c r="K254" s="103" t="s">
        <v>221</v>
      </c>
    </row>
    <row r="255" spans="1:11" x14ac:dyDescent="0.3">
      <c r="A255" s="58" t="s">
        <v>2</v>
      </c>
      <c r="B255" s="58" t="s">
        <v>4</v>
      </c>
      <c r="C255" s="58">
        <v>4</v>
      </c>
      <c r="D255" s="58">
        <v>4.4000000000000004</v>
      </c>
      <c r="E255" s="51">
        <v>7</v>
      </c>
      <c r="F255" s="4" t="s">
        <v>85</v>
      </c>
      <c r="G255" s="4" t="s">
        <v>133</v>
      </c>
      <c r="H255" s="48">
        <f>IF(G255&gt;0,VLOOKUP(G255,Apoio!$H$2:$I$24,2,0),"")</f>
        <v>3</v>
      </c>
      <c r="I255" s="44">
        <f t="shared" si="11"/>
        <v>19.09090909090909</v>
      </c>
      <c r="J255" s="98">
        <v>10</v>
      </c>
      <c r="K255" s="103" t="s">
        <v>221</v>
      </c>
    </row>
    <row r="256" spans="1:11" x14ac:dyDescent="0.3">
      <c r="A256" s="59" t="s">
        <v>2</v>
      </c>
      <c r="B256" s="58" t="s">
        <v>4</v>
      </c>
      <c r="C256" s="58">
        <v>6</v>
      </c>
      <c r="D256" s="58">
        <v>3.9</v>
      </c>
      <c r="E256" s="51">
        <v>7</v>
      </c>
      <c r="F256" s="4" t="s">
        <v>92</v>
      </c>
      <c r="G256" s="4" t="s">
        <v>136</v>
      </c>
      <c r="H256" s="48">
        <f>IF(G256&gt;0,VLOOKUP(G256,Apoio!$H$2:$I$24,2,0),"")</f>
        <v>13</v>
      </c>
      <c r="I256" s="44">
        <f t="shared" si="11"/>
        <v>140</v>
      </c>
      <c r="J256" s="98">
        <f t="shared" si="9"/>
        <v>42</v>
      </c>
      <c r="K256" s="103"/>
    </row>
    <row r="257" spans="1:11" x14ac:dyDescent="0.3">
      <c r="A257" s="59" t="s">
        <v>2</v>
      </c>
      <c r="B257" s="58" t="s">
        <v>4</v>
      </c>
      <c r="C257" s="58">
        <v>6</v>
      </c>
      <c r="D257" s="58">
        <v>3.9</v>
      </c>
      <c r="E257" s="51">
        <v>7</v>
      </c>
      <c r="F257" s="4" t="s">
        <v>92</v>
      </c>
      <c r="G257" s="4" t="s">
        <v>139</v>
      </c>
      <c r="H257" s="48">
        <f>IF(G257&gt;0,VLOOKUP(G257,Apoio!$H$2:$I$24,2,0),"")</f>
        <v>8</v>
      </c>
      <c r="I257" s="44">
        <f t="shared" si="11"/>
        <v>86.15384615384616</v>
      </c>
      <c r="J257" s="98">
        <f t="shared" si="9"/>
        <v>25.846153846153847</v>
      </c>
      <c r="K257" s="103"/>
    </row>
    <row r="258" spans="1:11" x14ac:dyDescent="0.3">
      <c r="A258" s="59" t="s">
        <v>2</v>
      </c>
      <c r="B258" s="58" t="s">
        <v>4</v>
      </c>
      <c r="C258" s="58">
        <v>6</v>
      </c>
      <c r="D258" s="58">
        <v>3.9</v>
      </c>
      <c r="E258" s="51">
        <v>7</v>
      </c>
      <c r="F258" s="4" t="s">
        <v>92</v>
      </c>
      <c r="G258" s="4" t="s">
        <v>142</v>
      </c>
      <c r="H258" s="48">
        <f>IF(G258&gt;0,VLOOKUP(G258,Apoio!$H$2:$I$24,2,0),"")</f>
        <v>8</v>
      </c>
      <c r="I258" s="44">
        <f t="shared" si="11"/>
        <v>86.15384615384616</v>
      </c>
      <c r="J258" s="98">
        <f t="shared" si="9"/>
        <v>25.846153846153847</v>
      </c>
      <c r="K258" s="103"/>
    </row>
    <row r="259" spans="1:11" x14ac:dyDescent="0.3">
      <c r="A259" s="59" t="s">
        <v>2</v>
      </c>
      <c r="B259" s="58" t="s">
        <v>4</v>
      </c>
      <c r="C259" s="58">
        <v>6</v>
      </c>
      <c r="D259" s="58">
        <v>3.9</v>
      </c>
      <c r="E259" s="51">
        <v>7</v>
      </c>
      <c r="F259" s="4" t="s">
        <v>92</v>
      </c>
      <c r="G259" s="4" t="s">
        <v>145</v>
      </c>
      <c r="H259" s="48">
        <f>IF(G259&gt;0,VLOOKUP(G259,Apoio!$H$2:$I$24,2,0),"")</f>
        <v>7</v>
      </c>
      <c r="I259" s="44">
        <f t="shared" si="11"/>
        <v>75.384615384615387</v>
      </c>
      <c r="J259" s="98">
        <f t="shared" si="9"/>
        <v>22.615384615384617</v>
      </c>
      <c r="K259" s="103"/>
    </row>
    <row r="260" spans="1:11" x14ac:dyDescent="0.3">
      <c r="A260" s="59" t="s">
        <v>2</v>
      </c>
      <c r="B260" s="58" t="s">
        <v>4</v>
      </c>
      <c r="C260" s="58">
        <v>6</v>
      </c>
      <c r="D260" s="58">
        <v>3.9</v>
      </c>
      <c r="E260" s="51">
        <v>7</v>
      </c>
      <c r="F260" s="4" t="s">
        <v>92</v>
      </c>
      <c r="G260" s="4" t="s">
        <v>148</v>
      </c>
      <c r="H260" s="48">
        <f>IF(G260&gt;0,VLOOKUP(G260,Apoio!$H$2:$I$24,2,0),"")</f>
        <v>8</v>
      </c>
      <c r="I260" s="44">
        <f t="shared" si="11"/>
        <v>86.15384615384616</v>
      </c>
      <c r="J260" s="98">
        <f t="shared" si="9"/>
        <v>25.846153846153847</v>
      </c>
      <c r="K260" s="103"/>
    </row>
    <row r="261" spans="1:11" x14ac:dyDescent="0.3">
      <c r="A261" s="59" t="s">
        <v>2</v>
      </c>
      <c r="B261" s="58" t="s">
        <v>4</v>
      </c>
      <c r="C261" s="58">
        <v>6</v>
      </c>
      <c r="D261" s="58">
        <v>3.9</v>
      </c>
      <c r="E261" s="51">
        <v>7</v>
      </c>
      <c r="F261" s="4" t="s">
        <v>92</v>
      </c>
      <c r="G261" s="4" t="s">
        <v>151</v>
      </c>
      <c r="H261" s="48">
        <f>IF(G261&gt;0,VLOOKUP(G261,Apoio!$H$2:$I$24,2,0),"")</f>
        <v>8</v>
      </c>
      <c r="I261" s="44">
        <f t="shared" si="11"/>
        <v>86.15384615384616</v>
      </c>
      <c r="J261" s="98">
        <f t="shared" si="9"/>
        <v>25.846153846153847</v>
      </c>
      <c r="K261" s="103"/>
    </row>
    <row r="262" spans="1:11" x14ac:dyDescent="0.3">
      <c r="A262" s="59" t="s">
        <v>2</v>
      </c>
      <c r="B262" s="58" t="s">
        <v>5</v>
      </c>
      <c r="C262" s="58">
        <v>5.5</v>
      </c>
      <c r="D262" s="58">
        <v>4.5999999999999996</v>
      </c>
      <c r="E262" s="51">
        <v>7</v>
      </c>
      <c r="F262" s="4" t="s">
        <v>71</v>
      </c>
      <c r="G262" s="4" t="s">
        <v>70</v>
      </c>
      <c r="H262" s="48">
        <f>IF(G262&gt;0,VLOOKUP(G262,Apoio!$H$2:$I$24,2,0),"")</f>
        <v>7</v>
      </c>
      <c r="I262" s="44">
        <f t="shared" si="11"/>
        <v>58.586956521739133</v>
      </c>
      <c r="J262" s="98">
        <f>I262*15%</f>
        <v>8.7880434782608692</v>
      </c>
      <c r="K262" s="103"/>
    </row>
    <row r="263" spans="1:11" x14ac:dyDescent="0.3">
      <c r="A263" s="59" t="s">
        <v>2</v>
      </c>
      <c r="B263" s="58" t="s">
        <v>5</v>
      </c>
      <c r="C263" s="58">
        <v>4.5</v>
      </c>
      <c r="D263" s="58">
        <v>4.5999999999999996</v>
      </c>
      <c r="E263" s="51">
        <v>7</v>
      </c>
      <c r="F263" s="4" t="s">
        <v>71</v>
      </c>
      <c r="G263" s="4" t="s">
        <v>77</v>
      </c>
      <c r="H263" s="48">
        <f>IF(G263&gt;0,VLOOKUP(G263,Apoio!$H$2:$I$24,2,0),"")</f>
        <v>8</v>
      </c>
      <c r="I263" s="44">
        <f t="shared" si="11"/>
        <v>54.782608695652179</v>
      </c>
      <c r="J263" s="98">
        <f t="shared" ref="J263:J307" si="13">I263*15%</f>
        <v>8.2173913043478262</v>
      </c>
      <c r="K263" s="103"/>
    </row>
    <row r="264" spans="1:11" x14ac:dyDescent="0.3">
      <c r="A264" s="59" t="s">
        <v>2</v>
      </c>
      <c r="B264" s="58" t="s">
        <v>5</v>
      </c>
      <c r="C264" s="58">
        <v>5.5</v>
      </c>
      <c r="D264" s="58">
        <v>4.5999999999999996</v>
      </c>
      <c r="E264" s="51">
        <v>7</v>
      </c>
      <c r="F264" s="4" t="s">
        <v>71</v>
      </c>
      <c r="G264" s="4" t="s">
        <v>84</v>
      </c>
      <c r="H264" s="48">
        <f>IF(G264&gt;0,VLOOKUP(G264,Apoio!$H$2:$I$24,2,0),"")</f>
        <v>8</v>
      </c>
      <c r="I264" s="44">
        <f t="shared" si="11"/>
        <v>66.956521739130437</v>
      </c>
      <c r="J264" s="98">
        <f t="shared" si="13"/>
        <v>10.043478260869565</v>
      </c>
      <c r="K264" s="103"/>
    </row>
    <row r="265" spans="1:11" x14ac:dyDescent="0.3">
      <c r="A265" s="59" t="s">
        <v>2</v>
      </c>
      <c r="B265" s="58" t="s">
        <v>5</v>
      </c>
      <c r="C265" s="58">
        <v>6</v>
      </c>
      <c r="D265" s="58">
        <v>4.5999999999999996</v>
      </c>
      <c r="E265" s="51">
        <v>7</v>
      </c>
      <c r="F265" s="4" t="s">
        <v>71</v>
      </c>
      <c r="G265" s="4" t="s">
        <v>91</v>
      </c>
      <c r="H265" s="48">
        <f>IF(G265&gt;0,VLOOKUP(G265,Apoio!$H$2:$I$24,2,0),"")</f>
        <v>6</v>
      </c>
      <c r="I265" s="44">
        <f t="shared" si="11"/>
        <v>54.782608695652179</v>
      </c>
      <c r="J265" s="98">
        <f t="shared" si="13"/>
        <v>8.2173913043478262</v>
      </c>
      <c r="K265" s="103"/>
    </row>
    <row r="266" spans="1:11" x14ac:dyDescent="0.3">
      <c r="A266" s="59" t="s">
        <v>2</v>
      </c>
      <c r="B266" s="58" t="s">
        <v>5</v>
      </c>
      <c r="C266" s="58">
        <v>6</v>
      </c>
      <c r="D266" s="58">
        <v>4.5999999999999996</v>
      </c>
      <c r="E266" s="51">
        <v>7</v>
      </c>
      <c r="F266" s="4" t="s">
        <v>71</v>
      </c>
      <c r="G266" s="4" t="s">
        <v>97</v>
      </c>
      <c r="H266" s="48">
        <f>IF(G266&gt;0,VLOOKUP(G266,Apoio!$H$2:$I$24,2,0),"")</f>
        <v>8</v>
      </c>
      <c r="I266" s="44">
        <f t="shared" ref="I266:I297" si="14">IF(D266&gt;0,(((H266*E266)*C266)/D266),"")</f>
        <v>73.043478260869577</v>
      </c>
      <c r="J266" s="98">
        <f t="shared" si="13"/>
        <v>10.956521739130435</v>
      </c>
      <c r="K266" s="103"/>
    </row>
    <row r="267" spans="1:11" x14ac:dyDescent="0.3">
      <c r="A267" s="59" t="s">
        <v>2</v>
      </c>
      <c r="B267" s="58" t="s">
        <v>5</v>
      </c>
      <c r="C267" s="58">
        <v>6</v>
      </c>
      <c r="D267" s="58">
        <v>4.5999999999999996</v>
      </c>
      <c r="E267" s="51">
        <v>7</v>
      </c>
      <c r="F267" s="4" t="s">
        <v>71</v>
      </c>
      <c r="G267" s="4" t="s">
        <v>100</v>
      </c>
      <c r="H267" s="48">
        <f>IF(G267&gt;0,VLOOKUP(G267,Apoio!$H$2:$I$24,2,0),"")</f>
        <v>3</v>
      </c>
      <c r="I267" s="44">
        <f t="shared" si="14"/>
        <v>27.39130434782609</v>
      </c>
      <c r="J267" s="98">
        <f t="shared" si="13"/>
        <v>4.1086956521739131</v>
      </c>
      <c r="K267" s="103"/>
    </row>
    <row r="268" spans="1:11" x14ac:dyDescent="0.3">
      <c r="A268" s="59" t="s">
        <v>2</v>
      </c>
      <c r="B268" s="58" t="s">
        <v>5</v>
      </c>
      <c r="C268" s="58">
        <v>5.2</v>
      </c>
      <c r="D268" s="58">
        <v>4.8</v>
      </c>
      <c r="E268" s="51">
        <v>7</v>
      </c>
      <c r="F268" s="4" t="s">
        <v>78</v>
      </c>
      <c r="G268" s="4" t="s">
        <v>103</v>
      </c>
      <c r="H268" s="48">
        <f>IF(G268&gt;0,VLOOKUP(G268,Apoio!$H$2:$I$24,2,0),"")</f>
        <v>6</v>
      </c>
      <c r="I268" s="44">
        <f t="shared" si="14"/>
        <v>45.5</v>
      </c>
      <c r="J268" s="98">
        <f t="shared" ref="J268:J273" si="15">I268*15%</f>
        <v>6.8250000000000002</v>
      </c>
      <c r="K268" s="103"/>
    </row>
    <row r="269" spans="1:11" x14ac:dyDescent="0.3">
      <c r="A269" s="59" t="s">
        <v>2</v>
      </c>
      <c r="B269" s="58" t="s">
        <v>5</v>
      </c>
      <c r="C269" s="58">
        <v>5</v>
      </c>
      <c r="D269" s="58">
        <v>4.8</v>
      </c>
      <c r="E269" s="51">
        <v>7</v>
      </c>
      <c r="F269" s="4" t="s">
        <v>78</v>
      </c>
      <c r="G269" s="4" t="s">
        <v>106</v>
      </c>
      <c r="H269" s="48">
        <f>IF(G269&gt;0,VLOOKUP(G269,Apoio!$H$2:$I$24,2,0),"")</f>
        <v>7</v>
      </c>
      <c r="I269" s="44">
        <f t="shared" si="14"/>
        <v>51.041666666666671</v>
      </c>
      <c r="J269" s="98">
        <f t="shared" si="15"/>
        <v>7.65625</v>
      </c>
      <c r="K269" s="103"/>
    </row>
    <row r="270" spans="1:11" x14ac:dyDescent="0.3">
      <c r="A270" s="59" t="s">
        <v>2</v>
      </c>
      <c r="B270" s="58" t="s">
        <v>5</v>
      </c>
      <c r="C270" s="58">
        <v>5</v>
      </c>
      <c r="D270" s="58">
        <v>4.8</v>
      </c>
      <c r="E270" s="51">
        <v>7</v>
      </c>
      <c r="F270" s="4" t="s">
        <v>78</v>
      </c>
      <c r="G270" s="4" t="s">
        <v>109</v>
      </c>
      <c r="H270" s="48">
        <f>IF(G270&gt;0,VLOOKUP(G270,Apoio!$H$2:$I$24,2,0),"")</f>
        <v>8</v>
      </c>
      <c r="I270" s="44">
        <f t="shared" si="14"/>
        <v>58.333333333333336</v>
      </c>
      <c r="J270" s="98">
        <f t="shared" si="15"/>
        <v>8.75</v>
      </c>
      <c r="K270" s="103"/>
    </row>
    <row r="271" spans="1:11" x14ac:dyDescent="0.3">
      <c r="A271" s="59" t="s">
        <v>2</v>
      </c>
      <c r="B271" s="58" t="s">
        <v>5</v>
      </c>
      <c r="C271" s="58">
        <v>4</v>
      </c>
      <c r="D271" s="58">
        <v>4.8</v>
      </c>
      <c r="E271" s="51">
        <v>7</v>
      </c>
      <c r="F271" s="4" t="s">
        <v>78</v>
      </c>
      <c r="G271" s="4" t="s">
        <v>112</v>
      </c>
      <c r="H271" s="48">
        <f>IF(G271&gt;0,VLOOKUP(G271,Apoio!$H$2:$I$24,2,0),"")</f>
        <v>8</v>
      </c>
      <c r="I271" s="44">
        <f t="shared" si="14"/>
        <v>46.666666666666671</v>
      </c>
      <c r="J271" s="98">
        <f t="shared" si="15"/>
        <v>7.0000000000000009</v>
      </c>
      <c r="K271" s="103"/>
    </row>
    <row r="272" spans="1:11" x14ac:dyDescent="0.3">
      <c r="A272" s="59" t="s">
        <v>2</v>
      </c>
      <c r="B272" s="58" t="s">
        <v>5</v>
      </c>
      <c r="C272" s="58">
        <v>6</v>
      </c>
      <c r="D272" s="58">
        <v>4.8</v>
      </c>
      <c r="E272" s="51">
        <v>7</v>
      </c>
      <c r="F272" s="4" t="s">
        <v>78</v>
      </c>
      <c r="G272" s="4" t="s">
        <v>115</v>
      </c>
      <c r="H272" s="48">
        <f>IF(G272&gt;0,VLOOKUP(G272,Apoio!$H$2:$I$24,2,0),"")</f>
        <v>7</v>
      </c>
      <c r="I272" s="44">
        <f t="shared" si="14"/>
        <v>61.25</v>
      </c>
      <c r="J272" s="98">
        <f t="shared" si="15"/>
        <v>9.1875</v>
      </c>
      <c r="K272" s="103"/>
    </row>
    <row r="273" spans="1:13" x14ac:dyDescent="0.3">
      <c r="A273" s="58" t="s">
        <v>2</v>
      </c>
      <c r="B273" s="58" t="s">
        <v>5</v>
      </c>
      <c r="C273" s="58">
        <v>5</v>
      </c>
      <c r="D273" s="58">
        <v>4.8</v>
      </c>
      <c r="E273" s="51">
        <v>7</v>
      </c>
      <c r="F273" s="4" t="s">
        <v>78</v>
      </c>
      <c r="G273" s="4" t="s">
        <v>118</v>
      </c>
      <c r="H273" s="48">
        <f>IF(G273&gt;0,VLOOKUP(G273,Apoio!$H$2:$I$24,2,0),"")</f>
        <v>3</v>
      </c>
      <c r="I273" s="44">
        <f t="shared" si="14"/>
        <v>21.875</v>
      </c>
      <c r="J273" s="98">
        <f t="shared" si="15"/>
        <v>3.28125</v>
      </c>
      <c r="K273" s="103"/>
    </row>
    <row r="274" spans="1:13" x14ac:dyDescent="0.3">
      <c r="A274" s="58" t="s">
        <v>2</v>
      </c>
      <c r="B274" s="58" t="s">
        <v>5</v>
      </c>
      <c r="C274" s="58">
        <v>3.5</v>
      </c>
      <c r="D274" s="58">
        <v>6</v>
      </c>
      <c r="E274" s="51">
        <v>7</v>
      </c>
      <c r="F274" s="4" t="s">
        <v>85</v>
      </c>
      <c r="G274" s="4" t="s">
        <v>121</v>
      </c>
      <c r="H274" s="48">
        <f>IF(G274&gt;0,VLOOKUP(G274,Apoio!$H$2:$I$24,2,0),"")</f>
        <v>7</v>
      </c>
      <c r="I274" s="44">
        <f t="shared" si="14"/>
        <v>28.583333333333332</v>
      </c>
      <c r="J274" s="98">
        <v>7</v>
      </c>
      <c r="K274" s="103" t="s">
        <v>221</v>
      </c>
    </row>
    <row r="275" spans="1:13" x14ac:dyDescent="0.3">
      <c r="A275" s="58" t="s">
        <v>2</v>
      </c>
      <c r="B275" s="58" t="s">
        <v>5</v>
      </c>
      <c r="C275" s="58">
        <v>3.5</v>
      </c>
      <c r="D275" s="58">
        <v>6</v>
      </c>
      <c r="E275" s="51">
        <v>7</v>
      </c>
      <c r="F275" s="4" t="s">
        <v>85</v>
      </c>
      <c r="G275" s="4" t="s">
        <v>124</v>
      </c>
      <c r="H275" s="48">
        <f>IF(G275&gt;0,VLOOKUP(G275,Apoio!$H$2:$I$24,2,0),"")</f>
        <v>8</v>
      </c>
      <c r="I275" s="44">
        <f t="shared" si="14"/>
        <v>32.666666666666664</v>
      </c>
      <c r="J275" s="98">
        <v>6</v>
      </c>
      <c r="K275" s="103" t="s">
        <v>221</v>
      </c>
    </row>
    <row r="276" spans="1:13" x14ac:dyDescent="0.3">
      <c r="A276" s="58" t="s">
        <v>2</v>
      </c>
      <c r="B276" s="58" t="s">
        <v>5</v>
      </c>
      <c r="C276" s="58">
        <v>4.4000000000000004</v>
      </c>
      <c r="D276" s="58">
        <v>6</v>
      </c>
      <c r="E276" s="51">
        <v>7</v>
      </c>
      <c r="F276" s="4" t="s">
        <v>85</v>
      </c>
      <c r="G276" s="4" t="s">
        <v>127</v>
      </c>
      <c r="H276" s="48">
        <f>IF(G276&gt;0,VLOOKUP(G276,Apoio!$H$2:$I$24,2,0),"")</f>
        <v>8</v>
      </c>
      <c r="I276" s="44">
        <f t="shared" si="14"/>
        <v>41.06666666666667</v>
      </c>
      <c r="J276" s="98">
        <v>7</v>
      </c>
      <c r="K276" s="103" t="s">
        <v>221</v>
      </c>
    </row>
    <row r="277" spans="1:13" x14ac:dyDescent="0.3">
      <c r="A277" s="58" t="s">
        <v>2</v>
      </c>
      <c r="B277" s="58" t="s">
        <v>5</v>
      </c>
      <c r="C277" s="58">
        <v>6.2</v>
      </c>
      <c r="D277" s="58">
        <v>6</v>
      </c>
      <c r="E277" s="51">
        <v>7</v>
      </c>
      <c r="F277" s="4" t="s">
        <v>85</v>
      </c>
      <c r="G277" s="4" t="s">
        <v>130</v>
      </c>
      <c r="H277" s="48">
        <f>IF(G277&gt;0,VLOOKUP(G277,Apoio!$H$2:$I$24,2,0),"")</f>
        <v>13</v>
      </c>
      <c r="I277" s="44">
        <f t="shared" si="14"/>
        <v>94.033333333333346</v>
      </c>
      <c r="J277" s="98">
        <v>13</v>
      </c>
      <c r="K277" s="103" t="s">
        <v>221</v>
      </c>
    </row>
    <row r="278" spans="1:13" x14ac:dyDescent="0.3">
      <c r="A278" s="58" t="s">
        <v>2</v>
      </c>
      <c r="B278" s="58" t="s">
        <v>5</v>
      </c>
      <c r="C278" s="58">
        <v>7</v>
      </c>
      <c r="D278" s="58">
        <v>6</v>
      </c>
      <c r="E278" s="51">
        <v>7</v>
      </c>
      <c r="F278" s="4" t="s">
        <v>85</v>
      </c>
      <c r="G278" s="4" t="s">
        <v>133</v>
      </c>
      <c r="H278" s="48">
        <f>IF(G278&gt;0,VLOOKUP(G278,Apoio!$H$2:$I$24,2,0),"")</f>
        <v>3</v>
      </c>
      <c r="I278" s="44">
        <f t="shared" si="14"/>
        <v>24.5</v>
      </c>
      <c r="J278" s="98">
        <v>5</v>
      </c>
      <c r="K278" s="103" t="s">
        <v>221</v>
      </c>
    </row>
    <row r="279" spans="1:13" x14ac:dyDescent="0.3">
      <c r="A279" s="59" t="s">
        <v>2</v>
      </c>
      <c r="B279" s="58" t="s">
        <v>5</v>
      </c>
      <c r="C279" s="58">
        <v>7</v>
      </c>
      <c r="D279" s="58">
        <v>5.8</v>
      </c>
      <c r="E279" s="51">
        <v>7</v>
      </c>
      <c r="F279" s="4" t="s">
        <v>92</v>
      </c>
      <c r="G279" s="4" t="s">
        <v>136</v>
      </c>
      <c r="H279" s="48">
        <f>IF(G279&gt;0,VLOOKUP(G279,Apoio!$H$2:$I$24,2,0),"")</f>
        <v>13</v>
      </c>
      <c r="I279" s="44">
        <f t="shared" si="14"/>
        <v>109.82758620689656</v>
      </c>
      <c r="J279" s="98">
        <f t="shared" si="13"/>
        <v>16.474137931034484</v>
      </c>
      <c r="K279" s="103"/>
    </row>
    <row r="280" spans="1:13" x14ac:dyDescent="0.3">
      <c r="A280" s="59" t="s">
        <v>2</v>
      </c>
      <c r="B280" s="60" t="s">
        <v>5</v>
      </c>
      <c r="C280" s="58">
        <v>7</v>
      </c>
      <c r="D280" s="58">
        <v>5.8</v>
      </c>
      <c r="E280" s="51">
        <v>7</v>
      </c>
      <c r="F280" s="4" t="s">
        <v>92</v>
      </c>
      <c r="G280" s="4" t="s">
        <v>139</v>
      </c>
      <c r="H280" s="48">
        <f>IF(G280&gt;0,VLOOKUP(G280,Apoio!$H$2:$I$24,2,0),"")</f>
        <v>8</v>
      </c>
      <c r="I280" s="44">
        <f t="shared" si="14"/>
        <v>67.58620689655173</v>
      </c>
      <c r="J280" s="98">
        <f t="shared" si="13"/>
        <v>10.13793103448276</v>
      </c>
      <c r="K280" s="103"/>
    </row>
    <row r="281" spans="1:13" x14ac:dyDescent="0.3">
      <c r="A281" s="59" t="s">
        <v>2</v>
      </c>
      <c r="B281" s="60" t="s">
        <v>5</v>
      </c>
      <c r="C281" s="58">
        <v>7</v>
      </c>
      <c r="D281" s="58">
        <v>5.8</v>
      </c>
      <c r="E281" s="51">
        <v>7</v>
      </c>
      <c r="F281" s="4" t="s">
        <v>92</v>
      </c>
      <c r="G281" s="4" t="s">
        <v>142</v>
      </c>
      <c r="H281" s="48">
        <f>IF(G281&gt;0,VLOOKUP(G281,Apoio!$H$2:$I$24,2,0),"")</f>
        <v>8</v>
      </c>
      <c r="I281" s="44">
        <f t="shared" si="14"/>
        <v>67.58620689655173</v>
      </c>
      <c r="J281" s="98">
        <f t="shared" si="13"/>
        <v>10.13793103448276</v>
      </c>
      <c r="K281" s="103"/>
    </row>
    <row r="282" spans="1:13" x14ac:dyDescent="0.3">
      <c r="A282" s="59" t="s">
        <v>2</v>
      </c>
      <c r="B282" s="60" t="s">
        <v>5</v>
      </c>
      <c r="C282" s="58">
        <v>7</v>
      </c>
      <c r="D282" s="58">
        <v>5.8</v>
      </c>
      <c r="E282" s="51">
        <v>7</v>
      </c>
      <c r="F282" s="4" t="s">
        <v>92</v>
      </c>
      <c r="G282" s="4" t="s">
        <v>145</v>
      </c>
      <c r="H282" s="48">
        <f>IF(G282&gt;0,VLOOKUP(G282,Apoio!$H$2:$I$24,2,0),"")</f>
        <v>7</v>
      </c>
      <c r="I282" s="44">
        <f t="shared" si="14"/>
        <v>59.137931034482762</v>
      </c>
      <c r="J282" s="98">
        <f t="shared" si="13"/>
        <v>8.8706896551724146</v>
      </c>
      <c r="K282" s="103"/>
    </row>
    <row r="283" spans="1:13" x14ac:dyDescent="0.3">
      <c r="A283" s="61" t="s">
        <v>2</v>
      </c>
      <c r="B283" s="58" t="s">
        <v>5</v>
      </c>
      <c r="C283" s="58">
        <v>7</v>
      </c>
      <c r="D283" s="58">
        <v>5.8</v>
      </c>
      <c r="E283" s="51">
        <v>7</v>
      </c>
      <c r="F283" s="4" t="s">
        <v>92</v>
      </c>
      <c r="G283" s="4" t="s">
        <v>148</v>
      </c>
      <c r="H283" s="48">
        <f>IF(G283&gt;0,VLOOKUP(G283,Apoio!$H$2:$I$24,2,0),"")</f>
        <v>8</v>
      </c>
      <c r="I283" s="44">
        <f t="shared" si="14"/>
        <v>67.58620689655173</v>
      </c>
      <c r="J283" s="98">
        <f t="shared" si="13"/>
        <v>10.13793103448276</v>
      </c>
      <c r="K283" s="103"/>
    </row>
    <row r="284" spans="1:13" x14ac:dyDescent="0.3">
      <c r="A284" s="61" t="s">
        <v>2</v>
      </c>
      <c r="B284" s="58" t="s">
        <v>5</v>
      </c>
      <c r="C284" s="58">
        <v>7</v>
      </c>
      <c r="D284" s="58">
        <v>5.8</v>
      </c>
      <c r="E284" s="51">
        <v>7</v>
      </c>
      <c r="F284" s="4" t="s">
        <v>92</v>
      </c>
      <c r="G284" s="4" t="s">
        <v>151</v>
      </c>
      <c r="H284" s="48">
        <f>IF(G284&gt;0,VLOOKUP(G284,Apoio!$H$2:$I$24,2,0),"")</f>
        <v>8</v>
      </c>
      <c r="I284" s="44">
        <f t="shared" si="14"/>
        <v>67.58620689655173</v>
      </c>
      <c r="J284" s="98">
        <f t="shared" si="13"/>
        <v>10.13793103448276</v>
      </c>
      <c r="K284" s="103"/>
    </row>
    <row r="285" spans="1:13" x14ac:dyDescent="0.3">
      <c r="A285" s="58" t="s">
        <v>213</v>
      </c>
      <c r="B285" s="58" t="s">
        <v>34</v>
      </c>
      <c r="C285" s="58">
        <v>5.5</v>
      </c>
      <c r="D285" s="58">
        <v>4.4000000000000004</v>
      </c>
      <c r="E285" s="51">
        <v>7</v>
      </c>
      <c r="F285" s="4" t="s">
        <v>71</v>
      </c>
      <c r="G285" s="4" t="s">
        <v>70</v>
      </c>
      <c r="H285" s="48">
        <f>IF(G285&gt;0,VLOOKUP(G285,Apoio!$H$2:$I$24,2,0),"")</f>
        <v>7</v>
      </c>
      <c r="I285" s="44">
        <f t="shared" si="14"/>
        <v>61.249999999999993</v>
      </c>
      <c r="J285" s="98">
        <f t="shared" si="13"/>
        <v>9.1874999999999982</v>
      </c>
      <c r="K285" s="103"/>
    </row>
    <row r="286" spans="1:13" x14ac:dyDescent="0.3">
      <c r="A286" s="58" t="s">
        <v>213</v>
      </c>
      <c r="B286" s="58" t="s">
        <v>34</v>
      </c>
      <c r="C286" s="58">
        <v>7</v>
      </c>
      <c r="D286" s="58">
        <v>4.4000000000000004</v>
      </c>
      <c r="E286" s="51">
        <v>7</v>
      </c>
      <c r="F286" s="4" t="s">
        <v>71</v>
      </c>
      <c r="G286" s="4" t="s">
        <v>77</v>
      </c>
      <c r="H286" s="48">
        <f>IF(G286&gt;0,VLOOKUP(G286,Apoio!$H$2:$I$24,2,0),"")</f>
        <v>8</v>
      </c>
      <c r="I286" s="44">
        <f t="shared" si="14"/>
        <v>89.090909090909079</v>
      </c>
      <c r="J286" s="98">
        <f t="shared" si="13"/>
        <v>13.363636363636362</v>
      </c>
      <c r="K286" s="104"/>
      <c r="L286" s="93"/>
      <c r="M286" s="93"/>
    </row>
    <row r="287" spans="1:13" x14ac:dyDescent="0.3">
      <c r="A287" s="58" t="s">
        <v>213</v>
      </c>
      <c r="B287" s="55" t="s">
        <v>34</v>
      </c>
      <c r="C287" s="58">
        <v>7</v>
      </c>
      <c r="D287" s="58">
        <v>4.4000000000000004</v>
      </c>
      <c r="E287" s="51">
        <v>7</v>
      </c>
      <c r="F287" s="4" t="s">
        <v>71</v>
      </c>
      <c r="G287" s="4" t="s">
        <v>84</v>
      </c>
      <c r="H287" s="48">
        <f>IF(G287&gt;0,VLOOKUP(G287,Apoio!$H$2:$I$24,2,0),"")</f>
        <v>8</v>
      </c>
      <c r="I287" s="44">
        <f t="shared" si="14"/>
        <v>89.090909090909079</v>
      </c>
      <c r="J287" s="98">
        <f t="shared" si="13"/>
        <v>13.363636363636362</v>
      </c>
      <c r="K287" s="104"/>
      <c r="L287" s="93"/>
      <c r="M287" s="93"/>
    </row>
    <row r="288" spans="1:13" x14ac:dyDescent="0.3">
      <c r="A288" s="58" t="s">
        <v>213</v>
      </c>
      <c r="B288" s="55" t="s">
        <v>34</v>
      </c>
      <c r="C288" s="58">
        <v>7</v>
      </c>
      <c r="D288" s="58">
        <v>4.4000000000000004</v>
      </c>
      <c r="E288" s="51">
        <v>7</v>
      </c>
      <c r="F288" s="4" t="s">
        <v>71</v>
      </c>
      <c r="G288" s="4" t="s">
        <v>91</v>
      </c>
      <c r="H288" s="48">
        <f>IF(G288&gt;0,VLOOKUP(G288,Apoio!$H$2:$I$24,2,0),"")</f>
        <v>6</v>
      </c>
      <c r="I288" s="44">
        <f t="shared" si="14"/>
        <v>66.818181818181813</v>
      </c>
      <c r="J288" s="98">
        <f t="shared" si="13"/>
        <v>10.022727272727272</v>
      </c>
      <c r="K288" s="104"/>
      <c r="L288" s="93"/>
      <c r="M288" s="93"/>
    </row>
    <row r="289" spans="1:13" x14ac:dyDescent="0.3">
      <c r="A289" s="58" t="s">
        <v>213</v>
      </c>
      <c r="B289" s="55" t="s">
        <v>34</v>
      </c>
      <c r="C289" s="58">
        <v>7</v>
      </c>
      <c r="D289" s="58">
        <v>4.4000000000000004</v>
      </c>
      <c r="E289" s="51">
        <v>7</v>
      </c>
      <c r="F289" s="4" t="s">
        <v>71</v>
      </c>
      <c r="G289" s="4" t="s">
        <v>97</v>
      </c>
      <c r="H289" s="48">
        <f>IF(G289&gt;0,VLOOKUP(G289,Apoio!$H$2:$I$24,2,0),"")</f>
        <v>8</v>
      </c>
      <c r="I289" s="44">
        <f t="shared" si="14"/>
        <v>89.090909090909079</v>
      </c>
      <c r="J289" s="98">
        <f t="shared" si="13"/>
        <v>13.363636363636362</v>
      </c>
      <c r="K289" s="104"/>
      <c r="L289" s="93"/>
      <c r="M289" s="93"/>
    </row>
    <row r="290" spans="1:13" x14ac:dyDescent="0.3">
      <c r="A290" s="58" t="s">
        <v>213</v>
      </c>
      <c r="B290" s="55" t="s">
        <v>34</v>
      </c>
      <c r="C290" s="58">
        <v>7</v>
      </c>
      <c r="D290" s="58">
        <v>4.4000000000000004</v>
      </c>
      <c r="E290" s="51">
        <v>7</v>
      </c>
      <c r="F290" s="4" t="s">
        <v>71</v>
      </c>
      <c r="G290" s="4" t="s">
        <v>100</v>
      </c>
      <c r="H290" s="48">
        <f>IF(G290&gt;0,VLOOKUP(G290,Apoio!$H$2:$I$24,2,0),"")</f>
        <v>3</v>
      </c>
      <c r="I290" s="44">
        <f t="shared" si="14"/>
        <v>33.409090909090907</v>
      </c>
      <c r="J290" s="98">
        <f t="shared" si="13"/>
        <v>5.0113636363636358</v>
      </c>
      <c r="K290" s="103"/>
    </row>
    <row r="291" spans="1:13" x14ac:dyDescent="0.3">
      <c r="A291" s="64" t="s">
        <v>213</v>
      </c>
      <c r="B291" s="55" t="s">
        <v>34</v>
      </c>
      <c r="C291" s="58">
        <v>7</v>
      </c>
      <c r="D291" s="58">
        <v>4.8</v>
      </c>
      <c r="E291" s="51">
        <v>7</v>
      </c>
      <c r="F291" s="4" t="s">
        <v>78</v>
      </c>
      <c r="G291" s="4" t="s">
        <v>103</v>
      </c>
      <c r="H291" s="48">
        <f>IF(G291&gt;0,VLOOKUP(G291,Apoio!$H$2:$I$24,2,0),"")</f>
        <v>6</v>
      </c>
      <c r="I291" s="44">
        <f t="shared" si="14"/>
        <v>61.25</v>
      </c>
      <c r="J291" s="98">
        <f t="shared" si="13"/>
        <v>9.1875</v>
      </c>
      <c r="K291" s="103"/>
    </row>
    <row r="292" spans="1:13" x14ac:dyDescent="0.3">
      <c r="A292" s="64" t="s">
        <v>213</v>
      </c>
      <c r="B292" s="55" t="s">
        <v>34</v>
      </c>
      <c r="C292" s="58">
        <v>7</v>
      </c>
      <c r="D292" s="58">
        <v>4.8</v>
      </c>
      <c r="E292" s="51">
        <v>7</v>
      </c>
      <c r="F292" s="4" t="s">
        <v>78</v>
      </c>
      <c r="G292" s="4" t="s">
        <v>106</v>
      </c>
      <c r="H292" s="48">
        <f>IF(G292&gt;0,VLOOKUP(G292,Apoio!$H$2:$I$24,2,0),"")</f>
        <v>7</v>
      </c>
      <c r="I292" s="44">
        <f t="shared" si="14"/>
        <v>71.458333333333343</v>
      </c>
      <c r="J292" s="98">
        <f t="shared" si="13"/>
        <v>10.718750000000002</v>
      </c>
      <c r="K292" s="103"/>
    </row>
    <row r="293" spans="1:13" x14ac:dyDescent="0.3">
      <c r="A293" s="64" t="s">
        <v>213</v>
      </c>
      <c r="B293" s="55" t="s">
        <v>34</v>
      </c>
      <c r="C293" s="58">
        <v>7</v>
      </c>
      <c r="D293" s="58">
        <v>4.8</v>
      </c>
      <c r="E293" s="51">
        <v>7</v>
      </c>
      <c r="F293" s="4" t="s">
        <v>78</v>
      </c>
      <c r="G293" s="4" t="s">
        <v>109</v>
      </c>
      <c r="H293" s="48">
        <f>IF(G293&gt;0,VLOOKUP(G293,Apoio!$H$2:$I$24,2,0),"")</f>
        <v>8</v>
      </c>
      <c r="I293" s="44">
        <f t="shared" si="14"/>
        <v>81.666666666666671</v>
      </c>
      <c r="J293" s="98">
        <f t="shared" si="13"/>
        <v>12.25</v>
      </c>
      <c r="K293" s="103"/>
    </row>
    <row r="294" spans="1:13" x14ac:dyDescent="0.3">
      <c r="A294" s="64" t="s">
        <v>213</v>
      </c>
      <c r="B294" s="55" t="s">
        <v>34</v>
      </c>
      <c r="C294" s="58">
        <v>7</v>
      </c>
      <c r="D294" s="58">
        <v>4.8</v>
      </c>
      <c r="E294" s="51">
        <v>7</v>
      </c>
      <c r="F294" s="4" t="s">
        <v>78</v>
      </c>
      <c r="G294" s="4" t="s">
        <v>112</v>
      </c>
      <c r="H294" s="48">
        <f>IF(G294&gt;0,VLOOKUP(G294,Apoio!$H$2:$I$24,2,0),"")</f>
        <v>8</v>
      </c>
      <c r="I294" s="44">
        <f t="shared" si="14"/>
        <v>81.666666666666671</v>
      </c>
      <c r="J294" s="98">
        <f t="shared" si="13"/>
        <v>12.25</v>
      </c>
      <c r="K294" s="103"/>
    </row>
    <row r="295" spans="1:13" x14ac:dyDescent="0.3">
      <c r="A295" s="64" t="s">
        <v>213</v>
      </c>
      <c r="B295" s="55" t="s">
        <v>34</v>
      </c>
      <c r="C295" s="58">
        <v>7</v>
      </c>
      <c r="D295" s="58">
        <v>4.8</v>
      </c>
      <c r="E295" s="51">
        <v>7</v>
      </c>
      <c r="F295" s="4" t="s">
        <v>78</v>
      </c>
      <c r="G295" s="4" t="s">
        <v>115</v>
      </c>
      <c r="H295" s="48">
        <f>IF(G295&gt;0,VLOOKUP(G295,Apoio!$H$2:$I$24,2,0),"")</f>
        <v>7</v>
      </c>
      <c r="I295" s="44">
        <f t="shared" si="14"/>
        <v>71.458333333333343</v>
      </c>
      <c r="J295" s="98">
        <f t="shared" si="13"/>
        <v>10.718750000000002</v>
      </c>
      <c r="K295" s="103"/>
    </row>
    <row r="296" spans="1:13" x14ac:dyDescent="0.3">
      <c r="A296" s="64" t="s">
        <v>213</v>
      </c>
      <c r="B296" s="55" t="s">
        <v>34</v>
      </c>
      <c r="C296" s="58">
        <v>7</v>
      </c>
      <c r="D296" s="58">
        <v>4.8</v>
      </c>
      <c r="E296" s="51">
        <v>7</v>
      </c>
      <c r="F296" s="4" t="s">
        <v>78</v>
      </c>
      <c r="G296" s="4" t="s">
        <v>118</v>
      </c>
      <c r="H296" s="48">
        <f>IF(G296&gt;0,VLOOKUP(G296,Apoio!$H$2:$I$24,2,0),"")</f>
        <v>3</v>
      </c>
      <c r="I296" s="44">
        <f t="shared" si="14"/>
        <v>30.625</v>
      </c>
      <c r="J296" s="98">
        <f t="shared" si="13"/>
        <v>4.59375</v>
      </c>
      <c r="K296" s="103"/>
    </row>
    <row r="297" spans="1:13" x14ac:dyDescent="0.3">
      <c r="A297" s="75" t="s">
        <v>213</v>
      </c>
      <c r="B297" s="55" t="s">
        <v>34</v>
      </c>
      <c r="C297" s="58">
        <v>7</v>
      </c>
      <c r="D297" s="58">
        <v>5.2</v>
      </c>
      <c r="E297" s="51">
        <v>7</v>
      </c>
      <c r="F297" s="4" t="s">
        <v>85</v>
      </c>
      <c r="G297" s="4" t="s">
        <v>121</v>
      </c>
      <c r="H297" s="48">
        <f>IF(G297&gt;0,VLOOKUP(G297,Apoio!$H$2:$I$24,2,0),"")</f>
        <v>7</v>
      </c>
      <c r="I297" s="44">
        <f t="shared" si="14"/>
        <v>65.961538461538453</v>
      </c>
      <c r="J297" s="98">
        <f t="shared" si="13"/>
        <v>9.8942307692307683</v>
      </c>
      <c r="K297" s="103"/>
    </row>
    <row r="298" spans="1:13" x14ac:dyDescent="0.3">
      <c r="A298" s="75" t="s">
        <v>213</v>
      </c>
      <c r="B298" s="55" t="s">
        <v>34</v>
      </c>
      <c r="C298" s="58">
        <v>7</v>
      </c>
      <c r="D298" s="58">
        <v>5.2</v>
      </c>
      <c r="E298" s="51">
        <v>7</v>
      </c>
      <c r="F298" s="4" t="s">
        <v>85</v>
      </c>
      <c r="G298" s="4" t="s">
        <v>124</v>
      </c>
      <c r="H298" s="48">
        <f>IF(G298&gt;0,VLOOKUP(G298,Apoio!$H$2:$I$24,2,0),"")</f>
        <v>8</v>
      </c>
      <c r="I298" s="44">
        <f t="shared" ref="I298:I307" si="16">IF(D298&gt;0,(((H298*E298)*C298)/D298),"")</f>
        <v>75.384615384615387</v>
      </c>
      <c r="J298" s="98">
        <f t="shared" si="13"/>
        <v>11.307692307692308</v>
      </c>
      <c r="K298" s="103"/>
    </row>
    <row r="299" spans="1:13" x14ac:dyDescent="0.3">
      <c r="A299" s="75" t="s">
        <v>213</v>
      </c>
      <c r="B299" s="55" t="s">
        <v>34</v>
      </c>
      <c r="C299" s="58">
        <v>7</v>
      </c>
      <c r="D299" s="58">
        <v>5.2</v>
      </c>
      <c r="E299" s="51">
        <v>7</v>
      </c>
      <c r="F299" s="4" t="s">
        <v>85</v>
      </c>
      <c r="G299" s="4" t="s">
        <v>127</v>
      </c>
      <c r="H299" s="48">
        <f>IF(G299&gt;0,VLOOKUP(G299,Apoio!$H$2:$I$24,2,0),"")</f>
        <v>8</v>
      </c>
      <c r="I299" s="44">
        <f t="shared" si="16"/>
        <v>75.384615384615387</v>
      </c>
      <c r="J299" s="98">
        <f t="shared" si="13"/>
        <v>11.307692307692308</v>
      </c>
      <c r="K299" s="103"/>
    </row>
    <row r="300" spans="1:13" x14ac:dyDescent="0.3">
      <c r="A300" s="75" t="s">
        <v>213</v>
      </c>
      <c r="B300" s="55" t="s">
        <v>34</v>
      </c>
      <c r="C300" s="58">
        <v>7</v>
      </c>
      <c r="D300" s="58">
        <v>5.2</v>
      </c>
      <c r="E300" s="51">
        <v>7</v>
      </c>
      <c r="F300" s="4" t="s">
        <v>85</v>
      </c>
      <c r="G300" s="4" t="s">
        <v>130</v>
      </c>
      <c r="H300" s="48">
        <f>IF(G300&gt;0,VLOOKUP(G300,Apoio!$H$2:$I$24,2,0),"")</f>
        <v>13</v>
      </c>
      <c r="I300" s="44">
        <f t="shared" si="16"/>
        <v>122.5</v>
      </c>
      <c r="J300" s="98">
        <f t="shared" si="13"/>
        <v>18.375</v>
      </c>
      <c r="K300" s="103"/>
    </row>
    <row r="301" spans="1:13" x14ac:dyDescent="0.3">
      <c r="A301" s="75" t="s">
        <v>213</v>
      </c>
      <c r="B301" s="55" t="s">
        <v>34</v>
      </c>
      <c r="C301" s="58">
        <v>7</v>
      </c>
      <c r="D301" s="58">
        <v>5.2</v>
      </c>
      <c r="E301" s="51">
        <v>7</v>
      </c>
      <c r="F301" s="4" t="s">
        <v>85</v>
      </c>
      <c r="G301" s="4" t="s">
        <v>133</v>
      </c>
      <c r="H301" s="48">
        <f>IF(G301&gt;0,VLOOKUP(G301,Apoio!$H$2:$I$24,2,0),"")</f>
        <v>3</v>
      </c>
      <c r="I301" s="44">
        <f t="shared" si="16"/>
        <v>28.269230769230766</v>
      </c>
      <c r="J301" s="98">
        <f t="shared" si="13"/>
        <v>4.240384615384615</v>
      </c>
      <c r="K301" s="103"/>
    </row>
    <row r="302" spans="1:13" x14ac:dyDescent="0.3">
      <c r="A302" s="75" t="s">
        <v>213</v>
      </c>
      <c r="B302" s="55" t="s">
        <v>34</v>
      </c>
      <c r="C302" s="58">
        <v>7</v>
      </c>
      <c r="D302" s="108">
        <v>6</v>
      </c>
      <c r="E302" s="51">
        <v>7</v>
      </c>
      <c r="F302" s="4" t="s">
        <v>92</v>
      </c>
      <c r="G302" s="4" t="s">
        <v>136</v>
      </c>
      <c r="H302" s="48">
        <f>IF(G302&gt;0,VLOOKUP(G302,Apoio!$H$2:$I$24,2,0),"")</f>
        <v>13</v>
      </c>
      <c r="I302" s="44">
        <f t="shared" si="16"/>
        <v>106.16666666666667</v>
      </c>
      <c r="J302" s="98">
        <f t="shared" si="13"/>
        <v>15.925000000000001</v>
      </c>
      <c r="K302" s="103"/>
    </row>
    <row r="303" spans="1:13" x14ac:dyDescent="0.3">
      <c r="A303" s="75" t="s">
        <v>213</v>
      </c>
      <c r="B303" s="55" t="s">
        <v>34</v>
      </c>
      <c r="C303" s="58">
        <v>7</v>
      </c>
      <c r="D303" s="108">
        <v>6</v>
      </c>
      <c r="E303" s="51">
        <v>7</v>
      </c>
      <c r="F303" s="4" t="s">
        <v>92</v>
      </c>
      <c r="G303" s="4" t="s">
        <v>139</v>
      </c>
      <c r="H303" s="48">
        <f>IF(G303&gt;0,VLOOKUP(G303,Apoio!$H$2:$I$24,2,0),"")</f>
        <v>8</v>
      </c>
      <c r="I303" s="44">
        <f t="shared" si="16"/>
        <v>65.333333333333329</v>
      </c>
      <c r="J303" s="98">
        <f t="shared" si="13"/>
        <v>9.7999999999999989</v>
      </c>
      <c r="K303" s="103"/>
    </row>
    <row r="304" spans="1:13" x14ac:dyDescent="0.3">
      <c r="A304" s="75" t="s">
        <v>213</v>
      </c>
      <c r="B304" s="55" t="s">
        <v>34</v>
      </c>
      <c r="C304" s="58">
        <v>7</v>
      </c>
      <c r="D304" s="108">
        <v>6</v>
      </c>
      <c r="E304" s="51">
        <v>7</v>
      </c>
      <c r="F304" s="4" t="s">
        <v>92</v>
      </c>
      <c r="G304" s="4" t="s">
        <v>142</v>
      </c>
      <c r="H304" s="48">
        <f>IF(G304&gt;0,VLOOKUP(G304,Apoio!$H$2:$I$24,2,0),"")</f>
        <v>8</v>
      </c>
      <c r="I304" s="44">
        <f t="shared" si="16"/>
        <v>65.333333333333329</v>
      </c>
      <c r="J304" s="98">
        <f t="shared" si="13"/>
        <v>9.7999999999999989</v>
      </c>
      <c r="K304" s="103"/>
    </row>
    <row r="305" spans="1:11" x14ac:dyDescent="0.3">
      <c r="A305" s="75" t="s">
        <v>213</v>
      </c>
      <c r="B305" s="55" t="s">
        <v>34</v>
      </c>
      <c r="C305" s="58">
        <v>7</v>
      </c>
      <c r="D305" s="108">
        <v>6</v>
      </c>
      <c r="E305" s="51">
        <v>7</v>
      </c>
      <c r="F305" s="4" t="s">
        <v>92</v>
      </c>
      <c r="G305" s="4" t="s">
        <v>145</v>
      </c>
      <c r="H305" s="48">
        <f>IF(G305&gt;0,VLOOKUP(G305,Apoio!$H$2:$I$24,2,0),"")</f>
        <v>7</v>
      </c>
      <c r="I305" s="44">
        <f t="shared" si="16"/>
        <v>57.166666666666664</v>
      </c>
      <c r="J305" s="98">
        <f t="shared" si="13"/>
        <v>8.5749999999999993</v>
      </c>
      <c r="K305" s="103"/>
    </row>
    <row r="306" spans="1:11" x14ac:dyDescent="0.3">
      <c r="A306" s="75" t="s">
        <v>213</v>
      </c>
      <c r="B306" s="55" t="s">
        <v>34</v>
      </c>
      <c r="C306" s="58">
        <v>7</v>
      </c>
      <c r="D306" s="108">
        <v>6</v>
      </c>
      <c r="E306" s="51">
        <v>7</v>
      </c>
      <c r="F306" s="4" t="s">
        <v>92</v>
      </c>
      <c r="G306" s="4" t="s">
        <v>148</v>
      </c>
      <c r="H306" s="48">
        <f>IF(G306&gt;0,VLOOKUP(G306,Apoio!$H$2:$I$24,2,0),"")</f>
        <v>8</v>
      </c>
      <c r="I306" s="44">
        <f t="shared" si="16"/>
        <v>65.333333333333329</v>
      </c>
      <c r="J306" s="98">
        <f t="shared" si="13"/>
        <v>9.7999999999999989</v>
      </c>
      <c r="K306" s="103"/>
    </row>
    <row r="307" spans="1:11" x14ac:dyDescent="0.3">
      <c r="A307" s="75" t="s">
        <v>213</v>
      </c>
      <c r="B307" s="55" t="s">
        <v>34</v>
      </c>
      <c r="C307" s="58">
        <v>7</v>
      </c>
      <c r="D307" s="108">
        <v>6</v>
      </c>
      <c r="E307" s="51">
        <v>7</v>
      </c>
      <c r="F307" s="4" t="s">
        <v>92</v>
      </c>
      <c r="G307" s="4" t="s">
        <v>151</v>
      </c>
      <c r="H307" s="48">
        <f>IF(G307&gt;0,VLOOKUP(G307,Apoio!$H$2:$I$24,2,0),"")</f>
        <v>8</v>
      </c>
      <c r="I307" s="44">
        <f t="shared" si="16"/>
        <v>65.333333333333329</v>
      </c>
      <c r="J307" s="98">
        <f t="shared" si="13"/>
        <v>9.7999999999999989</v>
      </c>
      <c r="K307" s="103"/>
    </row>
    <row r="308" spans="1:11" x14ac:dyDescent="0.3">
      <c r="A308" s="58" t="s">
        <v>2</v>
      </c>
      <c r="B308" s="58" t="s">
        <v>6</v>
      </c>
      <c r="C308" s="58">
        <v>7</v>
      </c>
      <c r="D308" s="58">
        <v>4.8</v>
      </c>
      <c r="E308" s="51">
        <v>7</v>
      </c>
      <c r="F308" s="4" t="s">
        <v>71</v>
      </c>
      <c r="G308" s="4" t="s">
        <v>70</v>
      </c>
      <c r="H308" s="48">
        <f>IF(G308&gt;0,VLOOKUP(G308,Apoio!$H$2:$I$24,2,0),"")</f>
        <v>7</v>
      </c>
      <c r="I308" s="44">
        <f t="shared" ref="I308:I319" si="17">IF(D308&gt;0,(((H308*E308)*C308)/D308),"")</f>
        <v>71.458333333333343</v>
      </c>
      <c r="J308" s="98">
        <f t="shared" ref="J308:J330" si="18">I308*35%</f>
        <v>25.010416666666668</v>
      </c>
      <c r="K308" s="103"/>
    </row>
    <row r="309" spans="1:11" x14ac:dyDescent="0.3">
      <c r="A309" s="58" t="s">
        <v>2</v>
      </c>
      <c r="B309" s="58" t="s">
        <v>6</v>
      </c>
      <c r="C309" s="58">
        <v>6.7</v>
      </c>
      <c r="D309" s="58">
        <v>4.8</v>
      </c>
      <c r="E309" s="51">
        <v>7</v>
      </c>
      <c r="F309" s="4" t="s">
        <v>71</v>
      </c>
      <c r="G309" s="4" t="s">
        <v>77</v>
      </c>
      <c r="H309" s="48">
        <f>IF(G309&gt;0,VLOOKUP(G309,Apoio!$H$2:$I$24,2,0),"")</f>
        <v>8</v>
      </c>
      <c r="I309" s="44">
        <f t="shared" si="17"/>
        <v>78.166666666666671</v>
      </c>
      <c r="J309" s="98">
        <f t="shared" si="18"/>
        <v>27.358333333333334</v>
      </c>
      <c r="K309" s="103"/>
    </row>
    <row r="310" spans="1:11" x14ac:dyDescent="0.3">
      <c r="A310" s="58" t="s">
        <v>2</v>
      </c>
      <c r="B310" s="58" t="s">
        <v>6</v>
      </c>
      <c r="C310" s="58">
        <v>7</v>
      </c>
      <c r="D310" s="58">
        <v>4.8</v>
      </c>
      <c r="E310" s="51">
        <v>7</v>
      </c>
      <c r="F310" s="4" t="s">
        <v>71</v>
      </c>
      <c r="G310" s="4" t="s">
        <v>84</v>
      </c>
      <c r="H310" s="48">
        <f>IF(G310&gt;0,VLOOKUP(G310,Apoio!$H$2:$I$24,2,0),"")</f>
        <v>8</v>
      </c>
      <c r="I310" s="44">
        <f t="shared" si="17"/>
        <v>81.666666666666671</v>
      </c>
      <c r="J310" s="98">
        <f t="shared" si="18"/>
        <v>28.583333333333332</v>
      </c>
      <c r="K310" s="103"/>
    </row>
    <row r="311" spans="1:11" x14ac:dyDescent="0.3">
      <c r="A311" s="58" t="s">
        <v>2</v>
      </c>
      <c r="B311" s="58" t="s">
        <v>6</v>
      </c>
      <c r="C311" s="58">
        <v>6.9</v>
      </c>
      <c r="D311" s="58">
        <v>4.8</v>
      </c>
      <c r="E311" s="51">
        <v>7</v>
      </c>
      <c r="F311" s="4" t="s">
        <v>71</v>
      </c>
      <c r="G311" s="4" t="s">
        <v>91</v>
      </c>
      <c r="H311" s="48">
        <f>IF(G311&gt;0,VLOOKUP(G311,Apoio!$H$2:$I$24,2,0),"")</f>
        <v>6</v>
      </c>
      <c r="I311" s="44">
        <f t="shared" si="17"/>
        <v>60.375000000000007</v>
      </c>
      <c r="J311" s="98">
        <f t="shared" si="18"/>
        <v>21.131250000000001</v>
      </c>
      <c r="K311" s="103"/>
    </row>
    <row r="312" spans="1:11" x14ac:dyDescent="0.3">
      <c r="A312" s="58" t="s">
        <v>2</v>
      </c>
      <c r="B312" s="58" t="s">
        <v>6</v>
      </c>
      <c r="C312" s="58">
        <v>6.9</v>
      </c>
      <c r="D312" s="58">
        <v>4.8</v>
      </c>
      <c r="E312" s="51">
        <v>7</v>
      </c>
      <c r="F312" s="4" t="s">
        <v>71</v>
      </c>
      <c r="G312" s="4" t="s">
        <v>97</v>
      </c>
      <c r="H312" s="48">
        <f>IF(G312&gt;0,VLOOKUP(G312,Apoio!$H$2:$I$24,2,0),"")</f>
        <v>8</v>
      </c>
      <c r="I312" s="44">
        <f t="shared" si="17"/>
        <v>80.500000000000014</v>
      </c>
      <c r="J312" s="98">
        <f t="shared" si="18"/>
        <v>28.175000000000004</v>
      </c>
      <c r="K312" s="103"/>
    </row>
    <row r="313" spans="1:11" x14ac:dyDescent="0.3">
      <c r="A313" s="58" t="s">
        <v>2</v>
      </c>
      <c r="B313" s="58" t="s">
        <v>6</v>
      </c>
      <c r="C313" s="58">
        <v>7</v>
      </c>
      <c r="D313" s="58">
        <v>4.8</v>
      </c>
      <c r="E313" s="51">
        <v>7</v>
      </c>
      <c r="F313" s="4" t="s">
        <v>71</v>
      </c>
      <c r="G313" s="4" t="s">
        <v>100</v>
      </c>
      <c r="H313" s="48">
        <f>IF(G313&gt;0,VLOOKUP(G313,Apoio!$H$2:$I$24,2,0),"")</f>
        <v>3</v>
      </c>
      <c r="I313" s="44">
        <f t="shared" si="17"/>
        <v>30.625</v>
      </c>
      <c r="J313" s="98">
        <f t="shared" si="18"/>
        <v>10.71875</v>
      </c>
      <c r="K313" s="103"/>
    </row>
    <row r="314" spans="1:11" x14ac:dyDescent="0.3">
      <c r="A314" s="59" t="s">
        <v>2</v>
      </c>
      <c r="B314" s="58" t="s">
        <v>6</v>
      </c>
      <c r="C314" s="58">
        <v>6</v>
      </c>
      <c r="D314" s="58">
        <v>4.7</v>
      </c>
      <c r="E314" s="51">
        <v>7</v>
      </c>
      <c r="F314" s="4" t="s">
        <v>78</v>
      </c>
      <c r="G314" s="4" t="s">
        <v>103</v>
      </c>
      <c r="H314" s="48">
        <f>IF(G314&gt;0,VLOOKUP(G314,Apoio!$H$2:$I$24,2,0),"")</f>
        <v>6</v>
      </c>
      <c r="I314" s="44">
        <f t="shared" si="17"/>
        <v>53.617021276595743</v>
      </c>
      <c r="J314" s="98">
        <f t="shared" ref="J314:J319" si="19">I314*15%</f>
        <v>8.0425531914893611</v>
      </c>
      <c r="K314" s="103"/>
    </row>
    <row r="315" spans="1:11" x14ac:dyDescent="0.3">
      <c r="A315" s="59" t="s">
        <v>2</v>
      </c>
      <c r="B315" s="58" t="s">
        <v>6</v>
      </c>
      <c r="C315" s="58">
        <v>6</v>
      </c>
      <c r="D315" s="58">
        <v>4.7</v>
      </c>
      <c r="E315" s="51">
        <v>7</v>
      </c>
      <c r="F315" s="4" t="s">
        <v>78</v>
      </c>
      <c r="G315" s="4" t="s">
        <v>106</v>
      </c>
      <c r="H315" s="48">
        <f>IF(G315&gt;0,VLOOKUP(G315,Apoio!$H$2:$I$24,2,0),"")</f>
        <v>7</v>
      </c>
      <c r="I315" s="44">
        <f t="shared" si="17"/>
        <v>62.553191489361701</v>
      </c>
      <c r="J315" s="98">
        <f t="shared" si="19"/>
        <v>9.3829787234042552</v>
      </c>
      <c r="K315" s="103"/>
    </row>
    <row r="316" spans="1:11" x14ac:dyDescent="0.3">
      <c r="A316" s="59" t="s">
        <v>2</v>
      </c>
      <c r="B316" s="58" t="s">
        <v>6</v>
      </c>
      <c r="C316" s="58">
        <v>5</v>
      </c>
      <c r="D316" s="58">
        <v>4.7</v>
      </c>
      <c r="E316" s="51">
        <v>7</v>
      </c>
      <c r="F316" s="4" t="s">
        <v>78</v>
      </c>
      <c r="G316" s="4" t="s">
        <v>109</v>
      </c>
      <c r="H316" s="48">
        <f>IF(G316&gt;0,VLOOKUP(G316,Apoio!$H$2:$I$24,2,0),"")</f>
        <v>8</v>
      </c>
      <c r="I316" s="44">
        <f t="shared" si="17"/>
        <v>59.574468085106382</v>
      </c>
      <c r="J316" s="98">
        <f t="shared" si="19"/>
        <v>8.9361702127659566</v>
      </c>
      <c r="K316" s="103"/>
    </row>
    <row r="317" spans="1:11" x14ac:dyDescent="0.3">
      <c r="A317" s="59" t="s">
        <v>2</v>
      </c>
      <c r="B317" s="58" t="s">
        <v>6</v>
      </c>
      <c r="C317" s="58">
        <v>6</v>
      </c>
      <c r="D317" s="58">
        <v>4.7</v>
      </c>
      <c r="E317" s="51">
        <v>7</v>
      </c>
      <c r="F317" s="4" t="s">
        <v>78</v>
      </c>
      <c r="G317" s="4" t="s">
        <v>112</v>
      </c>
      <c r="H317" s="48">
        <f>IF(G317&gt;0,VLOOKUP(G317,Apoio!$H$2:$I$24,2,0),"")</f>
        <v>8</v>
      </c>
      <c r="I317" s="44">
        <f t="shared" si="17"/>
        <v>71.489361702127653</v>
      </c>
      <c r="J317" s="98">
        <f t="shared" si="19"/>
        <v>10.723404255319148</v>
      </c>
      <c r="K317" s="103"/>
    </row>
    <row r="318" spans="1:11" x14ac:dyDescent="0.3">
      <c r="A318" s="59" t="s">
        <v>2</v>
      </c>
      <c r="B318" s="58" t="s">
        <v>6</v>
      </c>
      <c r="C318" s="58">
        <v>6</v>
      </c>
      <c r="D318" s="58">
        <v>4.7</v>
      </c>
      <c r="E318" s="51">
        <v>7</v>
      </c>
      <c r="F318" s="4" t="s">
        <v>78</v>
      </c>
      <c r="G318" s="4" t="s">
        <v>115</v>
      </c>
      <c r="H318" s="48">
        <f>IF(G318&gt;0,VLOOKUP(G318,Apoio!$H$2:$I$24,2,0),"")</f>
        <v>7</v>
      </c>
      <c r="I318" s="44">
        <f t="shared" si="17"/>
        <v>62.553191489361701</v>
      </c>
      <c r="J318" s="98">
        <f t="shared" si="19"/>
        <v>9.3829787234042552</v>
      </c>
      <c r="K318" s="103"/>
    </row>
    <row r="319" spans="1:11" x14ac:dyDescent="0.3">
      <c r="A319" s="59" t="s">
        <v>2</v>
      </c>
      <c r="B319" s="58" t="s">
        <v>6</v>
      </c>
      <c r="C319" s="58">
        <v>6</v>
      </c>
      <c r="D319" s="58">
        <v>4.7</v>
      </c>
      <c r="E319" s="51">
        <v>7</v>
      </c>
      <c r="F319" s="4" t="s">
        <v>78</v>
      </c>
      <c r="G319" s="4" t="s">
        <v>118</v>
      </c>
      <c r="H319" s="48">
        <f>IF(G319&gt;0,VLOOKUP(G319,Apoio!$H$2:$I$24,2,0),"")</f>
        <v>3</v>
      </c>
      <c r="I319" s="44">
        <f t="shared" si="17"/>
        <v>26.808510638297872</v>
      </c>
      <c r="J319" s="98">
        <f t="shared" si="19"/>
        <v>4.0212765957446805</v>
      </c>
      <c r="K319" s="103"/>
    </row>
    <row r="320" spans="1:11" x14ac:dyDescent="0.3">
      <c r="A320" s="59" t="s">
        <v>2</v>
      </c>
      <c r="B320" s="58" t="s">
        <v>6</v>
      </c>
      <c r="C320" s="58">
        <v>4</v>
      </c>
      <c r="D320" s="58">
        <v>4.7</v>
      </c>
      <c r="E320" s="51">
        <v>7</v>
      </c>
      <c r="F320" s="4" t="s">
        <v>85</v>
      </c>
      <c r="G320" s="4" t="s">
        <v>121</v>
      </c>
      <c r="H320" s="48">
        <f>IF(G320&gt;0,VLOOKUP(G320,Apoio!$H$2:$I$24,2,0),"")</f>
        <v>7</v>
      </c>
      <c r="I320" s="44">
        <f t="shared" ref="I320:I330" si="20">IF(D320&gt;0,(((H320*E320)*C320)/D320),"")</f>
        <v>41.702127659574465</v>
      </c>
      <c r="J320" s="98">
        <v>20</v>
      </c>
      <c r="K320" s="103" t="s">
        <v>221</v>
      </c>
    </row>
    <row r="321" spans="1:11" x14ac:dyDescent="0.3">
      <c r="A321" s="59" t="s">
        <v>2</v>
      </c>
      <c r="B321" s="58" t="s">
        <v>6</v>
      </c>
      <c r="C321" s="58">
        <v>2.5</v>
      </c>
      <c r="D321" s="58">
        <v>4.7</v>
      </c>
      <c r="E321" s="51">
        <v>7</v>
      </c>
      <c r="F321" s="4" t="s">
        <v>85</v>
      </c>
      <c r="G321" s="4" t="s">
        <v>124</v>
      </c>
      <c r="H321" s="48">
        <f>IF(G321&gt;0,VLOOKUP(G321,Apoio!$H$2:$I$24,2,0),"")</f>
        <v>8</v>
      </c>
      <c r="I321" s="44">
        <f t="shared" si="20"/>
        <v>29.787234042553191</v>
      </c>
      <c r="J321" s="98">
        <v>23</v>
      </c>
      <c r="K321" s="103" t="s">
        <v>221</v>
      </c>
    </row>
    <row r="322" spans="1:11" x14ac:dyDescent="0.3">
      <c r="A322" s="59" t="s">
        <v>2</v>
      </c>
      <c r="B322" s="58" t="s">
        <v>6</v>
      </c>
      <c r="C322" s="58">
        <v>6</v>
      </c>
      <c r="D322" s="58">
        <v>4.7</v>
      </c>
      <c r="E322" s="51">
        <v>7</v>
      </c>
      <c r="F322" s="4" t="s">
        <v>85</v>
      </c>
      <c r="G322" s="4" t="s">
        <v>127</v>
      </c>
      <c r="H322" s="48">
        <f>IF(G322&gt;0,VLOOKUP(G322,Apoio!$H$2:$I$24,2,0),"")</f>
        <v>8</v>
      </c>
      <c r="I322" s="44">
        <f t="shared" si="20"/>
        <v>71.489361702127653</v>
      </c>
      <c r="J322" s="98">
        <v>23</v>
      </c>
      <c r="K322" s="103" t="s">
        <v>221</v>
      </c>
    </row>
    <row r="323" spans="1:11" x14ac:dyDescent="0.3">
      <c r="A323" s="59" t="s">
        <v>2</v>
      </c>
      <c r="B323" s="58" t="s">
        <v>6</v>
      </c>
      <c r="C323" s="58">
        <v>5.5</v>
      </c>
      <c r="D323" s="58">
        <v>4.7</v>
      </c>
      <c r="E323" s="51">
        <v>7</v>
      </c>
      <c r="F323" s="4" t="s">
        <v>85</v>
      </c>
      <c r="G323" s="4" t="s">
        <v>130</v>
      </c>
      <c r="H323" s="48">
        <f>IF(G323&gt;0,VLOOKUP(G323,Apoio!$H$2:$I$24,2,0),"")</f>
        <v>13</v>
      </c>
      <c r="I323" s="44">
        <f t="shared" si="20"/>
        <v>106.48936170212765</v>
      </c>
      <c r="J323" s="98">
        <v>37</v>
      </c>
      <c r="K323" s="103" t="s">
        <v>221</v>
      </c>
    </row>
    <row r="324" spans="1:11" x14ac:dyDescent="0.3">
      <c r="A324" s="59" t="s">
        <v>2</v>
      </c>
      <c r="B324" s="58" t="s">
        <v>6</v>
      </c>
      <c r="C324" s="58">
        <v>5.7</v>
      </c>
      <c r="D324" s="58">
        <v>4.7</v>
      </c>
      <c r="E324" s="51">
        <v>7</v>
      </c>
      <c r="F324" s="4" t="s">
        <v>85</v>
      </c>
      <c r="G324" s="4" t="s">
        <v>133</v>
      </c>
      <c r="H324" s="48">
        <f>IF(G324&gt;0,VLOOKUP(G324,Apoio!$H$2:$I$24,2,0),"")</f>
        <v>3</v>
      </c>
      <c r="I324" s="44">
        <f t="shared" si="20"/>
        <v>25.468085106382979</v>
      </c>
      <c r="J324" s="98">
        <v>9</v>
      </c>
      <c r="K324" s="103" t="s">
        <v>221</v>
      </c>
    </row>
    <row r="325" spans="1:11" x14ac:dyDescent="0.3">
      <c r="A325" s="59" t="s">
        <v>2</v>
      </c>
      <c r="B325" s="58" t="s">
        <v>6</v>
      </c>
      <c r="C325" s="58">
        <v>6</v>
      </c>
      <c r="D325" s="58">
        <v>4.2</v>
      </c>
      <c r="E325" s="51">
        <v>7</v>
      </c>
      <c r="F325" s="4" t="s">
        <v>92</v>
      </c>
      <c r="G325" s="4" t="s">
        <v>136</v>
      </c>
      <c r="H325" s="48">
        <f>IF(G325&gt;0,VLOOKUP(G325,Apoio!$H$2:$I$24,2,0),"")</f>
        <v>13</v>
      </c>
      <c r="I325" s="44">
        <f t="shared" si="20"/>
        <v>130</v>
      </c>
      <c r="J325" s="98">
        <f t="shared" si="18"/>
        <v>45.5</v>
      </c>
      <c r="K325" s="103"/>
    </row>
    <row r="326" spans="1:11" x14ac:dyDescent="0.3">
      <c r="A326" s="59" t="s">
        <v>2</v>
      </c>
      <c r="B326" s="58" t="s">
        <v>6</v>
      </c>
      <c r="C326" s="58">
        <v>6</v>
      </c>
      <c r="D326" s="58">
        <v>4.2</v>
      </c>
      <c r="E326" s="51">
        <v>7</v>
      </c>
      <c r="F326" s="4" t="s">
        <v>92</v>
      </c>
      <c r="G326" s="4" t="s">
        <v>139</v>
      </c>
      <c r="H326" s="48">
        <f>IF(G326&gt;0,VLOOKUP(G326,Apoio!$H$2:$I$24,2,0),"")</f>
        <v>8</v>
      </c>
      <c r="I326" s="44">
        <f t="shared" si="20"/>
        <v>80</v>
      </c>
      <c r="J326" s="98">
        <f t="shared" si="18"/>
        <v>28</v>
      </c>
      <c r="K326" s="103"/>
    </row>
    <row r="327" spans="1:11" x14ac:dyDescent="0.3">
      <c r="A327" s="59" t="s">
        <v>2</v>
      </c>
      <c r="B327" s="58" t="s">
        <v>6</v>
      </c>
      <c r="C327" s="58">
        <v>6</v>
      </c>
      <c r="D327" s="58">
        <v>4.2</v>
      </c>
      <c r="E327" s="51">
        <v>7</v>
      </c>
      <c r="F327" s="4" t="s">
        <v>92</v>
      </c>
      <c r="G327" s="4" t="s">
        <v>142</v>
      </c>
      <c r="H327" s="48">
        <f>IF(G327&gt;0,VLOOKUP(G327,Apoio!$H$2:$I$24,2,0),"")</f>
        <v>8</v>
      </c>
      <c r="I327" s="44">
        <f t="shared" si="20"/>
        <v>80</v>
      </c>
      <c r="J327" s="98">
        <f t="shared" si="18"/>
        <v>28</v>
      </c>
      <c r="K327" s="103"/>
    </row>
    <row r="328" spans="1:11" x14ac:dyDescent="0.3">
      <c r="A328" s="59" t="s">
        <v>2</v>
      </c>
      <c r="B328" s="58" t="s">
        <v>6</v>
      </c>
      <c r="C328" s="58">
        <v>6</v>
      </c>
      <c r="D328" s="58">
        <v>4.2</v>
      </c>
      <c r="E328" s="51">
        <v>7</v>
      </c>
      <c r="F328" s="4" t="s">
        <v>92</v>
      </c>
      <c r="G328" s="4" t="s">
        <v>145</v>
      </c>
      <c r="H328" s="48">
        <f>IF(G328&gt;0,VLOOKUP(G328,Apoio!$H$2:$I$24,2,0),"")</f>
        <v>7</v>
      </c>
      <c r="I328" s="44">
        <f t="shared" si="20"/>
        <v>70</v>
      </c>
      <c r="J328" s="98">
        <f t="shared" si="18"/>
        <v>24.5</v>
      </c>
      <c r="K328" s="103"/>
    </row>
    <row r="329" spans="1:11" x14ac:dyDescent="0.3">
      <c r="A329" s="59" t="s">
        <v>2</v>
      </c>
      <c r="B329" s="58" t="s">
        <v>6</v>
      </c>
      <c r="C329" s="58">
        <v>6</v>
      </c>
      <c r="D329" s="58">
        <v>4.2</v>
      </c>
      <c r="E329" s="51">
        <v>7</v>
      </c>
      <c r="F329" s="4" t="s">
        <v>92</v>
      </c>
      <c r="G329" s="4" t="s">
        <v>148</v>
      </c>
      <c r="H329" s="48">
        <f>IF(G329&gt;0,VLOOKUP(G329,Apoio!$H$2:$I$24,2,0),"")</f>
        <v>8</v>
      </c>
      <c r="I329" s="44">
        <f t="shared" si="20"/>
        <v>80</v>
      </c>
      <c r="J329" s="98">
        <f t="shared" si="18"/>
        <v>28</v>
      </c>
      <c r="K329" s="103"/>
    </row>
    <row r="330" spans="1:11" x14ac:dyDescent="0.3">
      <c r="A330" s="59" t="s">
        <v>2</v>
      </c>
      <c r="B330" s="58" t="s">
        <v>6</v>
      </c>
      <c r="C330" s="58">
        <v>6</v>
      </c>
      <c r="D330" s="58">
        <v>4.2</v>
      </c>
      <c r="E330" s="51">
        <v>7</v>
      </c>
      <c r="F330" s="4" t="s">
        <v>92</v>
      </c>
      <c r="G330" s="4" t="s">
        <v>151</v>
      </c>
      <c r="H330" s="48">
        <f>IF(G330&gt;0,VLOOKUP(G330,Apoio!$H$2:$I$24,2,0),"")</f>
        <v>8</v>
      </c>
      <c r="I330" s="44">
        <f t="shared" si="20"/>
        <v>80</v>
      </c>
      <c r="J330" s="98">
        <f t="shared" si="18"/>
        <v>28</v>
      </c>
      <c r="K330" s="103"/>
    </row>
    <row r="331" spans="1:11" x14ac:dyDescent="0.3">
      <c r="A331" s="59" t="s">
        <v>2</v>
      </c>
      <c r="B331" s="58" t="s">
        <v>7</v>
      </c>
      <c r="C331" s="58">
        <v>4.5</v>
      </c>
      <c r="D331" s="58">
        <v>3.7</v>
      </c>
      <c r="E331" s="51">
        <v>7</v>
      </c>
      <c r="F331" s="4" t="s">
        <v>71</v>
      </c>
      <c r="G331" s="4" t="s">
        <v>70</v>
      </c>
      <c r="H331" s="48">
        <f>IF(G331&gt;0,VLOOKUP(G331,Apoio!$H$2:$I$24,2,0),"")</f>
        <v>7</v>
      </c>
      <c r="I331" s="44">
        <f t="shared" ref="I331:I362" si="21">IF(D331&gt;0,(((H331*E331)*C331)/D331),"")</f>
        <v>59.594594594594589</v>
      </c>
      <c r="J331" s="98">
        <f t="shared" ref="J331:J353" si="22">I331*15%</f>
        <v>8.9391891891891877</v>
      </c>
      <c r="K331" s="103"/>
    </row>
    <row r="332" spans="1:11" x14ac:dyDescent="0.3">
      <c r="A332" s="59" t="s">
        <v>2</v>
      </c>
      <c r="B332" s="58" t="s">
        <v>7</v>
      </c>
      <c r="C332" s="58">
        <v>5</v>
      </c>
      <c r="D332" s="58">
        <v>3.7</v>
      </c>
      <c r="E332" s="51">
        <v>7</v>
      </c>
      <c r="F332" s="4" t="s">
        <v>71</v>
      </c>
      <c r="G332" s="4" t="s">
        <v>77</v>
      </c>
      <c r="H332" s="48">
        <f>IF(G332&gt;0,VLOOKUP(G332,Apoio!$H$2:$I$24,2,0),"")</f>
        <v>8</v>
      </c>
      <c r="I332" s="44">
        <f t="shared" si="21"/>
        <v>75.675675675675677</v>
      </c>
      <c r="J332" s="98">
        <f t="shared" si="22"/>
        <v>11.351351351351351</v>
      </c>
      <c r="K332" s="103"/>
    </row>
    <row r="333" spans="1:11" x14ac:dyDescent="0.3">
      <c r="A333" s="59" t="s">
        <v>2</v>
      </c>
      <c r="B333" s="58" t="s">
        <v>7</v>
      </c>
      <c r="C333" s="58">
        <v>7</v>
      </c>
      <c r="D333" s="58">
        <v>3.7</v>
      </c>
      <c r="E333" s="51">
        <v>7</v>
      </c>
      <c r="F333" s="4" t="s">
        <v>71</v>
      </c>
      <c r="G333" s="4" t="s">
        <v>84</v>
      </c>
      <c r="H333" s="48">
        <f>IF(G333&gt;0,VLOOKUP(G333,Apoio!$H$2:$I$24,2,0),"")</f>
        <v>8</v>
      </c>
      <c r="I333" s="44">
        <f t="shared" si="21"/>
        <v>105.94594594594594</v>
      </c>
      <c r="J333" s="98">
        <f t="shared" si="22"/>
        <v>15.891891891891889</v>
      </c>
      <c r="K333" s="103"/>
    </row>
    <row r="334" spans="1:11" x14ac:dyDescent="0.3">
      <c r="A334" s="59" t="s">
        <v>2</v>
      </c>
      <c r="B334" s="58" t="s">
        <v>7</v>
      </c>
      <c r="C334" s="58">
        <v>6</v>
      </c>
      <c r="D334" s="58">
        <v>3.7</v>
      </c>
      <c r="E334" s="51">
        <v>7</v>
      </c>
      <c r="F334" s="4" t="s">
        <v>71</v>
      </c>
      <c r="G334" s="4" t="s">
        <v>91</v>
      </c>
      <c r="H334" s="48">
        <f>IF(G334&gt;0,VLOOKUP(G334,Apoio!$H$2:$I$24,2,0),"")</f>
        <v>6</v>
      </c>
      <c r="I334" s="44">
        <f t="shared" si="21"/>
        <v>68.108108108108098</v>
      </c>
      <c r="J334" s="98">
        <f t="shared" si="22"/>
        <v>10.216216216216214</v>
      </c>
      <c r="K334" s="103"/>
    </row>
    <row r="335" spans="1:11" x14ac:dyDescent="0.3">
      <c r="A335" s="59" t="s">
        <v>2</v>
      </c>
      <c r="B335" s="58" t="s">
        <v>7</v>
      </c>
      <c r="C335" s="58">
        <v>6</v>
      </c>
      <c r="D335" s="58">
        <v>3.7</v>
      </c>
      <c r="E335" s="51">
        <v>7</v>
      </c>
      <c r="F335" s="4" t="s">
        <v>71</v>
      </c>
      <c r="G335" s="4" t="s">
        <v>97</v>
      </c>
      <c r="H335" s="48">
        <f>IF(G335&gt;0,VLOOKUP(G335,Apoio!$H$2:$I$24,2,0),"")</f>
        <v>8</v>
      </c>
      <c r="I335" s="44">
        <f t="shared" si="21"/>
        <v>90.810810810810807</v>
      </c>
      <c r="J335" s="98">
        <f t="shared" si="22"/>
        <v>13.621621621621621</v>
      </c>
      <c r="K335" s="103"/>
    </row>
    <row r="336" spans="1:11" x14ac:dyDescent="0.3">
      <c r="A336" s="59" t="s">
        <v>2</v>
      </c>
      <c r="B336" s="58" t="s">
        <v>7</v>
      </c>
      <c r="C336" s="58">
        <v>5</v>
      </c>
      <c r="D336" s="58">
        <v>3.7</v>
      </c>
      <c r="E336" s="51">
        <v>7</v>
      </c>
      <c r="F336" s="4" t="s">
        <v>71</v>
      </c>
      <c r="G336" s="4" t="s">
        <v>100</v>
      </c>
      <c r="H336" s="48">
        <f>IF(G336&gt;0,VLOOKUP(G336,Apoio!$H$2:$I$24,2,0),"")</f>
        <v>3</v>
      </c>
      <c r="I336" s="44">
        <f t="shared" si="21"/>
        <v>28.378378378378375</v>
      </c>
      <c r="J336" s="98">
        <f t="shared" si="22"/>
        <v>4.2567567567567561</v>
      </c>
      <c r="K336" s="103"/>
    </row>
    <row r="337" spans="1:11" x14ac:dyDescent="0.3">
      <c r="A337" s="59" t="s">
        <v>2</v>
      </c>
      <c r="B337" s="58" t="s">
        <v>7</v>
      </c>
      <c r="C337" s="58">
        <v>4.3</v>
      </c>
      <c r="D337" s="58">
        <v>3.7</v>
      </c>
      <c r="E337" s="51">
        <v>7</v>
      </c>
      <c r="F337" s="4" t="s">
        <v>78</v>
      </c>
      <c r="G337" s="4" t="s">
        <v>103</v>
      </c>
      <c r="H337" s="48">
        <f>IF(G337&gt;0,VLOOKUP(G337,Apoio!$H$2:$I$24,2,0),"")</f>
        <v>6</v>
      </c>
      <c r="I337" s="44">
        <f t="shared" si="21"/>
        <v>48.810810810810807</v>
      </c>
      <c r="J337" s="98">
        <f t="shared" ref="J337:J342" si="23">I337*15%</f>
        <v>7.3216216216216203</v>
      </c>
      <c r="K337" s="103"/>
    </row>
    <row r="338" spans="1:11" x14ac:dyDescent="0.3">
      <c r="A338" s="59" t="s">
        <v>2</v>
      </c>
      <c r="B338" s="58" t="s">
        <v>7</v>
      </c>
      <c r="C338" s="58">
        <v>6</v>
      </c>
      <c r="D338" s="58">
        <v>3.7</v>
      </c>
      <c r="E338" s="51">
        <v>7</v>
      </c>
      <c r="F338" s="4" t="s">
        <v>78</v>
      </c>
      <c r="G338" s="4" t="s">
        <v>106</v>
      </c>
      <c r="H338" s="48">
        <f>IF(G338&gt;0,VLOOKUP(G338,Apoio!$H$2:$I$24,2,0),"")</f>
        <v>7</v>
      </c>
      <c r="I338" s="44">
        <f t="shared" si="21"/>
        <v>79.459459459459453</v>
      </c>
      <c r="J338" s="98">
        <f t="shared" si="23"/>
        <v>11.918918918918918</v>
      </c>
      <c r="K338" s="103"/>
    </row>
    <row r="339" spans="1:11" x14ac:dyDescent="0.3">
      <c r="A339" s="59" t="s">
        <v>2</v>
      </c>
      <c r="B339" s="58" t="s">
        <v>7</v>
      </c>
      <c r="C339" s="58">
        <v>5.5</v>
      </c>
      <c r="D339" s="58">
        <v>3.7</v>
      </c>
      <c r="E339" s="51">
        <v>7</v>
      </c>
      <c r="F339" s="4" t="s">
        <v>78</v>
      </c>
      <c r="G339" s="4" t="s">
        <v>109</v>
      </c>
      <c r="H339" s="48">
        <f>IF(G339&gt;0,VLOOKUP(G339,Apoio!$H$2:$I$24,2,0),"")</f>
        <v>8</v>
      </c>
      <c r="I339" s="44">
        <f t="shared" si="21"/>
        <v>83.243243243243242</v>
      </c>
      <c r="J339" s="98">
        <f t="shared" si="23"/>
        <v>12.486486486486486</v>
      </c>
      <c r="K339" s="103"/>
    </row>
    <row r="340" spans="1:11" x14ac:dyDescent="0.3">
      <c r="A340" s="59" t="s">
        <v>2</v>
      </c>
      <c r="B340" s="58" t="s">
        <v>7</v>
      </c>
      <c r="C340" s="58">
        <v>6.5</v>
      </c>
      <c r="D340" s="58">
        <v>3.7</v>
      </c>
      <c r="E340" s="51">
        <v>7</v>
      </c>
      <c r="F340" s="4" t="s">
        <v>78</v>
      </c>
      <c r="G340" s="4" t="s">
        <v>112</v>
      </c>
      <c r="H340" s="48">
        <f>IF(G340&gt;0,VLOOKUP(G340,Apoio!$H$2:$I$24,2,0),"")</f>
        <v>8</v>
      </c>
      <c r="I340" s="44">
        <f t="shared" si="21"/>
        <v>98.378378378378372</v>
      </c>
      <c r="J340" s="98">
        <f t="shared" si="23"/>
        <v>14.756756756756754</v>
      </c>
      <c r="K340" s="103"/>
    </row>
    <row r="341" spans="1:11" x14ac:dyDescent="0.3">
      <c r="A341" s="59" t="s">
        <v>2</v>
      </c>
      <c r="B341" s="58" t="s">
        <v>7</v>
      </c>
      <c r="C341" s="58">
        <v>6.5</v>
      </c>
      <c r="D341" s="58">
        <v>3.7</v>
      </c>
      <c r="E341" s="51">
        <v>7</v>
      </c>
      <c r="F341" s="4" t="s">
        <v>78</v>
      </c>
      <c r="G341" s="4" t="s">
        <v>115</v>
      </c>
      <c r="H341" s="48">
        <f>IF(G341&gt;0,VLOOKUP(G341,Apoio!$H$2:$I$24,2,0),"")</f>
        <v>7</v>
      </c>
      <c r="I341" s="44">
        <f t="shared" si="21"/>
        <v>86.081081081081081</v>
      </c>
      <c r="J341" s="98">
        <f t="shared" si="23"/>
        <v>12.912162162162161</v>
      </c>
      <c r="K341" s="103"/>
    </row>
    <row r="342" spans="1:11" x14ac:dyDescent="0.3">
      <c r="A342" s="58" t="s">
        <v>2</v>
      </c>
      <c r="B342" s="58" t="s">
        <v>7</v>
      </c>
      <c r="C342" s="58">
        <v>6.5</v>
      </c>
      <c r="D342" s="58">
        <v>3.7</v>
      </c>
      <c r="E342" s="51">
        <v>7</v>
      </c>
      <c r="F342" s="4" t="s">
        <v>78</v>
      </c>
      <c r="G342" s="4" t="s">
        <v>118</v>
      </c>
      <c r="H342" s="48">
        <f>IF(G342&gt;0,VLOOKUP(G342,Apoio!$H$2:$I$24,2,0),"")</f>
        <v>3</v>
      </c>
      <c r="I342" s="44">
        <f t="shared" si="21"/>
        <v>36.891891891891888</v>
      </c>
      <c r="J342" s="98">
        <f t="shared" si="23"/>
        <v>5.5337837837837833</v>
      </c>
      <c r="K342" s="103"/>
    </row>
    <row r="343" spans="1:11" x14ac:dyDescent="0.3">
      <c r="A343" s="58" t="s">
        <v>2</v>
      </c>
      <c r="B343" s="58" t="s">
        <v>7</v>
      </c>
      <c r="C343" s="58">
        <v>3</v>
      </c>
      <c r="D343" s="58">
        <v>4.0999999999999996</v>
      </c>
      <c r="E343" s="51">
        <v>7</v>
      </c>
      <c r="F343" s="4" t="s">
        <v>85</v>
      </c>
      <c r="G343" s="4" t="s">
        <v>121</v>
      </c>
      <c r="H343" s="48">
        <f>IF(G343&gt;0,VLOOKUP(G343,Apoio!$H$2:$I$24,2,0),"")</f>
        <v>7</v>
      </c>
      <c r="I343" s="44">
        <f t="shared" si="21"/>
        <v>35.853658536585371</v>
      </c>
      <c r="J343" s="98">
        <f t="shared" si="22"/>
        <v>5.3780487804878057</v>
      </c>
      <c r="K343" s="103" t="s">
        <v>221</v>
      </c>
    </row>
    <row r="344" spans="1:11" x14ac:dyDescent="0.3">
      <c r="A344" s="58" t="s">
        <v>2</v>
      </c>
      <c r="B344" s="58" t="s">
        <v>7</v>
      </c>
      <c r="C344" s="58">
        <v>3</v>
      </c>
      <c r="D344" s="58">
        <v>4.0999999999999996</v>
      </c>
      <c r="E344" s="51">
        <v>7</v>
      </c>
      <c r="F344" s="4" t="s">
        <v>85</v>
      </c>
      <c r="G344" s="4" t="s">
        <v>124</v>
      </c>
      <c r="H344" s="48">
        <f>IF(G344&gt;0,VLOOKUP(G344,Apoio!$H$2:$I$24,2,0),"")</f>
        <v>8</v>
      </c>
      <c r="I344" s="44">
        <f t="shared" si="21"/>
        <v>40.975609756097562</v>
      </c>
      <c r="J344" s="98">
        <v>5</v>
      </c>
      <c r="K344" s="103" t="s">
        <v>221</v>
      </c>
    </row>
    <row r="345" spans="1:11" x14ac:dyDescent="0.3">
      <c r="A345" s="58" t="s">
        <v>2</v>
      </c>
      <c r="B345" s="58" t="s">
        <v>7</v>
      </c>
      <c r="C345" s="58">
        <v>2.5</v>
      </c>
      <c r="D345" s="58">
        <v>4.0999999999999996</v>
      </c>
      <c r="E345" s="51">
        <v>7</v>
      </c>
      <c r="F345" s="4" t="s">
        <v>85</v>
      </c>
      <c r="G345" s="4" t="s">
        <v>127</v>
      </c>
      <c r="H345" s="48">
        <f>IF(G345&gt;0,VLOOKUP(G345,Apoio!$H$2:$I$24,2,0),"")</f>
        <v>8</v>
      </c>
      <c r="I345" s="44">
        <f t="shared" si="21"/>
        <v>34.146341463414636</v>
      </c>
      <c r="J345" s="98">
        <v>8</v>
      </c>
      <c r="K345" s="103" t="s">
        <v>221</v>
      </c>
    </row>
    <row r="346" spans="1:11" x14ac:dyDescent="0.3">
      <c r="A346" s="58" t="s">
        <v>2</v>
      </c>
      <c r="B346" s="58" t="s">
        <v>7</v>
      </c>
      <c r="C346" s="58">
        <v>4.5</v>
      </c>
      <c r="D346" s="58">
        <v>4.0999999999999996</v>
      </c>
      <c r="E346" s="51">
        <v>7</v>
      </c>
      <c r="F346" s="4" t="s">
        <v>85</v>
      </c>
      <c r="G346" s="4" t="s">
        <v>130</v>
      </c>
      <c r="H346" s="48">
        <f>IF(G346&gt;0,VLOOKUP(G346,Apoio!$H$2:$I$24,2,0),"")</f>
        <v>13</v>
      </c>
      <c r="I346" s="44">
        <f t="shared" si="21"/>
        <v>99.878048780487816</v>
      </c>
      <c r="J346" s="98">
        <v>15</v>
      </c>
      <c r="K346" s="103" t="s">
        <v>221</v>
      </c>
    </row>
    <row r="347" spans="1:11" x14ac:dyDescent="0.3">
      <c r="A347" s="58" t="s">
        <v>2</v>
      </c>
      <c r="B347" s="58" t="s">
        <v>7</v>
      </c>
      <c r="C347" s="58">
        <v>5</v>
      </c>
      <c r="D347" s="58">
        <v>4.0999999999999996</v>
      </c>
      <c r="E347" s="51">
        <v>7</v>
      </c>
      <c r="F347" s="4" t="s">
        <v>85</v>
      </c>
      <c r="G347" s="4" t="s">
        <v>133</v>
      </c>
      <c r="H347" s="48">
        <f>IF(G347&gt;0,VLOOKUP(G347,Apoio!$H$2:$I$24,2,0),"")</f>
        <v>3</v>
      </c>
      <c r="I347" s="44">
        <f t="shared" si="21"/>
        <v>25.609756097560979</v>
      </c>
      <c r="J347" s="98">
        <v>4</v>
      </c>
      <c r="K347" s="103" t="s">
        <v>221</v>
      </c>
    </row>
    <row r="348" spans="1:11" x14ac:dyDescent="0.3">
      <c r="A348" s="59" t="s">
        <v>2</v>
      </c>
      <c r="B348" s="58" t="s">
        <v>7</v>
      </c>
      <c r="C348" s="58">
        <v>7</v>
      </c>
      <c r="D348" s="58">
        <v>4.3</v>
      </c>
      <c r="E348" s="51">
        <v>7</v>
      </c>
      <c r="F348" s="4" t="s">
        <v>92</v>
      </c>
      <c r="G348" s="4" t="s">
        <v>136</v>
      </c>
      <c r="H348" s="48">
        <f>IF(G348&gt;0,VLOOKUP(G348,Apoio!$H$2:$I$24,2,0),"")</f>
        <v>13</v>
      </c>
      <c r="I348" s="44">
        <f t="shared" si="21"/>
        <v>148.13953488372093</v>
      </c>
      <c r="J348" s="98">
        <f t="shared" si="22"/>
        <v>22.220930232558139</v>
      </c>
      <c r="K348" s="103"/>
    </row>
    <row r="349" spans="1:11" x14ac:dyDescent="0.3">
      <c r="A349" s="59" t="s">
        <v>2</v>
      </c>
      <c r="B349" s="58" t="s">
        <v>7</v>
      </c>
      <c r="C349" s="58">
        <v>7</v>
      </c>
      <c r="D349" s="58">
        <v>4.3</v>
      </c>
      <c r="E349" s="51">
        <v>7</v>
      </c>
      <c r="F349" s="4" t="s">
        <v>92</v>
      </c>
      <c r="G349" s="4" t="s">
        <v>139</v>
      </c>
      <c r="H349" s="48">
        <f>IF(G349&gt;0,VLOOKUP(G349,Apoio!$H$2:$I$24,2,0),"")</f>
        <v>8</v>
      </c>
      <c r="I349" s="44">
        <f t="shared" si="21"/>
        <v>91.162790697674424</v>
      </c>
      <c r="J349" s="98">
        <f t="shared" si="22"/>
        <v>13.674418604651164</v>
      </c>
      <c r="K349" s="103"/>
    </row>
    <row r="350" spans="1:11" x14ac:dyDescent="0.3">
      <c r="A350" s="59" t="s">
        <v>2</v>
      </c>
      <c r="B350" s="58" t="s">
        <v>7</v>
      </c>
      <c r="C350" s="58">
        <v>7</v>
      </c>
      <c r="D350" s="58">
        <v>4.3</v>
      </c>
      <c r="E350" s="51">
        <v>7</v>
      </c>
      <c r="F350" s="4" t="s">
        <v>92</v>
      </c>
      <c r="G350" s="4" t="s">
        <v>142</v>
      </c>
      <c r="H350" s="48">
        <f>IF(G350&gt;0,VLOOKUP(G350,Apoio!$H$2:$I$24,2,0),"")</f>
        <v>8</v>
      </c>
      <c r="I350" s="44">
        <f t="shared" si="21"/>
        <v>91.162790697674424</v>
      </c>
      <c r="J350" s="98">
        <f t="shared" si="22"/>
        <v>13.674418604651164</v>
      </c>
      <c r="K350" s="103"/>
    </row>
    <row r="351" spans="1:11" x14ac:dyDescent="0.3">
      <c r="A351" s="59" t="s">
        <v>2</v>
      </c>
      <c r="B351" s="58" t="s">
        <v>7</v>
      </c>
      <c r="C351" s="58">
        <v>7</v>
      </c>
      <c r="D351" s="58">
        <v>4.3</v>
      </c>
      <c r="E351" s="51">
        <v>7</v>
      </c>
      <c r="F351" s="4" t="s">
        <v>92</v>
      </c>
      <c r="G351" s="4" t="s">
        <v>145</v>
      </c>
      <c r="H351" s="48">
        <f>IF(G351&gt;0,VLOOKUP(G351,Apoio!$H$2:$I$24,2,0),"")</f>
        <v>7</v>
      </c>
      <c r="I351" s="44">
        <f t="shared" si="21"/>
        <v>79.767441860465127</v>
      </c>
      <c r="J351" s="98">
        <f t="shared" si="22"/>
        <v>11.965116279069768</v>
      </c>
      <c r="K351" s="103"/>
    </row>
    <row r="352" spans="1:11" x14ac:dyDescent="0.3">
      <c r="A352" s="59" t="s">
        <v>2</v>
      </c>
      <c r="B352" s="58" t="s">
        <v>7</v>
      </c>
      <c r="C352" s="58">
        <v>7</v>
      </c>
      <c r="D352" s="58">
        <v>4.3</v>
      </c>
      <c r="E352" s="51">
        <v>7</v>
      </c>
      <c r="F352" s="4" t="s">
        <v>92</v>
      </c>
      <c r="G352" s="4" t="s">
        <v>148</v>
      </c>
      <c r="H352" s="48">
        <f>IF(G352&gt;0,VLOOKUP(G352,Apoio!$H$2:$I$24,2,0),"")</f>
        <v>8</v>
      </c>
      <c r="I352" s="44">
        <f t="shared" si="21"/>
        <v>91.162790697674424</v>
      </c>
      <c r="J352" s="98">
        <f t="shared" si="22"/>
        <v>13.674418604651164</v>
      </c>
      <c r="K352" s="103"/>
    </row>
    <row r="353" spans="1:11" x14ac:dyDescent="0.3">
      <c r="A353" s="59" t="s">
        <v>2</v>
      </c>
      <c r="B353" s="58" t="s">
        <v>7</v>
      </c>
      <c r="C353" s="58">
        <v>7</v>
      </c>
      <c r="D353" s="58">
        <v>4.3</v>
      </c>
      <c r="E353" s="51">
        <v>7</v>
      </c>
      <c r="F353" s="4" t="s">
        <v>92</v>
      </c>
      <c r="G353" s="4" t="s">
        <v>151</v>
      </c>
      <c r="H353" s="48">
        <f>IF(G353&gt;0,VLOOKUP(G353,Apoio!$H$2:$I$24,2,0),"")</f>
        <v>8</v>
      </c>
      <c r="I353" s="44">
        <f t="shared" si="21"/>
        <v>91.162790697674424</v>
      </c>
      <c r="J353" s="98">
        <f t="shared" si="22"/>
        <v>13.674418604651164</v>
      </c>
      <c r="K353" s="103"/>
    </row>
    <row r="354" spans="1:11" x14ac:dyDescent="0.3">
      <c r="A354" s="59" t="s">
        <v>2</v>
      </c>
      <c r="B354" s="58" t="s">
        <v>8</v>
      </c>
      <c r="C354" s="57">
        <v>6</v>
      </c>
      <c r="D354" s="58">
        <v>4.8</v>
      </c>
      <c r="E354" s="51">
        <v>7</v>
      </c>
      <c r="F354" s="4" t="s">
        <v>71</v>
      </c>
      <c r="G354" s="4" t="s">
        <v>70</v>
      </c>
      <c r="H354" s="48">
        <f>IF(G354&gt;0,VLOOKUP(G354,Apoio!$H$2:$I$24,2,0),"")</f>
        <v>7</v>
      </c>
      <c r="I354" s="44">
        <f t="shared" si="21"/>
        <v>61.25</v>
      </c>
      <c r="J354" s="98">
        <f t="shared" ref="J354:J375" si="24">I354*30%</f>
        <v>18.375</v>
      </c>
      <c r="K354" s="103"/>
    </row>
    <row r="355" spans="1:11" x14ac:dyDescent="0.3">
      <c r="A355" s="59" t="s">
        <v>2</v>
      </c>
      <c r="B355" s="58" t="s">
        <v>8</v>
      </c>
      <c r="C355" s="73">
        <v>6</v>
      </c>
      <c r="D355" s="58">
        <v>4.8</v>
      </c>
      <c r="E355" s="51">
        <v>7</v>
      </c>
      <c r="F355" s="4" t="s">
        <v>71</v>
      </c>
      <c r="G355" s="4" t="s">
        <v>77</v>
      </c>
      <c r="H355" s="48">
        <f>IF(G355&gt;0,VLOOKUP(G355,Apoio!$H$2:$I$24,2,0),"")</f>
        <v>8</v>
      </c>
      <c r="I355" s="44">
        <f t="shared" si="21"/>
        <v>70</v>
      </c>
      <c r="J355" s="98">
        <f t="shared" si="24"/>
        <v>21</v>
      </c>
      <c r="K355" s="103"/>
    </row>
    <row r="356" spans="1:11" x14ac:dyDescent="0.3">
      <c r="A356" s="59" t="s">
        <v>2</v>
      </c>
      <c r="B356" s="58" t="s">
        <v>8</v>
      </c>
      <c r="C356" s="73">
        <v>4</v>
      </c>
      <c r="D356" s="58">
        <v>4.8</v>
      </c>
      <c r="E356" s="51">
        <v>7</v>
      </c>
      <c r="F356" s="4" t="s">
        <v>71</v>
      </c>
      <c r="G356" s="4" t="s">
        <v>84</v>
      </c>
      <c r="H356" s="48">
        <f>IF(G356&gt;0,VLOOKUP(G356,Apoio!$H$2:$I$24,2,0),"")</f>
        <v>8</v>
      </c>
      <c r="I356" s="44">
        <f t="shared" si="21"/>
        <v>46.666666666666671</v>
      </c>
      <c r="J356" s="98">
        <f t="shared" si="24"/>
        <v>14.000000000000002</v>
      </c>
      <c r="K356" s="103"/>
    </row>
    <row r="357" spans="1:11" x14ac:dyDescent="0.3">
      <c r="A357" s="59" t="s">
        <v>2</v>
      </c>
      <c r="B357" s="58" t="s">
        <v>8</v>
      </c>
      <c r="C357" s="73">
        <v>4</v>
      </c>
      <c r="D357" s="58">
        <v>4.8</v>
      </c>
      <c r="E357" s="51">
        <v>7</v>
      </c>
      <c r="F357" s="4" t="s">
        <v>71</v>
      </c>
      <c r="G357" s="4" t="s">
        <v>91</v>
      </c>
      <c r="H357" s="48">
        <f>IF(G357&gt;0,VLOOKUP(G357,Apoio!$H$2:$I$24,2,0),"")</f>
        <v>6</v>
      </c>
      <c r="I357" s="44">
        <f t="shared" si="21"/>
        <v>35</v>
      </c>
      <c r="J357" s="98">
        <f t="shared" si="24"/>
        <v>10.5</v>
      </c>
      <c r="K357" s="103"/>
    </row>
    <row r="358" spans="1:11" x14ac:dyDescent="0.3">
      <c r="A358" s="59" t="s">
        <v>2</v>
      </c>
      <c r="B358" s="58" t="s">
        <v>8</v>
      </c>
      <c r="C358" s="73">
        <v>7</v>
      </c>
      <c r="D358" s="58">
        <v>4.8</v>
      </c>
      <c r="E358" s="51">
        <v>7</v>
      </c>
      <c r="F358" s="4" t="s">
        <v>71</v>
      </c>
      <c r="G358" s="4" t="s">
        <v>97</v>
      </c>
      <c r="H358" s="48">
        <f>IF(G358&gt;0,VLOOKUP(G358,Apoio!$H$2:$I$24,2,0),"")</f>
        <v>8</v>
      </c>
      <c r="I358" s="44">
        <f t="shared" si="21"/>
        <v>81.666666666666671</v>
      </c>
      <c r="J358" s="98">
        <f t="shared" si="24"/>
        <v>24.5</v>
      </c>
      <c r="K358" s="103"/>
    </row>
    <row r="359" spans="1:11" x14ac:dyDescent="0.3">
      <c r="A359" s="59" t="s">
        <v>2</v>
      </c>
      <c r="B359" s="58" t="s">
        <v>8</v>
      </c>
      <c r="C359" s="73">
        <v>7</v>
      </c>
      <c r="D359" s="58">
        <v>4.8</v>
      </c>
      <c r="E359" s="51">
        <v>7</v>
      </c>
      <c r="F359" s="4" t="s">
        <v>71</v>
      </c>
      <c r="G359" s="4" t="s">
        <v>100</v>
      </c>
      <c r="H359" s="48">
        <f>IF(G359&gt;0,VLOOKUP(G359,Apoio!$H$2:$I$24,2,0),"")</f>
        <v>3</v>
      </c>
      <c r="I359" s="44">
        <f t="shared" si="21"/>
        <v>30.625</v>
      </c>
      <c r="J359" s="98">
        <f t="shared" si="24"/>
        <v>9.1875</v>
      </c>
      <c r="K359" s="103"/>
    </row>
    <row r="360" spans="1:11" x14ac:dyDescent="0.3">
      <c r="A360" s="59" t="s">
        <v>2</v>
      </c>
      <c r="B360" s="58" t="s">
        <v>8</v>
      </c>
      <c r="C360" s="57">
        <v>5.5</v>
      </c>
      <c r="D360" s="58">
        <v>5.2</v>
      </c>
      <c r="E360" s="51">
        <v>7</v>
      </c>
      <c r="F360" s="4" t="s">
        <v>78</v>
      </c>
      <c r="G360" s="4" t="s">
        <v>103</v>
      </c>
      <c r="H360" s="48">
        <f>IF(G360&gt;0,VLOOKUP(G360,Apoio!$H$2:$I$24,2,0),"")</f>
        <v>6</v>
      </c>
      <c r="I360" s="44">
        <f t="shared" si="21"/>
        <v>44.42307692307692</v>
      </c>
      <c r="J360" s="98">
        <f t="shared" ref="J360:J365" si="25">I360*20%</f>
        <v>8.884615384615385</v>
      </c>
      <c r="K360" s="103"/>
    </row>
    <row r="361" spans="1:11" x14ac:dyDescent="0.3">
      <c r="A361" s="59" t="s">
        <v>2</v>
      </c>
      <c r="B361" s="58" t="s">
        <v>8</v>
      </c>
      <c r="C361" s="57">
        <v>5</v>
      </c>
      <c r="D361" s="58">
        <v>5.2</v>
      </c>
      <c r="E361" s="51">
        <v>7</v>
      </c>
      <c r="F361" s="4" t="s">
        <v>78</v>
      </c>
      <c r="G361" s="4" t="s">
        <v>106</v>
      </c>
      <c r="H361" s="48">
        <f>IF(G361&gt;0,VLOOKUP(G361,Apoio!$H$2:$I$24,2,0),"")</f>
        <v>7</v>
      </c>
      <c r="I361" s="44">
        <f t="shared" si="21"/>
        <v>47.115384615384613</v>
      </c>
      <c r="J361" s="98">
        <f t="shared" si="25"/>
        <v>9.4230769230769234</v>
      </c>
      <c r="K361" s="103"/>
    </row>
    <row r="362" spans="1:11" x14ac:dyDescent="0.3">
      <c r="A362" s="59" t="s">
        <v>2</v>
      </c>
      <c r="B362" s="58" t="s">
        <v>8</v>
      </c>
      <c r="C362" s="57">
        <v>6</v>
      </c>
      <c r="D362" s="58">
        <v>5.2</v>
      </c>
      <c r="E362" s="51">
        <v>7</v>
      </c>
      <c r="F362" s="4" t="s">
        <v>78</v>
      </c>
      <c r="G362" s="4" t="s">
        <v>109</v>
      </c>
      <c r="H362" s="48">
        <f>IF(G362&gt;0,VLOOKUP(G362,Apoio!$H$2:$I$24,2,0),"")</f>
        <v>8</v>
      </c>
      <c r="I362" s="44">
        <f t="shared" si="21"/>
        <v>64.615384615384613</v>
      </c>
      <c r="J362" s="98">
        <f t="shared" si="25"/>
        <v>12.923076923076923</v>
      </c>
      <c r="K362" s="103"/>
    </row>
    <row r="363" spans="1:11" x14ac:dyDescent="0.3">
      <c r="A363" s="59" t="s">
        <v>2</v>
      </c>
      <c r="B363" s="58" t="s">
        <v>8</v>
      </c>
      <c r="C363" s="57">
        <v>5.5</v>
      </c>
      <c r="D363" s="58">
        <v>5.2</v>
      </c>
      <c r="E363" s="51">
        <v>7</v>
      </c>
      <c r="F363" s="4" t="s">
        <v>78</v>
      </c>
      <c r="G363" s="4" t="s">
        <v>112</v>
      </c>
      <c r="H363" s="48">
        <f>IF(G363&gt;0,VLOOKUP(G363,Apoio!$H$2:$I$24,2,0),"")</f>
        <v>8</v>
      </c>
      <c r="I363" s="44">
        <f t="shared" ref="I363:I394" si="26">IF(D363&gt;0,(((H363*E363)*C363)/D363),"")</f>
        <v>59.230769230769226</v>
      </c>
      <c r="J363" s="98">
        <f t="shared" si="25"/>
        <v>11.846153846153847</v>
      </c>
      <c r="K363" s="103"/>
    </row>
    <row r="364" spans="1:11" x14ac:dyDescent="0.3">
      <c r="A364" s="59" t="s">
        <v>2</v>
      </c>
      <c r="B364" s="58" t="s">
        <v>8</v>
      </c>
      <c r="C364" s="57">
        <v>6</v>
      </c>
      <c r="D364" s="58">
        <v>5.2</v>
      </c>
      <c r="E364" s="51">
        <v>7</v>
      </c>
      <c r="F364" s="4" t="s">
        <v>78</v>
      </c>
      <c r="G364" s="4" t="s">
        <v>115</v>
      </c>
      <c r="H364" s="48">
        <f>IF(G364&gt;0,VLOOKUP(G364,Apoio!$H$2:$I$24,2,0),"")</f>
        <v>7</v>
      </c>
      <c r="I364" s="44">
        <f t="shared" si="26"/>
        <v>56.538461538461533</v>
      </c>
      <c r="J364" s="98">
        <f t="shared" si="25"/>
        <v>11.307692307692307</v>
      </c>
      <c r="K364" s="103"/>
    </row>
    <row r="365" spans="1:11" x14ac:dyDescent="0.3">
      <c r="A365" s="58" t="s">
        <v>2</v>
      </c>
      <c r="B365" s="58" t="s">
        <v>8</v>
      </c>
      <c r="C365" s="57">
        <v>5</v>
      </c>
      <c r="D365" s="58">
        <v>5.2</v>
      </c>
      <c r="E365" s="51">
        <v>7</v>
      </c>
      <c r="F365" s="4" t="s">
        <v>78</v>
      </c>
      <c r="G365" s="4" t="s">
        <v>118</v>
      </c>
      <c r="H365" s="48">
        <f>IF(G365&gt;0,VLOOKUP(G365,Apoio!$H$2:$I$24,2,0),"")</f>
        <v>3</v>
      </c>
      <c r="I365" s="44">
        <f t="shared" si="26"/>
        <v>20.19230769230769</v>
      </c>
      <c r="J365" s="98">
        <f t="shared" si="25"/>
        <v>4.0384615384615383</v>
      </c>
      <c r="K365" s="103"/>
    </row>
    <row r="366" spans="1:11" x14ac:dyDescent="0.3">
      <c r="A366" s="58" t="s">
        <v>2</v>
      </c>
      <c r="B366" s="58" t="s">
        <v>8</v>
      </c>
      <c r="C366" s="57">
        <v>7.3</v>
      </c>
      <c r="D366" s="58">
        <v>5</v>
      </c>
      <c r="E366" s="51">
        <v>7</v>
      </c>
      <c r="F366" s="4" t="s">
        <v>85</v>
      </c>
      <c r="G366" s="4" t="s">
        <v>121</v>
      </c>
      <c r="H366" s="48">
        <f>IF(G366&gt;0,VLOOKUP(G366,Apoio!$H$2:$I$24,2,0),"")</f>
        <v>7</v>
      </c>
      <c r="I366" s="44">
        <f t="shared" si="26"/>
        <v>71.539999999999992</v>
      </c>
      <c r="J366" s="98">
        <f t="shared" si="24"/>
        <v>21.461999999999996</v>
      </c>
      <c r="K366" s="103" t="s">
        <v>221</v>
      </c>
    </row>
    <row r="367" spans="1:11" x14ac:dyDescent="0.3">
      <c r="A367" s="58" t="s">
        <v>2</v>
      </c>
      <c r="B367" s="58" t="s">
        <v>8</v>
      </c>
      <c r="C367" s="73">
        <v>7.5</v>
      </c>
      <c r="D367" s="58">
        <v>5</v>
      </c>
      <c r="E367" s="51">
        <v>7</v>
      </c>
      <c r="F367" s="4" t="s">
        <v>85</v>
      </c>
      <c r="G367" s="4" t="s">
        <v>124</v>
      </c>
      <c r="H367" s="48">
        <f>IF(G367&gt;0,VLOOKUP(G367,Apoio!$H$2:$I$24,2,0),"")</f>
        <v>8</v>
      </c>
      <c r="I367" s="44">
        <f t="shared" si="26"/>
        <v>84</v>
      </c>
      <c r="J367" s="98">
        <f t="shared" si="24"/>
        <v>25.2</v>
      </c>
      <c r="K367" s="103" t="s">
        <v>221</v>
      </c>
    </row>
    <row r="368" spans="1:11" x14ac:dyDescent="0.3">
      <c r="A368" s="58" t="s">
        <v>2</v>
      </c>
      <c r="B368" s="58" t="s">
        <v>8</v>
      </c>
      <c r="C368" s="73">
        <v>5</v>
      </c>
      <c r="D368" s="58">
        <v>5</v>
      </c>
      <c r="E368" s="51">
        <v>7</v>
      </c>
      <c r="F368" s="4" t="s">
        <v>85</v>
      </c>
      <c r="G368" s="4" t="s">
        <v>127</v>
      </c>
      <c r="H368" s="48">
        <f>IF(G368&gt;0,VLOOKUP(G368,Apoio!$H$2:$I$24,2,0),"")</f>
        <v>8</v>
      </c>
      <c r="I368" s="44">
        <f t="shared" si="26"/>
        <v>56</v>
      </c>
      <c r="J368" s="98">
        <f t="shared" si="24"/>
        <v>16.8</v>
      </c>
      <c r="K368" s="103" t="s">
        <v>221</v>
      </c>
    </row>
    <row r="369" spans="1:11" x14ac:dyDescent="0.3">
      <c r="A369" s="58" t="s">
        <v>2</v>
      </c>
      <c r="B369" s="58" t="s">
        <v>8</v>
      </c>
      <c r="C369" s="73">
        <v>4.9000000000000004</v>
      </c>
      <c r="D369" s="58">
        <v>5</v>
      </c>
      <c r="E369" s="51">
        <v>7</v>
      </c>
      <c r="F369" s="4" t="s">
        <v>85</v>
      </c>
      <c r="G369" s="4" t="s">
        <v>130</v>
      </c>
      <c r="H369" s="48">
        <f>IF(G369&gt;0,VLOOKUP(G369,Apoio!$H$2:$I$24,2,0),"")</f>
        <v>13</v>
      </c>
      <c r="I369" s="44">
        <f>IF(D369&gt;0,(((H369*E369)*C369)/D369),"")</f>
        <v>89.18</v>
      </c>
      <c r="J369" s="98">
        <f t="shared" si="24"/>
        <v>26.754000000000001</v>
      </c>
      <c r="K369" s="103" t="s">
        <v>221</v>
      </c>
    </row>
    <row r="370" spans="1:11" x14ac:dyDescent="0.3">
      <c r="A370" s="58" t="s">
        <v>2</v>
      </c>
      <c r="B370" s="58" t="s">
        <v>8</v>
      </c>
      <c r="C370" s="73">
        <v>6</v>
      </c>
      <c r="D370" s="58">
        <v>5</v>
      </c>
      <c r="E370" s="51">
        <v>7</v>
      </c>
      <c r="F370" s="4" t="s">
        <v>85</v>
      </c>
      <c r="G370" s="4" t="s">
        <v>133</v>
      </c>
      <c r="H370" s="48">
        <f>IF(G370&gt;0,VLOOKUP(G370,Apoio!$H$2:$I$24,2,0),"")</f>
        <v>3</v>
      </c>
      <c r="I370" s="44">
        <f t="shared" si="26"/>
        <v>25.2</v>
      </c>
      <c r="J370" s="98">
        <f t="shared" si="24"/>
        <v>7.56</v>
      </c>
      <c r="K370" s="103" t="s">
        <v>221</v>
      </c>
    </row>
    <row r="371" spans="1:11" x14ac:dyDescent="0.3">
      <c r="A371" s="59" t="s">
        <v>2</v>
      </c>
      <c r="B371" s="58" t="s">
        <v>8</v>
      </c>
      <c r="C371" s="57">
        <v>6</v>
      </c>
      <c r="D371" s="58">
        <v>5.2</v>
      </c>
      <c r="E371" s="51">
        <v>7</v>
      </c>
      <c r="F371" s="4" t="s">
        <v>92</v>
      </c>
      <c r="G371" s="4" t="s">
        <v>136</v>
      </c>
      <c r="H371" s="48">
        <f>IF(G371&gt;0,VLOOKUP(G371,Apoio!$H$2:$I$24,2,0),"")</f>
        <v>13</v>
      </c>
      <c r="I371" s="44">
        <f t="shared" si="26"/>
        <v>105</v>
      </c>
      <c r="J371" s="98">
        <f t="shared" si="24"/>
        <v>31.5</v>
      </c>
      <c r="K371" s="103"/>
    </row>
    <row r="372" spans="1:11" x14ac:dyDescent="0.3">
      <c r="A372" s="59" t="s">
        <v>2</v>
      </c>
      <c r="B372" s="58" t="s">
        <v>8</v>
      </c>
      <c r="C372" s="73">
        <v>6</v>
      </c>
      <c r="D372" s="58">
        <v>5.2</v>
      </c>
      <c r="E372" s="51">
        <v>7</v>
      </c>
      <c r="F372" s="4" t="s">
        <v>92</v>
      </c>
      <c r="G372" s="4" t="s">
        <v>139</v>
      </c>
      <c r="H372" s="48">
        <f>IF(G372&gt;0,VLOOKUP(G372,Apoio!$H$2:$I$24,2,0),"")</f>
        <v>8</v>
      </c>
      <c r="I372" s="44">
        <f t="shared" si="26"/>
        <v>64.615384615384613</v>
      </c>
      <c r="J372" s="98">
        <f t="shared" si="24"/>
        <v>19.384615384615383</v>
      </c>
      <c r="K372" s="103"/>
    </row>
    <row r="373" spans="1:11" x14ac:dyDescent="0.3">
      <c r="A373" s="59" t="s">
        <v>2</v>
      </c>
      <c r="B373" s="58" t="s">
        <v>8</v>
      </c>
      <c r="C373" s="73">
        <v>6</v>
      </c>
      <c r="D373" s="58">
        <v>5.2</v>
      </c>
      <c r="E373" s="51">
        <v>7</v>
      </c>
      <c r="F373" s="4" t="s">
        <v>92</v>
      </c>
      <c r="G373" s="4" t="s">
        <v>142</v>
      </c>
      <c r="H373" s="48">
        <f>IF(G373&gt;0,VLOOKUP(G373,Apoio!$H$2:$I$24,2,0),"")</f>
        <v>8</v>
      </c>
      <c r="I373" s="44">
        <f t="shared" si="26"/>
        <v>64.615384615384613</v>
      </c>
      <c r="J373" s="98">
        <f t="shared" si="24"/>
        <v>19.384615384615383</v>
      </c>
      <c r="K373" s="103"/>
    </row>
    <row r="374" spans="1:11" x14ac:dyDescent="0.3">
      <c r="A374" s="59" t="s">
        <v>2</v>
      </c>
      <c r="B374" s="58" t="s">
        <v>8</v>
      </c>
      <c r="C374" s="73">
        <v>6</v>
      </c>
      <c r="D374" s="58">
        <v>5.2</v>
      </c>
      <c r="E374" s="51">
        <v>7</v>
      </c>
      <c r="F374" s="4" t="s">
        <v>92</v>
      </c>
      <c r="G374" s="4" t="s">
        <v>145</v>
      </c>
      <c r="H374" s="48">
        <f>IF(G374&gt;0,VLOOKUP(G374,Apoio!$H$2:$I$24,2,0),"")</f>
        <v>7</v>
      </c>
      <c r="I374" s="44">
        <f t="shared" si="26"/>
        <v>56.538461538461533</v>
      </c>
      <c r="J374" s="98">
        <f t="shared" si="24"/>
        <v>16.96153846153846</v>
      </c>
      <c r="K374" s="103"/>
    </row>
    <row r="375" spans="1:11" x14ac:dyDescent="0.3">
      <c r="A375" s="59" t="s">
        <v>2</v>
      </c>
      <c r="B375" s="58" t="s">
        <v>8</v>
      </c>
      <c r="C375" s="73">
        <v>6</v>
      </c>
      <c r="D375" s="58">
        <v>5.2</v>
      </c>
      <c r="E375" s="51">
        <v>7</v>
      </c>
      <c r="F375" s="4" t="s">
        <v>92</v>
      </c>
      <c r="G375" s="4" t="s">
        <v>148</v>
      </c>
      <c r="H375" s="48">
        <f>IF(G375&gt;0,VLOOKUP(G375,Apoio!$H$2:$I$24,2,0),"")</f>
        <v>8</v>
      </c>
      <c r="I375" s="44">
        <f t="shared" si="26"/>
        <v>64.615384615384613</v>
      </c>
      <c r="J375" s="98">
        <f t="shared" si="24"/>
        <v>19.384615384615383</v>
      </c>
      <c r="K375" s="103"/>
    </row>
    <row r="376" spans="1:11" x14ac:dyDescent="0.3">
      <c r="A376" s="59" t="s">
        <v>2</v>
      </c>
      <c r="B376" s="58" t="s">
        <v>8</v>
      </c>
      <c r="C376" s="73">
        <v>6</v>
      </c>
      <c r="D376" s="58">
        <v>5.2</v>
      </c>
      <c r="E376" s="51">
        <v>7</v>
      </c>
      <c r="F376" s="4" t="s">
        <v>92</v>
      </c>
      <c r="G376" s="4" t="s">
        <v>151</v>
      </c>
      <c r="H376" s="48">
        <f>IF(G376&gt;0,VLOOKUP(G376,Apoio!$H$2:$I$24,2,0),"")</f>
        <v>8</v>
      </c>
      <c r="I376" s="44">
        <f t="shared" si="26"/>
        <v>64.615384615384613</v>
      </c>
      <c r="J376" s="98">
        <v>2</v>
      </c>
      <c r="K376" s="103"/>
    </row>
    <row r="377" spans="1:11" x14ac:dyDescent="0.3">
      <c r="A377" s="4" t="s">
        <v>14</v>
      </c>
      <c r="B377" s="4" t="s">
        <v>15</v>
      </c>
      <c r="C377" s="58">
        <v>4</v>
      </c>
      <c r="D377" s="51">
        <v>4</v>
      </c>
      <c r="E377" s="51">
        <v>7</v>
      </c>
      <c r="F377" s="4" t="s">
        <v>71</v>
      </c>
      <c r="G377" s="4" t="s">
        <v>70</v>
      </c>
      <c r="H377" s="48">
        <f>IF(G377&gt;0,VLOOKUP(G377,Apoio!$H$2:$I$24,2,0),"")</f>
        <v>7</v>
      </c>
      <c r="I377" s="44">
        <f t="shared" si="26"/>
        <v>49</v>
      </c>
      <c r="J377" s="98">
        <f t="shared" ref="J377:J388" si="27">I377*34%</f>
        <v>16.66</v>
      </c>
      <c r="K377" s="103"/>
    </row>
    <row r="378" spans="1:11" x14ac:dyDescent="0.3">
      <c r="A378" s="4" t="s">
        <v>14</v>
      </c>
      <c r="B378" s="4" t="s">
        <v>15</v>
      </c>
      <c r="C378" s="58">
        <v>4</v>
      </c>
      <c r="D378" s="51">
        <v>4</v>
      </c>
      <c r="E378" s="51">
        <v>7</v>
      </c>
      <c r="F378" s="4" t="s">
        <v>71</v>
      </c>
      <c r="G378" s="4" t="s">
        <v>77</v>
      </c>
      <c r="H378" s="48">
        <f>IF(G378&gt;0,VLOOKUP(G378,Apoio!$H$2:$I$24,2,0),"")</f>
        <v>8</v>
      </c>
      <c r="I378" s="44">
        <f t="shared" si="26"/>
        <v>56</v>
      </c>
      <c r="J378" s="98">
        <f t="shared" si="27"/>
        <v>19.040000000000003</v>
      </c>
      <c r="K378" s="103"/>
    </row>
    <row r="379" spans="1:11" x14ac:dyDescent="0.3">
      <c r="A379" s="4" t="s">
        <v>14</v>
      </c>
      <c r="B379" s="4" t="s">
        <v>15</v>
      </c>
      <c r="C379" s="58">
        <v>4</v>
      </c>
      <c r="D379" s="51">
        <v>4</v>
      </c>
      <c r="E379" s="51">
        <v>7</v>
      </c>
      <c r="F379" s="4" t="s">
        <v>71</v>
      </c>
      <c r="G379" s="4" t="s">
        <v>84</v>
      </c>
      <c r="H379" s="48">
        <f>IF(G379&gt;0,VLOOKUP(G379,Apoio!$H$2:$I$24,2,0),"")</f>
        <v>8</v>
      </c>
      <c r="I379" s="44">
        <f t="shared" si="26"/>
        <v>56</v>
      </c>
      <c r="J379" s="98">
        <f t="shared" si="27"/>
        <v>19.040000000000003</v>
      </c>
      <c r="K379" s="103"/>
    </row>
    <row r="380" spans="1:11" x14ac:dyDescent="0.3">
      <c r="A380" s="4" t="s">
        <v>14</v>
      </c>
      <c r="B380" s="4" t="s">
        <v>15</v>
      </c>
      <c r="C380" s="58">
        <v>4</v>
      </c>
      <c r="D380" s="51">
        <v>4</v>
      </c>
      <c r="E380" s="51">
        <v>7</v>
      </c>
      <c r="F380" s="4" t="s">
        <v>71</v>
      </c>
      <c r="G380" s="4" t="s">
        <v>91</v>
      </c>
      <c r="H380" s="48">
        <f>IF(G380&gt;0,VLOOKUP(G380,Apoio!$H$2:$I$24,2,0),"")</f>
        <v>6</v>
      </c>
      <c r="I380" s="44">
        <f t="shared" si="26"/>
        <v>42</v>
      </c>
      <c r="J380" s="98">
        <f t="shared" si="27"/>
        <v>14.280000000000001</v>
      </c>
      <c r="K380" s="103"/>
    </row>
    <row r="381" spans="1:11" x14ac:dyDescent="0.3">
      <c r="A381" s="4" t="s">
        <v>14</v>
      </c>
      <c r="B381" s="4" t="s">
        <v>15</v>
      </c>
      <c r="C381" s="58">
        <v>4</v>
      </c>
      <c r="D381" s="51">
        <v>4</v>
      </c>
      <c r="E381" s="51">
        <v>7</v>
      </c>
      <c r="F381" s="4" t="s">
        <v>71</v>
      </c>
      <c r="G381" s="4" t="s">
        <v>97</v>
      </c>
      <c r="H381" s="48">
        <f>IF(G381&gt;0,VLOOKUP(G381,Apoio!$H$2:$I$24,2,0),"")</f>
        <v>8</v>
      </c>
      <c r="I381" s="44">
        <f t="shared" si="26"/>
        <v>56</v>
      </c>
      <c r="J381" s="98">
        <f t="shared" si="27"/>
        <v>19.040000000000003</v>
      </c>
      <c r="K381" s="103"/>
    </row>
    <row r="382" spans="1:11" x14ac:dyDescent="0.3">
      <c r="A382" s="4" t="s">
        <v>14</v>
      </c>
      <c r="B382" s="4" t="s">
        <v>15</v>
      </c>
      <c r="C382" s="58">
        <v>4</v>
      </c>
      <c r="D382" s="51">
        <v>4</v>
      </c>
      <c r="E382" s="51">
        <v>7</v>
      </c>
      <c r="F382" s="4" t="s">
        <v>71</v>
      </c>
      <c r="G382" s="4" t="s">
        <v>100</v>
      </c>
      <c r="H382" s="48">
        <f>IF(G382&gt;0,VLOOKUP(G382,Apoio!$H$2:$I$24,2,0),"")</f>
        <v>3</v>
      </c>
      <c r="I382" s="44">
        <f t="shared" si="26"/>
        <v>21</v>
      </c>
      <c r="J382" s="98">
        <f t="shared" si="27"/>
        <v>7.1400000000000006</v>
      </c>
      <c r="K382" s="103"/>
    </row>
    <row r="383" spans="1:11" x14ac:dyDescent="0.3">
      <c r="A383" s="4" t="s">
        <v>14</v>
      </c>
      <c r="B383" s="4" t="s">
        <v>15</v>
      </c>
      <c r="C383" s="58">
        <v>4</v>
      </c>
      <c r="D383" s="51">
        <v>5.07</v>
      </c>
      <c r="E383" s="51">
        <v>7</v>
      </c>
      <c r="F383" s="4" t="s">
        <v>78</v>
      </c>
      <c r="G383" s="4" t="s">
        <v>103</v>
      </c>
      <c r="H383" s="48">
        <f>IF(G383&gt;0,VLOOKUP(G383,Apoio!$H$2:$I$24,2,0),"")</f>
        <v>6</v>
      </c>
      <c r="I383" s="44">
        <f t="shared" si="26"/>
        <v>33.136094674556212</v>
      </c>
      <c r="J383" s="98">
        <f t="shared" si="27"/>
        <v>11.266272189349113</v>
      </c>
      <c r="K383" s="103"/>
    </row>
    <row r="384" spans="1:11" x14ac:dyDescent="0.3">
      <c r="A384" s="4" t="s">
        <v>14</v>
      </c>
      <c r="B384" s="4" t="s">
        <v>15</v>
      </c>
      <c r="C384" s="58">
        <v>4</v>
      </c>
      <c r="D384" s="51">
        <v>5.07</v>
      </c>
      <c r="E384" s="51">
        <v>7</v>
      </c>
      <c r="F384" s="4" t="s">
        <v>78</v>
      </c>
      <c r="G384" s="4" t="s">
        <v>106</v>
      </c>
      <c r="H384" s="48">
        <f>IF(G384&gt;0,VLOOKUP(G384,Apoio!$H$2:$I$24,2,0),"")</f>
        <v>7</v>
      </c>
      <c r="I384" s="44">
        <f t="shared" si="26"/>
        <v>38.658777120315577</v>
      </c>
      <c r="J384" s="98">
        <f t="shared" si="27"/>
        <v>13.143984220907297</v>
      </c>
      <c r="K384" s="103"/>
    </row>
    <row r="385" spans="1:11" x14ac:dyDescent="0.3">
      <c r="A385" s="4" t="s">
        <v>14</v>
      </c>
      <c r="B385" s="4" t="s">
        <v>15</v>
      </c>
      <c r="C385" s="58">
        <v>4</v>
      </c>
      <c r="D385" s="51">
        <v>5.07</v>
      </c>
      <c r="E385" s="51">
        <v>7</v>
      </c>
      <c r="F385" s="4" t="s">
        <v>78</v>
      </c>
      <c r="G385" s="4" t="s">
        <v>109</v>
      </c>
      <c r="H385" s="48">
        <f>IF(G385&gt;0,VLOOKUP(G385,Apoio!$H$2:$I$24,2,0),"")</f>
        <v>8</v>
      </c>
      <c r="I385" s="44">
        <f t="shared" si="26"/>
        <v>44.181459566074949</v>
      </c>
      <c r="J385" s="98">
        <f t="shared" si="27"/>
        <v>15.021696252465484</v>
      </c>
      <c r="K385" s="103"/>
    </row>
    <row r="386" spans="1:11" x14ac:dyDescent="0.3">
      <c r="A386" s="4" t="s">
        <v>14</v>
      </c>
      <c r="B386" s="4" t="s">
        <v>15</v>
      </c>
      <c r="C386" s="58">
        <v>4</v>
      </c>
      <c r="D386" s="51">
        <v>5.07</v>
      </c>
      <c r="E386" s="51">
        <v>7</v>
      </c>
      <c r="F386" s="4" t="s">
        <v>78</v>
      </c>
      <c r="G386" s="4" t="s">
        <v>112</v>
      </c>
      <c r="H386" s="48">
        <f>IF(G386&gt;0,VLOOKUP(G386,Apoio!$H$2:$I$24,2,0),"")</f>
        <v>8</v>
      </c>
      <c r="I386" s="44">
        <f t="shared" si="26"/>
        <v>44.181459566074949</v>
      </c>
      <c r="J386" s="98">
        <f t="shared" si="27"/>
        <v>15.021696252465484</v>
      </c>
      <c r="K386" s="103"/>
    </row>
    <row r="387" spans="1:11" x14ac:dyDescent="0.3">
      <c r="A387" s="4" t="s">
        <v>14</v>
      </c>
      <c r="B387" s="4" t="s">
        <v>15</v>
      </c>
      <c r="C387" s="58">
        <v>4</v>
      </c>
      <c r="D387" s="51">
        <v>5.07</v>
      </c>
      <c r="E387" s="51">
        <v>7</v>
      </c>
      <c r="F387" s="4" t="s">
        <v>78</v>
      </c>
      <c r="G387" s="4" t="s">
        <v>115</v>
      </c>
      <c r="H387" s="48">
        <f>IF(G387&gt;0,VLOOKUP(G387,Apoio!$H$2:$I$24,2,0),"")</f>
        <v>7</v>
      </c>
      <c r="I387" s="44">
        <f t="shared" si="26"/>
        <v>38.658777120315577</v>
      </c>
      <c r="J387" s="98">
        <f t="shared" si="27"/>
        <v>13.143984220907297</v>
      </c>
      <c r="K387" s="103"/>
    </row>
    <row r="388" spans="1:11" x14ac:dyDescent="0.3">
      <c r="A388" s="4" t="s">
        <v>14</v>
      </c>
      <c r="B388" s="4" t="s">
        <v>15</v>
      </c>
      <c r="C388" s="58">
        <v>4</v>
      </c>
      <c r="D388" s="51">
        <v>5.07</v>
      </c>
      <c r="E388" s="51">
        <v>7</v>
      </c>
      <c r="F388" s="4" t="s">
        <v>78</v>
      </c>
      <c r="G388" s="4" t="s">
        <v>118</v>
      </c>
      <c r="H388" s="48">
        <f>IF(G388&gt;0,VLOOKUP(G388,Apoio!$H$2:$I$24,2,0),"")</f>
        <v>3</v>
      </c>
      <c r="I388" s="44">
        <f t="shared" si="26"/>
        <v>16.568047337278106</v>
      </c>
      <c r="J388" s="98">
        <f t="shared" si="27"/>
        <v>5.6331360946745566</v>
      </c>
      <c r="K388" s="103"/>
    </row>
    <row r="389" spans="1:11" x14ac:dyDescent="0.3">
      <c r="A389" s="4" t="s">
        <v>14</v>
      </c>
      <c r="B389" s="4" t="s">
        <v>15</v>
      </c>
      <c r="C389" s="58">
        <v>2</v>
      </c>
      <c r="D389" s="51">
        <v>6.1</v>
      </c>
      <c r="E389" s="51">
        <v>7</v>
      </c>
      <c r="F389" s="4" t="s">
        <v>85</v>
      </c>
      <c r="G389" s="4" t="s">
        <v>121</v>
      </c>
      <c r="H389" s="48">
        <f>IF(G389&gt;0,VLOOKUP(G389,Apoio!$H$2:$I$24,2,0),"")</f>
        <v>7</v>
      </c>
      <c r="I389" s="44">
        <f t="shared" si="26"/>
        <v>16.065573770491802</v>
      </c>
      <c r="J389" s="98">
        <v>7</v>
      </c>
      <c r="K389" s="103"/>
    </row>
    <row r="390" spans="1:11" x14ac:dyDescent="0.3">
      <c r="A390" s="4" t="s">
        <v>14</v>
      </c>
      <c r="B390" s="4" t="s">
        <v>15</v>
      </c>
      <c r="C390" s="58">
        <v>2</v>
      </c>
      <c r="D390" s="51">
        <v>6.1</v>
      </c>
      <c r="E390" s="51">
        <v>7</v>
      </c>
      <c r="F390" s="4" t="s">
        <v>85</v>
      </c>
      <c r="G390" s="4" t="s">
        <v>124</v>
      </c>
      <c r="H390" s="48">
        <f>IF(G390&gt;0,VLOOKUP(G390,Apoio!$H$2:$I$24,2,0),"")</f>
        <v>8</v>
      </c>
      <c r="I390" s="44">
        <f t="shared" si="26"/>
        <v>18.360655737704921</v>
      </c>
      <c r="J390" s="98">
        <v>8</v>
      </c>
      <c r="K390" s="103"/>
    </row>
    <row r="391" spans="1:11" x14ac:dyDescent="0.3">
      <c r="A391" s="4" t="s">
        <v>14</v>
      </c>
      <c r="B391" s="4" t="s">
        <v>15</v>
      </c>
      <c r="C391" s="58">
        <v>3.5</v>
      </c>
      <c r="D391" s="51">
        <v>6.1</v>
      </c>
      <c r="E391" s="51">
        <v>7</v>
      </c>
      <c r="F391" s="4" t="s">
        <v>85</v>
      </c>
      <c r="G391" s="4" t="s">
        <v>127</v>
      </c>
      <c r="H391" s="48">
        <f>IF(G391&gt;0,VLOOKUP(G391,Apoio!$H$2:$I$24,2,0),"")</f>
        <v>8</v>
      </c>
      <c r="I391" s="44">
        <f t="shared" si="26"/>
        <v>32.131147540983605</v>
      </c>
      <c r="J391" s="98">
        <v>9</v>
      </c>
      <c r="K391" s="103"/>
    </row>
    <row r="392" spans="1:11" x14ac:dyDescent="0.3">
      <c r="A392" s="4" t="s">
        <v>14</v>
      </c>
      <c r="B392" s="4" t="s">
        <v>15</v>
      </c>
      <c r="C392" s="58">
        <v>3.5</v>
      </c>
      <c r="D392" s="51">
        <v>6.1</v>
      </c>
      <c r="E392" s="51">
        <v>7</v>
      </c>
      <c r="F392" s="4" t="s">
        <v>85</v>
      </c>
      <c r="G392" s="4" t="s">
        <v>130</v>
      </c>
      <c r="H392" s="48">
        <f>IF(G392&gt;0,VLOOKUP(G392,Apoio!$H$2:$I$24,2,0),"")</f>
        <v>13</v>
      </c>
      <c r="I392" s="44">
        <f t="shared" si="26"/>
        <v>52.213114754098363</v>
      </c>
      <c r="J392" s="98">
        <v>11</v>
      </c>
      <c r="K392" s="103"/>
    </row>
    <row r="393" spans="1:11" x14ac:dyDescent="0.3">
      <c r="A393" s="4" t="s">
        <v>14</v>
      </c>
      <c r="B393" s="4" t="s">
        <v>15</v>
      </c>
      <c r="C393" s="58">
        <v>3.5</v>
      </c>
      <c r="D393" s="51">
        <v>6.1</v>
      </c>
      <c r="E393" s="51">
        <v>7</v>
      </c>
      <c r="F393" s="4" t="s">
        <v>85</v>
      </c>
      <c r="G393" s="4" t="s">
        <v>133</v>
      </c>
      <c r="H393" s="48">
        <f>IF(G393&gt;0,VLOOKUP(G393,Apoio!$H$2:$I$24,2,0),"")</f>
        <v>3</v>
      </c>
      <c r="I393" s="44">
        <f t="shared" si="26"/>
        <v>12.049180327868854</v>
      </c>
      <c r="J393" s="98">
        <v>5</v>
      </c>
      <c r="K393" s="103"/>
    </row>
    <row r="394" spans="1:11" x14ac:dyDescent="0.3">
      <c r="A394" s="4" t="s">
        <v>14</v>
      </c>
      <c r="B394" s="4" t="s">
        <v>15</v>
      </c>
      <c r="C394" s="58">
        <v>4</v>
      </c>
      <c r="D394" s="51">
        <v>6.1</v>
      </c>
      <c r="E394" s="51">
        <v>7</v>
      </c>
      <c r="F394" s="4" t="s">
        <v>92</v>
      </c>
      <c r="G394" s="4" t="s">
        <v>136</v>
      </c>
      <c r="H394" s="48">
        <f>IF(G394&gt;0,VLOOKUP(G394,Apoio!$H$2:$I$24,2,0),"")</f>
        <v>13</v>
      </c>
      <c r="I394" s="44">
        <f t="shared" si="26"/>
        <v>59.672131147540988</v>
      </c>
      <c r="J394" s="98">
        <f t="shared" ref="J394:J399" si="28">I394*34%</f>
        <v>20.288524590163938</v>
      </c>
      <c r="K394" s="103"/>
    </row>
    <row r="395" spans="1:11" x14ac:dyDescent="0.3">
      <c r="A395" s="4" t="s">
        <v>14</v>
      </c>
      <c r="B395" s="4" t="s">
        <v>15</v>
      </c>
      <c r="C395" s="58">
        <v>4</v>
      </c>
      <c r="D395" s="51">
        <v>6.1</v>
      </c>
      <c r="E395" s="51">
        <v>7</v>
      </c>
      <c r="F395" s="4" t="s">
        <v>92</v>
      </c>
      <c r="G395" s="4" t="s">
        <v>139</v>
      </c>
      <c r="H395" s="48">
        <f>IF(G395&gt;0,VLOOKUP(G395,Apoio!$H$2:$I$24,2,0),"")</f>
        <v>8</v>
      </c>
      <c r="I395" s="44">
        <f t="shared" ref="I395:I426" si="29">IF(D395&gt;0,(((H395*E395)*C395)/D395),"")</f>
        <v>36.721311475409841</v>
      </c>
      <c r="J395" s="98">
        <f t="shared" si="28"/>
        <v>12.485245901639347</v>
      </c>
      <c r="K395" s="103"/>
    </row>
    <row r="396" spans="1:11" x14ac:dyDescent="0.3">
      <c r="A396" s="4" t="s">
        <v>14</v>
      </c>
      <c r="B396" s="4" t="s">
        <v>15</v>
      </c>
      <c r="C396" s="58">
        <v>4</v>
      </c>
      <c r="D396" s="51">
        <v>6.1</v>
      </c>
      <c r="E396" s="51">
        <v>7</v>
      </c>
      <c r="F396" s="4" t="s">
        <v>92</v>
      </c>
      <c r="G396" s="4" t="s">
        <v>142</v>
      </c>
      <c r="H396" s="48">
        <f>IF(G396&gt;0,VLOOKUP(G396,Apoio!$H$2:$I$24,2,0),"")</f>
        <v>8</v>
      </c>
      <c r="I396" s="44">
        <f t="shared" si="29"/>
        <v>36.721311475409841</v>
      </c>
      <c r="J396" s="98">
        <f t="shared" si="28"/>
        <v>12.485245901639347</v>
      </c>
      <c r="K396" s="103"/>
    </row>
    <row r="397" spans="1:11" x14ac:dyDescent="0.3">
      <c r="A397" s="4" t="s">
        <v>14</v>
      </c>
      <c r="B397" s="4" t="s">
        <v>15</v>
      </c>
      <c r="C397" s="58">
        <v>3.5</v>
      </c>
      <c r="D397" s="51">
        <v>6.1</v>
      </c>
      <c r="E397" s="51">
        <v>7</v>
      </c>
      <c r="F397" s="4" t="s">
        <v>92</v>
      </c>
      <c r="G397" s="4" t="s">
        <v>145</v>
      </c>
      <c r="H397" s="48">
        <f>IF(G397&gt;0,VLOOKUP(G397,Apoio!$H$2:$I$24,2,0),"")</f>
        <v>7</v>
      </c>
      <c r="I397" s="44">
        <f t="shared" si="29"/>
        <v>28.114754098360656</v>
      </c>
      <c r="J397" s="98">
        <f t="shared" si="28"/>
        <v>9.559016393442624</v>
      </c>
      <c r="K397" s="103"/>
    </row>
    <row r="398" spans="1:11" x14ac:dyDescent="0.3">
      <c r="A398" s="4" t="s">
        <v>14</v>
      </c>
      <c r="B398" s="4" t="s">
        <v>15</v>
      </c>
      <c r="C398" s="58">
        <v>2.5</v>
      </c>
      <c r="D398" s="51">
        <v>6.1</v>
      </c>
      <c r="E398" s="51">
        <v>7</v>
      </c>
      <c r="F398" s="4" t="s">
        <v>92</v>
      </c>
      <c r="G398" s="4" t="s">
        <v>148</v>
      </c>
      <c r="H398" s="48">
        <f>IF(G398&gt;0,VLOOKUP(G398,Apoio!$H$2:$I$24,2,0),"")</f>
        <v>8</v>
      </c>
      <c r="I398" s="44">
        <f t="shared" si="29"/>
        <v>22.95081967213115</v>
      </c>
      <c r="J398" s="98">
        <f t="shared" si="28"/>
        <v>7.8032786885245917</v>
      </c>
      <c r="K398" s="103"/>
    </row>
    <row r="399" spans="1:11" x14ac:dyDescent="0.3">
      <c r="A399" s="4" t="s">
        <v>14</v>
      </c>
      <c r="B399" s="4" t="s">
        <v>15</v>
      </c>
      <c r="C399" s="58">
        <v>4</v>
      </c>
      <c r="D399" s="51">
        <v>6.1</v>
      </c>
      <c r="E399" s="51">
        <v>7</v>
      </c>
      <c r="F399" s="4" t="s">
        <v>92</v>
      </c>
      <c r="G399" s="4" t="s">
        <v>151</v>
      </c>
      <c r="H399" s="48">
        <f>IF(G399&gt;0,VLOOKUP(G399,Apoio!$H$2:$I$24,2,0),"")</f>
        <v>8</v>
      </c>
      <c r="I399" s="44">
        <f t="shared" si="29"/>
        <v>36.721311475409841</v>
      </c>
      <c r="J399" s="98">
        <f t="shared" si="28"/>
        <v>12.485245901639347</v>
      </c>
      <c r="K399" s="103"/>
    </row>
    <row r="400" spans="1:11" x14ac:dyDescent="0.3">
      <c r="A400" s="4" t="s">
        <v>14</v>
      </c>
      <c r="B400" s="4" t="s">
        <v>16</v>
      </c>
      <c r="C400" s="58">
        <v>4</v>
      </c>
      <c r="D400" s="51">
        <v>6.4</v>
      </c>
      <c r="E400" s="51">
        <v>7</v>
      </c>
      <c r="F400" s="4" t="s">
        <v>71</v>
      </c>
      <c r="G400" s="4" t="s">
        <v>70</v>
      </c>
      <c r="H400" s="48">
        <f>IF(G400&gt;0,VLOOKUP(G400,Apoio!$H$2:$I$24,2,0),"")</f>
        <v>7</v>
      </c>
      <c r="I400" s="44">
        <f t="shared" si="29"/>
        <v>30.625</v>
      </c>
      <c r="J400" s="98">
        <f>I400*18%</f>
        <v>5.5125000000000002</v>
      </c>
      <c r="K400" s="103"/>
    </row>
    <row r="401" spans="1:11" x14ac:dyDescent="0.3">
      <c r="A401" s="4" t="s">
        <v>14</v>
      </c>
      <c r="B401" s="4" t="s">
        <v>16</v>
      </c>
      <c r="C401" s="58">
        <v>4</v>
      </c>
      <c r="D401" s="51">
        <v>6.4</v>
      </c>
      <c r="E401" s="51">
        <v>7</v>
      </c>
      <c r="F401" s="4" t="s">
        <v>71</v>
      </c>
      <c r="G401" s="4" t="s">
        <v>77</v>
      </c>
      <c r="H401" s="48">
        <f>IF(G401&gt;0,VLOOKUP(G401,Apoio!$H$2:$I$24,2,0),"")</f>
        <v>8</v>
      </c>
      <c r="I401" s="44">
        <f t="shared" si="29"/>
        <v>35</v>
      </c>
      <c r="J401" s="98">
        <f>I401*18%</f>
        <v>6.3</v>
      </c>
      <c r="K401" s="103"/>
    </row>
    <row r="402" spans="1:11" x14ac:dyDescent="0.3">
      <c r="A402" s="4" t="s">
        <v>14</v>
      </c>
      <c r="B402" s="4" t="s">
        <v>16</v>
      </c>
      <c r="C402" s="58">
        <v>4</v>
      </c>
      <c r="D402" s="51">
        <v>6.4</v>
      </c>
      <c r="E402" s="51">
        <v>7</v>
      </c>
      <c r="F402" s="4" t="s">
        <v>71</v>
      </c>
      <c r="G402" s="4" t="s">
        <v>84</v>
      </c>
      <c r="H402" s="48">
        <f>IF(G402&gt;0,VLOOKUP(G402,Apoio!$H$2:$I$24,2,0),"")</f>
        <v>8</v>
      </c>
      <c r="I402" s="44">
        <f t="shared" si="29"/>
        <v>35</v>
      </c>
      <c r="J402" s="98">
        <f>I402*18%</f>
        <v>6.3</v>
      </c>
      <c r="K402" s="103"/>
    </row>
    <row r="403" spans="1:11" x14ac:dyDescent="0.3">
      <c r="A403" s="4" t="s">
        <v>14</v>
      </c>
      <c r="B403" s="4" t="s">
        <v>16</v>
      </c>
      <c r="C403" s="58">
        <v>4</v>
      </c>
      <c r="D403" s="51">
        <v>6.4</v>
      </c>
      <c r="E403" s="51">
        <v>7</v>
      </c>
      <c r="F403" s="4" t="s">
        <v>71</v>
      </c>
      <c r="G403" s="4" t="s">
        <v>91</v>
      </c>
      <c r="H403" s="48">
        <f>IF(G403&gt;0,VLOOKUP(G403,Apoio!$H$2:$I$24,2,0),"")</f>
        <v>6</v>
      </c>
      <c r="I403" s="44">
        <f t="shared" si="29"/>
        <v>26.25</v>
      </c>
      <c r="J403" s="98">
        <f>I403*18%</f>
        <v>4.7249999999999996</v>
      </c>
      <c r="K403" s="103"/>
    </row>
    <row r="404" spans="1:11" x14ac:dyDescent="0.3">
      <c r="A404" s="4" t="s">
        <v>14</v>
      </c>
      <c r="B404" s="4" t="s">
        <v>16</v>
      </c>
      <c r="C404" s="58">
        <v>4</v>
      </c>
      <c r="D404" s="51">
        <v>6.4</v>
      </c>
      <c r="E404" s="51">
        <v>7</v>
      </c>
      <c r="F404" s="4" t="s">
        <v>71</v>
      </c>
      <c r="G404" s="4" t="s">
        <v>97</v>
      </c>
      <c r="H404" s="48">
        <f>IF(G404&gt;0,VLOOKUP(G404,Apoio!$H$2:$I$24,2,0),"")</f>
        <v>8</v>
      </c>
      <c r="I404" s="44">
        <f t="shared" si="29"/>
        <v>35</v>
      </c>
      <c r="J404" s="98">
        <f t="shared" ref="J404:J422" si="30">I404*18%</f>
        <v>6.3</v>
      </c>
      <c r="K404" s="103"/>
    </row>
    <row r="405" spans="1:11" x14ac:dyDescent="0.3">
      <c r="A405" s="4" t="s">
        <v>14</v>
      </c>
      <c r="B405" s="4" t="s">
        <v>16</v>
      </c>
      <c r="C405" s="58">
        <v>4</v>
      </c>
      <c r="D405" s="51">
        <v>6.4</v>
      </c>
      <c r="E405" s="51">
        <v>7</v>
      </c>
      <c r="F405" s="4" t="s">
        <v>71</v>
      </c>
      <c r="G405" s="4" t="s">
        <v>100</v>
      </c>
      <c r="H405" s="48">
        <f>IF(G405&gt;0,VLOOKUP(G405,Apoio!$H$2:$I$24,2,0),"")</f>
        <v>3</v>
      </c>
      <c r="I405" s="44">
        <f t="shared" si="29"/>
        <v>13.125</v>
      </c>
      <c r="J405" s="98">
        <f t="shared" si="30"/>
        <v>2.3624999999999998</v>
      </c>
      <c r="K405" s="103"/>
    </row>
    <row r="406" spans="1:11" x14ac:dyDescent="0.3">
      <c r="A406" s="4" t="s">
        <v>14</v>
      </c>
      <c r="B406" s="4" t="s">
        <v>16</v>
      </c>
      <c r="C406" s="58">
        <v>4</v>
      </c>
      <c r="D406" s="51">
        <v>6.91</v>
      </c>
      <c r="E406" s="51">
        <v>7</v>
      </c>
      <c r="F406" s="4" t="s">
        <v>78</v>
      </c>
      <c r="G406" s="4" t="s">
        <v>103</v>
      </c>
      <c r="H406" s="48">
        <f>IF(G406&gt;0,VLOOKUP(G406,Apoio!$H$2:$I$24,2,0),"")</f>
        <v>6</v>
      </c>
      <c r="I406" s="44">
        <f t="shared" si="29"/>
        <v>24.31259044862518</v>
      </c>
      <c r="J406" s="98">
        <f t="shared" si="30"/>
        <v>4.3762662807525325</v>
      </c>
      <c r="K406" s="103"/>
    </row>
    <row r="407" spans="1:11" x14ac:dyDescent="0.3">
      <c r="A407" s="4" t="s">
        <v>14</v>
      </c>
      <c r="B407" s="4" t="s">
        <v>16</v>
      </c>
      <c r="C407" s="58">
        <v>4</v>
      </c>
      <c r="D407" s="51">
        <v>6.91</v>
      </c>
      <c r="E407" s="51">
        <v>7</v>
      </c>
      <c r="F407" s="4" t="s">
        <v>78</v>
      </c>
      <c r="G407" s="4" t="s">
        <v>106</v>
      </c>
      <c r="H407" s="48">
        <f>IF(G407&gt;0,VLOOKUP(G407,Apoio!$H$2:$I$24,2,0),"")</f>
        <v>7</v>
      </c>
      <c r="I407" s="44">
        <f t="shared" si="29"/>
        <v>28.364688856729376</v>
      </c>
      <c r="J407" s="98">
        <f t="shared" si="30"/>
        <v>5.1056439942112872</v>
      </c>
      <c r="K407" s="103"/>
    </row>
    <row r="408" spans="1:11" x14ac:dyDescent="0.3">
      <c r="A408" s="4" t="s">
        <v>14</v>
      </c>
      <c r="B408" s="4" t="s">
        <v>16</v>
      </c>
      <c r="C408" s="58">
        <v>4</v>
      </c>
      <c r="D408" s="51">
        <v>6.91</v>
      </c>
      <c r="E408" s="51">
        <v>7</v>
      </c>
      <c r="F408" s="4" t="s">
        <v>78</v>
      </c>
      <c r="G408" s="4" t="s">
        <v>109</v>
      </c>
      <c r="H408" s="48">
        <f>IF(G408&gt;0,VLOOKUP(G408,Apoio!$H$2:$I$24,2,0),"")</f>
        <v>8</v>
      </c>
      <c r="I408" s="44">
        <f t="shared" si="29"/>
        <v>32.416787264833573</v>
      </c>
      <c r="J408" s="98">
        <f t="shared" si="30"/>
        <v>5.8350217076700428</v>
      </c>
      <c r="K408" s="103"/>
    </row>
    <row r="409" spans="1:11" x14ac:dyDescent="0.3">
      <c r="A409" s="4" t="s">
        <v>14</v>
      </c>
      <c r="B409" s="4" t="s">
        <v>16</v>
      </c>
      <c r="C409" s="58">
        <v>4</v>
      </c>
      <c r="D409" s="51">
        <v>6.91</v>
      </c>
      <c r="E409" s="51">
        <v>7</v>
      </c>
      <c r="F409" s="4" t="s">
        <v>78</v>
      </c>
      <c r="G409" s="4" t="s">
        <v>112</v>
      </c>
      <c r="H409" s="48">
        <f>IF(G409&gt;0,VLOOKUP(G409,Apoio!$H$2:$I$24,2,0),"")</f>
        <v>8</v>
      </c>
      <c r="I409" s="44">
        <f t="shared" si="29"/>
        <v>32.416787264833573</v>
      </c>
      <c r="J409" s="98">
        <f t="shared" si="30"/>
        <v>5.8350217076700428</v>
      </c>
      <c r="K409" s="103"/>
    </row>
    <row r="410" spans="1:11" x14ac:dyDescent="0.3">
      <c r="A410" s="4" t="s">
        <v>14</v>
      </c>
      <c r="B410" s="4" t="s">
        <v>16</v>
      </c>
      <c r="C410" s="58">
        <v>4</v>
      </c>
      <c r="D410" s="51">
        <v>6.91</v>
      </c>
      <c r="E410" s="51">
        <v>7</v>
      </c>
      <c r="F410" s="4" t="s">
        <v>78</v>
      </c>
      <c r="G410" s="4" t="s">
        <v>115</v>
      </c>
      <c r="H410" s="48">
        <f>IF(G410&gt;0,VLOOKUP(G410,Apoio!$H$2:$I$24,2,0),"")</f>
        <v>7</v>
      </c>
      <c r="I410" s="44">
        <f t="shared" si="29"/>
        <v>28.364688856729376</v>
      </c>
      <c r="J410" s="98">
        <f t="shared" si="30"/>
        <v>5.1056439942112872</v>
      </c>
      <c r="K410" s="103"/>
    </row>
    <row r="411" spans="1:11" x14ac:dyDescent="0.3">
      <c r="A411" s="4" t="s">
        <v>14</v>
      </c>
      <c r="B411" s="4" t="s">
        <v>16</v>
      </c>
      <c r="C411" s="58">
        <v>4</v>
      </c>
      <c r="D411" s="51">
        <v>6.91</v>
      </c>
      <c r="E411" s="51">
        <v>7</v>
      </c>
      <c r="F411" s="4" t="s">
        <v>78</v>
      </c>
      <c r="G411" s="4" t="s">
        <v>118</v>
      </c>
      <c r="H411" s="48">
        <f>IF(G411&gt;0,VLOOKUP(G411,Apoio!$H$2:$I$24,2,0),"")</f>
        <v>3</v>
      </c>
      <c r="I411" s="44">
        <f t="shared" si="29"/>
        <v>12.15629522431259</v>
      </c>
      <c r="J411" s="98">
        <f t="shared" si="30"/>
        <v>2.1881331403762663</v>
      </c>
      <c r="K411" s="103"/>
    </row>
    <row r="412" spans="1:11" x14ac:dyDescent="0.3">
      <c r="A412" s="4" t="s">
        <v>14</v>
      </c>
      <c r="B412" s="4" t="s">
        <v>16</v>
      </c>
      <c r="C412" s="58">
        <v>3</v>
      </c>
      <c r="D412" s="51">
        <v>5.5</v>
      </c>
      <c r="E412" s="51">
        <v>7</v>
      </c>
      <c r="F412" s="4" t="s">
        <v>85</v>
      </c>
      <c r="G412" s="4" t="s">
        <v>121</v>
      </c>
      <c r="H412" s="48">
        <f>IF(G412&gt;0,VLOOKUP(G412,Apoio!$H$2:$I$24,2,0),"")</f>
        <v>7</v>
      </c>
      <c r="I412" s="44">
        <f t="shared" si="29"/>
        <v>26.727272727272727</v>
      </c>
      <c r="J412" s="98">
        <v>3</v>
      </c>
      <c r="K412" s="103"/>
    </row>
    <row r="413" spans="1:11" x14ac:dyDescent="0.3">
      <c r="A413" s="4" t="s">
        <v>14</v>
      </c>
      <c r="B413" s="4" t="s">
        <v>16</v>
      </c>
      <c r="C413" s="58">
        <v>3</v>
      </c>
      <c r="D413" s="51">
        <v>5.5</v>
      </c>
      <c r="E413" s="51">
        <v>7</v>
      </c>
      <c r="F413" s="4" t="s">
        <v>85</v>
      </c>
      <c r="G413" s="4" t="s">
        <v>124</v>
      </c>
      <c r="H413" s="48">
        <f>IF(G413&gt;0,VLOOKUP(G413,Apoio!$H$2:$I$24,2,0),"")</f>
        <v>8</v>
      </c>
      <c r="I413" s="44">
        <f t="shared" si="29"/>
        <v>30.545454545454547</v>
      </c>
      <c r="J413" s="98">
        <v>3</v>
      </c>
      <c r="K413" s="103"/>
    </row>
    <row r="414" spans="1:11" x14ac:dyDescent="0.3">
      <c r="A414" s="4" t="s">
        <v>14</v>
      </c>
      <c r="B414" s="4" t="s">
        <v>16</v>
      </c>
      <c r="C414" s="58">
        <v>4</v>
      </c>
      <c r="D414" s="51">
        <v>5.5</v>
      </c>
      <c r="E414" s="51">
        <v>7</v>
      </c>
      <c r="F414" s="4" t="s">
        <v>85</v>
      </c>
      <c r="G414" s="4" t="s">
        <v>127</v>
      </c>
      <c r="H414" s="48">
        <f>IF(G414&gt;0,VLOOKUP(G414,Apoio!$H$2:$I$24,2,0),"")</f>
        <v>8</v>
      </c>
      <c r="I414" s="44">
        <f t="shared" si="29"/>
        <v>40.727272727272727</v>
      </c>
      <c r="J414" s="98">
        <v>3</v>
      </c>
      <c r="K414" s="103"/>
    </row>
    <row r="415" spans="1:11" x14ac:dyDescent="0.3">
      <c r="A415" s="4" t="s">
        <v>14</v>
      </c>
      <c r="B415" s="4" t="s">
        <v>16</v>
      </c>
      <c r="C415" s="58">
        <v>4</v>
      </c>
      <c r="D415" s="51">
        <v>5.5</v>
      </c>
      <c r="E415" s="51">
        <v>7</v>
      </c>
      <c r="F415" s="4" t="s">
        <v>85</v>
      </c>
      <c r="G415" s="4" t="s">
        <v>130</v>
      </c>
      <c r="H415" s="48">
        <f>IF(G415&gt;0,VLOOKUP(G415,Apoio!$H$2:$I$24,2,0),"")</f>
        <v>13</v>
      </c>
      <c r="I415" s="44">
        <f t="shared" si="29"/>
        <v>66.181818181818187</v>
      </c>
      <c r="J415" s="98">
        <v>4</v>
      </c>
      <c r="K415" s="103"/>
    </row>
    <row r="416" spans="1:11" x14ac:dyDescent="0.3">
      <c r="A416" s="4" t="s">
        <v>14</v>
      </c>
      <c r="B416" s="4" t="s">
        <v>16</v>
      </c>
      <c r="C416" s="58">
        <v>3</v>
      </c>
      <c r="D416" s="51">
        <v>5.5</v>
      </c>
      <c r="E416" s="51">
        <v>7</v>
      </c>
      <c r="F416" s="4" t="s">
        <v>85</v>
      </c>
      <c r="G416" s="4" t="s">
        <v>133</v>
      </c>
      <c r="H416" s="48">
        <f>IF(G416&gt;0,VLOOKUP(G416,Apoio!$H$2:$I$24,2,0),"")</f>
        <v>3</v>
      </c>
      <c r="I416" s="44">
        <f t="shared" si="29"/>
        <v>11.454545454545455</v>
      </c>
      <c r="J416" s="98">
        <v>1</v>
      </c>
      <c r="K416" s="103"/>
    </row>
    <row r="417" spans="1:11" x14ac:dyDescent="0.3">
      <c r="A417" s="4" t="s">
        <v>14</v>
      </c>
      <c r="B417" s="4" t="s">
        <v>16</v>
      </c>
      <c r="C417" s="58">
        <v>4</v>
      </c>
      <c r="D417" s="51">
        <v>5.5</v>
      </c>
      <c r="E417" s="51">
        <v>7</v>
      </c>
      <c r="F417" s="4" t="s">
        <v>92</v>
      </c>
      <c r="G417" s="4" t="s">
        <v>136</v>
      </c>
      <c r="H417" s="48">
        <f>IF(G417&gt;0,VLOOKUP(G417,Apoio!$H$2:$I$24,2,0),"")</f>
        <v>13</v>
      </c>
      <c r="I417" s="44">
        <f t="shared" si="29"/>
        <v>66.181818181818187</v>
      </c>
      <c r="J417" s="98">
        <f t="shared" si="30"/>
        <v>11.912727272727274</v>
      </c>
      <c r="K417" s="103"/>
    </row>
    <row r="418" spans="1:11" x14ac:dyDescent="0.3">
      <c r="A418" s="4" t="s">
        <v>14</v>
      </c>
      <c r="B418" s="4" t="s">
        <v>16</v>
      </c>
      <c r="C418" s="58">
        <v>4</v>
      </c>
      <c r="D418" s="51">
        <v>5.5</v>
      </c>
      <c r="E418" s="51">
        <v>7</v>
      </c>
      <c r="F418" s="4" t="s">
        <v>92</v>
      </c>
      <c r="G418" s="4" t="s">
        <v>139</v>
      </c>
      <c r="H418" s="48">
        <f>IF(G418&gt;0,VLOOKUP(G418,Apoio!$H$2:$I$24,2,0),"")</f>
        <v>8</v>
      </c>
      <c r="I418" s="44">
        <f t="shared" si="29"/>
        <v>40.727272727272727</v>
      </c>
      <c r="J418" s="98">
        <f t="shared" si="30"/>
        <v>7.3309090909090902</v>
      </c>
      <c r="K418" s="103"/>
    </row>
    <row r="419" spans="1:11" x14ac:dyDescent="0.3">
      <c r="A419" s="4" t="s">
        <v>14</v>
      </c>
      <c r="B419" s="4" t="s">
        <v>16</v>
      </c>
      <c r="C419" s="58">
        <v>3.5</v>
      </c>
      <c r="D419" s="51">
        <v>5.5</v>
      </c>
      <c r="E419" s="51">
        <v>7</v>
      </c>
      <c r="F419" s="4" t="s">
        <v>92</v>
      </c>
      <c r="G419" s="4" t="s">
        <v>142</v>
      </c>
      <c r="H419" s="48">
        <f>IF(G419&gt;0,VLOOKUP(G419,Apoio!$H$2:$I$24,2,0),"")</f>
        <v>8</v>
      </c>
      <c r="I419" s="44">
        <f t="shared" si="29"/>
        <v>35.636363636363633</v>
      </c>
      <c r="J419" s="98">
        <f t="shared" si="30"/>
        <v>6.4145454545454541</v>
      </c>
      <c r="K419" s="103"/>
    </row>
    <row r="420" spans="1:11" x14ac:dyDescent="0.3">
      <c r="A420" s="4" t="s">
        <v>14</v>
      </c>
      <c r="B420" s="4" t="s">
        <v>16</v>
      </c>
      <c r="C420" s="58">
        <v>4</v>
      </c>
      <c r="D420" s="51">
        <v>5.5</v>
      </c>
      <c r="E420" s="51">
        <v>7</v>
      </c>
      <c r="F420" s="4" t="s">
        <v>92</v>
      </c>
      <c r="G420" s="4" t="s">
        <v>145</v>
      </c>
      <c r="H420" s="48">
        <f>IF(G420&gt;0,VLOOKUP(G420,Apoio!$H$2:$I$24,2,0),"")</f>
        <v>7</v>
      </c>
      <c r="I420" s="44">
        <f t="shared" si="29"/>
        <v>35.636363636363633</v>
      </c>
      <c r="J420" s="98">
        <f t="shared" si="30"/>
        <v>6.4145454545454541</v>
      </c>
      <c r="K420" s="103"/>
    </row>
    <row r="421" spans="1:11" x14ac:dyDescent="0.3">
      <c r="A421" s="4" t="s">
        <v>14</v>
      </c>
      <c r="B421" s="4" t="s">
        <v>16</v>
      </c>
      <c r="C421" s="58">
        <v>4</v>
      </c>
      <c r="D421" s="51">
        <v>5.5</v>
      </c>
      <c r="E421" s="51">
        <v>7</v>
      </c>
      <c r="F421" s="4" t="s">
        <v>92</v>
      </c>
      <c r="G421" s="4" t="s">
        <v>148</v>
      </c>
      <c r="H421" s="48">
        <f>IF(G421&gt;0,VLOOKUP(G421,Apoio!$H$2:$I$24,2,0),"")</f>
        <v>8</v>
      </c>
      <c r="I421" s="44">
        <f t="shared" si="29"/>
        <v>40.727272727272727</v>
      </c>
      <c r="J421" s="98">
        <f t="shared" si="30"/>
        <v>7.3309090909090902</v>
      </c>
      <c r="K421" s="103"/>
    </row>
    <row r="422" spans="1:11" x14ac:dyDescent="0.3">
      <c r="A422" s="4" t="s">
        <v>14</v>
      </c>
      <c r="B422" s="4" t="s">
        <v>16</v>
      </c>
      <c r="C422" s="58">
        <v>4</v>
      </c>
      <c r="D422" s="51">
        <v>5.5</v>
      </c>
      <c r="E422" s="51">
        <v>7</v>
      </c>
      <c r="F422" s="4" t="s">
        <v>92</v>
      </c>
      <c r="G422" s="4" t="s">
        <v>151</v>
      </c>
      <c r="H422" s="48">
        <f>IF(G422&gt;0,VLOOKUP(G422,Apoio!$H$2:$I$24,2,0),"")</f>
        <v>8</v>
      </c>
      <c r="I422" s="44">
        <f t="shared" si="29"/>
        <v>40.727272727272727</v>
      </c>
      <c r="J422" s="98">
        <f t="shared" si="30"/>
        <v>7.3309090909090902</v>
      </c>
      <c r="K422" s="103"/>
    </row>
    <row r="423" spans="1:11" x14ac:dyDescent="0.3">
      <c r="A423" s="4" t="s">
        <v>14</v>
      </c>
      <c r="B423" s="4" t="s">
        <v>17</v>
      </c>
      <c r="C423" s="58">
        <v>4</v>
      </c>
      <c r="D423" s="51">
        <v>5</v>
      </c>
      <c r="E423" s="51">
        <v>7</v>
      </c>
      <c r="F423" s="4" t="s">
        <v>71</v>
      </c>
      <c r="G423" s="4" t="s">
        <v>70</v>
      </c>
      <c r="H423" s="48">
        <f>IF(G423&gt;0,VLOOKUP(G423,Apoio!$H$2:$I$24,2,0),"")</f>
        <v>7</v>
      </c>
      <c r="I423" s="44">
        <f t="shared" si="29"/>
        <v>39.200000000000003</v>
      </c>
      <c r="J423" s="98">
        <f>I423*38%</f>
        <v>14.896000000000001</v>
      </c>
      <c r="K423" s="103"/>
    </row>
    <row r="424" spans="1:11" x14ac:dyDescent="0.3">
      <c r="A424" s="4" t="s">
        <v>14</v>
      </c>
      <c r="B424" s="4" t="s">
        <v>17</v>
      </c>
      <c r="C424" s="58">
        <v>4</v>
      </c>
      <c r="D424" s="51">
        <v>5</v>
      </c>
      <c r="E424" s="51">
        <v>7</v>
      </c>
      <c r="F424" s="4" t="s">
        <v>71</v>
      </c>
      <c r="G424" s="4" t="s">
        <v>77</v>
      </c>
      <c r="H424" s="48">
        <f>IF(G424&gt;0,VLOOKUP(G424,Apoio!$H$2:$I$24,2,0),"")</f>
        <v>8</v>
      </c>
      <c r="I424" s="44">
        <f t="shared" si="29"/>
        <v>44.8</v>
      </c>
      <c r="J424" s="98">
        <f t="shared" ref="J424:J445" si="31">I424*38%</f>
        <v>17.023999999999997</v>
      </c>
      <c r="K424" s="103"/>
    </row>
    <row r="425" spans="1:11" x14ac:dyDescent="0.3">
      <c r="A425" s="4" t="s">
        <v>14</v>
      </c>
      <c r="B425" s="4" t="s">
        <v>17</v>
      </c>
      <c r="C425" s="58">
        <v>4</v>
      </c>
      <c r="D425" s="51">
        <v>5</v>
      </c>
      <c r="E425" s="51">
        <v>7</v>
      </c>
      <c r="F425" s="4" t="s">
        <v>71</v>
      </c>
      <c r="G425" s="4" t="s">
        <v>84</v>
      </c>
      <c r="H425" s="48">
        <f>IF(G425&gt;0,VLOOKUP(G425,Apoio!$H$2:$I$24,2,0),"")</f>
        <v>8</v>
      </c>
      <c r="I425" s="44">
        <f t="shared" si="29"/>
        <v>44.8</v>
      </c>
      <c r="J425" s="98">
        <f t="shared" si="31"/>
        <v>17.023999999999997</v>
      </c>
      <c r="K425" s="103"/>
    </row>
    <row r="426" spans="1:11" x14ac:dyDescent="0.3">
      <c r="A426" s="4" t="s">
        <v>14</v>
      </c>
      <c r="B426" s="4" t="s">
        <v>17</v>
      </c>
      <c r="C426" s="58">
        <v>4</v>
      </c>
      <c r="D426" s="51">
        <v>5</v>
      </c>
      <c r="E426" s="51">
        <v>7</v>
      </c>
      <c r="F426" s="4" t="s">
        <v>71</v>
      </c>
      <c r="G426" s="4" t="s">
        <v>91</v>
      </c>
      <c r="H426" s="48">
        <f>IF(G426&gt;0,VLOOKUP(G426,Apoio!$H$2:$I$24,2,0),"")</f>
        <v>6</v>
      </c>
      <c r="I426" s="44">
        <f t="shared" si="29"/>
        <v>33.6</v>
      </c>
      <c r="J426" s="98">
        <f t="shared" si="31"/>
        <v>12.768000000000001</v>
      </c>
      <c r="K426" s="103"/>
    </row>
    <row r="427" spans="1:11" x14ac:dyDescent="0.3">
      <c r="A427" s="4" t="s">
        <v>14</v>
      </c>
      <c r="B427" s="4" t="s">
        <v>17</v>
      </c>
      <c r="C427" s="58">
        <v>4</v>
      </c>
      <c r="D427" s="51">
        <v>5</v>
      </c>
      <c r="E427" s="51">
        <v>7</v>
      </c>
      <c r="F427" s="4" t="s">
        <v>71</v>
      </c>
      <c r="G427" s="4" t="s">
        <v>97</v>
      </c>
      <c r="H427" s="48">
        <f>IF(G427&gt;0,VLOOKUP(G427,Apoio!$H$2:$I$24,2,0),"")</f>
        <v>8</v>
      </c>
      <c r="I427" s="44">
        <f t="shared" ref="I427:I457" si="32">IF(D427&gt;0,(((H427*E427)*C427)/D427),"")</f>
        <v>44.8</v>
      </c>
      <c r="J427" s="98">
        <f t="shared" si="31"/>
        <v>17.023999999999997</v>
      </c>
      <c r="K427" s="103"/>
    </row>
    <row r="428" spans="1:11" x14ac:dyDescent="0.3">
      <c r="A428" s="4" t="s">
        <v>14</v>
      </c>
      <c r="B428" s="4" t="s">
        <v>17</v>
      </c>
      <c r="C428" s="58">
        <v>4</v>
      </c>
      <c r="D428" s="51">
        <v>5</v>
      </c>
      <c r="E428" s="51">
        <v>7</v>
      </c>
      <c r="F428" s="4" t="s">
        <v>71</v>
      </c>
      <c r="G428" s="4" t="s">
        <v>100</v>
      </c>
      <c r="H428" s="48">
        <f>IF(G428&gt;0,VLOOKUP(G428,Apoio!$H$2:$I$24,2,0),"")</f>
        <v>3</v>
      </c>
      <c r="I428" s="44">
        <f t="shared" si="32"/>
        <v>16.8</v>
      </c>
      <c r="J428" s="98">
        <f t="shared" si="31"/>
        <v>6.3840000000000003</v>
      </c>
      <c r="K428" s="103"/>
    </row>
    <row r="429" spans="1:11" x14ac:dyDescent="0.3">
      <c r="A429" s="4" t="s">
        <v>14</v>
      </c>
      <c r="B429" s="4" t="s">
        <v>17</v>
      </c>
      <c r="C429" s="58">
        <v>3</v>
      </c>
      <c r="D429" s="51">
        <v>5.65</v>
      </c>
      <c r="E429" s="51">
        <v>7</v>
      </c>
      <c r="F429" s="4" t="s">
        <v>78</v>
      </c>
      <c r="G429" s="4" t="s">
        <v>103</v>
      </c>
      <c r="H429" s="48">
        <f>IF(G429&gt;0,VLOOKUP(G429,Apoio!$H$2:$I$24,2,0),"")</f>
        <v>6</v>
      </c>
      <c r="I429" s="44">
        <f t="shared" si="32"/>
        <v>22.30088495575221</v>
      </c>
      <c r="J429" s="98">
        <f t="shared" si="31"/>
        <v>8.4743362831858402</v>
      </c>
      <c r="K429" s="103"/>
    </row>
    <row r="430" spans="1:11" x14ac:dyDescent="0.3">
      <c r="A430" s="4" t="s">
        <v>14</v>
      </c>
      <c r="B430" s="4" t="s">
        <v>17</v>
      </c>
      <c r="C430" s="58">
        <v>3</v>
      </c>
      <c r="D430" s="51">
        <v>5.65</v>
      </c>
      <c r="E430" s="51">
        <v>7</v>
      </c>
      <c r="F430" s="4" t="s">
        <v>78</v>
      </c>
      <c r="G430" s="4" t="s">
        <v>106</v>
      </c>
      <c r="H430" s="48">
        <f>IF(G430&gt;0,VLOOKUP(G430,Apoio!$H$2:$I$24,2,0),"")</f>
        <v>7</v>
      </c>
      <c r="I430" s="44">
        <f t="shared" si="32"/>
        <v>26.017699115044245</v>
      </c>
      <c r="J430" s="98">
        <f t="shared" si="31"/>
        <v>9.8867256637168133</v>
      </c>
      <c r="K430" s="103"/>
    </row>
    <row r="431" spans="1:11" x14ac:dyDescent="0.3">
      <c r="A431" s="9" t="s">
        <v>14</v>
      </c>
      <c r="B431" s="9" t="s">
        <v>17</v>
      </c>
      <c r="C431" s="58">
        <v>3</v>
      </c>
      <c r="D431" s="51">
        <v>5.65</v>
      </c>
      <c r="E431" s="51">
        <v>7</v>
      </c>
      <c r="F431" s="4" t="s">
        <v>78</v>
      </c>
      <c r="G431" s="4" t="s">
        <v>109</v>
      </c>
      <c r="H431" s="48">
        <f>IF(G431&gt;0,VLOOKUP(G431,Apoio!$H$2:$I$24,2,0),"")</f>
        <v>8</v>
      </c>
      <c r="I431" s="44">
        <f t="shared" si="32"/>
        <v>29.73451327433628</v>
      </c>
      <c r="J431" s="98">
        <f t="shared" si="31"/>
        <v>11.299115044247786</v>
      </c>
      <c r="K431" s="103"/>
    </row>
    <row r="432" spans="1:11" x14ac:dyDescent="0.3">
      <c r="A432" s="67" t="s">
        <v>14</v>
      </c>
      <c r="B432" s="4" t="s">
        <v>17</v>
      </c>
      <c r="C432" s="58">
        <v>3</v>
      </c>
      <c r="D432" s="51">
        <v>5.65</v>
      </c>
      <c r="E432" s="51">
        <v>7</v>
      </c>
      <c r="F432" s="4" t="s">
        <v>78</v>
      </c>
      <c r="G432" s="4" t="s">
        <v>112</v>
      </c>
      <c r="H432" s="48">
        <f>IF(G432&gt;0,VLOOKUP(G432,Apoio!$H$2:$I$24,2,0),"")</f>
        <v>8</v>
      </c>
      <c r="I432" s="44">
        <f t="shared" si="32"/>
        <v>29.73451327433628</v>
      </c>
      <c r="J432" s="98">
        <f t="shared" si="31"/>
        <v>11.299115044247786</v>
      </c>
      <c r="K432" s="103"/>
    </row>
    <row r="433" spans="1:11" x14ac:dyDescent="0.3">
      <c r="A433" s="67" t="s">
        <v>14</v>
      </c>
      <c r="B433" s="4" t="s">
        <v>17</v>
      </c>
      <c r="C433" s="58">
        <v>3</v>
      </c>
      <c r="D433" s="51">
        <v>5.65</v>
      </c>
      <c r="E433" s="51">
        <v>7</v>
      </c>
      <c r="F433" s="4" t="s">
        <v>78</v>
      </c>
      <c r="G433" s="4" t="s">
        <v>115</v>
      </c>
      <c r="H433" s="48">
        <f>IF(G433&gt;0,VLOOKUP(G433,Apoio!$H$2:$I$24,2,0),"")</f>
        <v>7</v>
      </c>
      <c r="I433" s="44">
        <f t="shared" si="32"/>
        <v>26.017699115044245</v>
      </c>
      <c r="J433" s="98">
        <f t="shared" si="31"/>
        <v>9.8867256637168133</v>
      </c>
      <c r="K433" s="103"/>
    </row>
    <row r="434" spans="1:11" x14ac:dyDescent="0.3">
      <c r="A434" s="67" t="s">
        <v>14</v>
      </c>
      <c r="B434" s="4" t="s">
        <v>17</v>
      </c>
      <c r="C434" s="58">
        <v>3</v>
      </c>
      <c r="D434" s="51">
        <v>5.65</v>
      </c>
      <c r="E434" s="51">
        <v>7</v>
      </c>
      <c r="F434" s="4" t="s">
        <v>78</v>
      </c>
      <c r="G434" s="4" t="s">
        <v>118</v>
      </c>
      <c r="H434" s="48">
        <f>IF(G434&gt;0,VLOOKUP(G434,Apoio!$H$2:$I$24,2,0),"")</f>
        <v>3</v>
      </c>
      <c r="I434" s="44">
        <f t="shared" si="32"/>
        <v>11.150442477876105</v>
      </c>
      <c r="J434" s="98">
        <f t="shared" si="31"/>
        <v>4.2371681415929201</v>
      </c>
      <c r="K434" s="103"/>
    </row>
    <row r="435" spans="1:11" x14ac:dyDescent="0.3">
      <c r="A435" s="67" t="s">
        <v>14</v>
      </c>
      <c r="B435" s="4" t="s">
        <v>222</v>
      </c>
      <c r="C435" s="58">
        <v>6</v>
      </c>
      <c r="D435" s="51">
        <v>6.8</v>
      </c>
      <c r="E435" s="51">
        <v>7</v>
      </c>
      <c r="F435" s="4" t="s">
        <v>85</v>
      </c>
      <c r="G435" s="4" t="s">
        <v>121</v>
      </c>
      <c r="H435" s="48">
        <f>IF(G435&gt;0,VLOOKUP(G435,Apoio!$H$2:$I$24,2,0),"")</f>
        <v>7</v>
      </c>
      <c r="I435" s="44">
        <f t="shared" si="32"/>
        <v>43.235294117647058</v>
      </c>
      <c r="J435" s="98">
        <v>21</v>
      </c>
      <c r="K435" s="103"/>
    </row>
    <row r="436" spans="1:11" x14ac:dyDescent="0.3">
      <c r="A436" s="67" t="s">
        <v>14</v>
      </c>
      <c r="B436" s="4" t="s">
        <v>222</v>
      </c>
      <c r="C436" s="58">
        <v>6.5</v>
      </c>
      <c r="D436" s="51">
        <v>6.8</v>
      </c>
      <c r="E436" s="51">
        <v>7</v>
      </c>
      <c r="F436" s="4" t="s">
        <v>85</v>
      </c>
      <c r="G436" s="4" t="s">
        <v>124</v>
      </c>
      <c r="H436" s="48">
        <f>IF(G436&gt;0,VLOOKUP(G436,Apoio!$H$2:$I$24,2,0),"")</f>
        <v>8</v>
      </c>
      <c r="I436" s="44">
        <f t="shared" si="32"/>
        <v>53.529411764705884</v>
      </c>
      <c r="J436" s="98">
        <v>21</v>
      </c>
      <c r="K436" s="103"/>
    </row>
    <row r="437" spans="1:11" x14ac:dyDescent="0.3">
      <c r="A437" s="67" t="s">
        <v>14</v>
      </c>
      <c r="B437" s="4" t="s">
        <v>222</v>
      </c>
      <c r="C437" s="58">
        <v>6.3</v>
      </c>
      <c r="D437" s="51">
        <v>6.8</v>
      </c>
      <c r="E437" s="51">
        <v>7</v>
      </c>
      <c r="F437" s="4" t="s">
        <v>85</v>
      </c>
      <c r="G437" s="4" t="s">
        <v>127</v>
      </c>
      <c r="H437" s="48">
        <f>IF(G437&gt;0,VLOOKUP(G437,Apoio!$H$2:$I$24,2,0),"")</f>
        <v>8</v>
      </c>
      <c r="I437" s="44">
        <f t="shared" si="32"/>
        <v>51.882352941176471</v>
      </c>
      <c r="J437" s="98">
        <v>21</v>
      </c>
      <c r="K437" s="103"/>
    </row>
    <row r="438" spans="1:11" x14ac:dyDescent="0.3">
      <c r="A438" s="67" t="s">
        <v>14</v>
      </c>
      <c r="B438" s="4" t="s">
        <v>222</v>
      </c>
      <c r="C438" s="58">
        <v>6.4</v>
      </c>
      <c r="D438" s="51">
        <v>6.8</v>
      </c>
      <c r="E438" s="51">
        <v>7</v>
      </c>
      <c r="F438" s="4" t="s">
        <v>85</v>
      </c>
      <c r="G438" s="4" t="s">
        <v>130</v>
      </c>
      <c r="H438" s="48">
        <f>IF(G438&gt;0,VLOOKUP(G438,Apoio!$H$2:$I$24,2,0),"")</f>
        <v>13</v>
      </c>
      <c r="I438" s="44">
        <f t="shared" si="32"/>
        <v>85.647058823529406</v>
      </c>
      <c r="J438" s="98">
        <v>21</v>
      </c>
      <c r="K438" s="103"/>
    </row>
    <row r="439" spans="1:11" x14ac:dyDescent="0.3">
      <c r="A439" s="67" t="s">
        <v>14</v>
      </c>
      <c r="B439" s="4" t="s">
        <v>222</v>
      </c>
      <c r="C439" s="58">
        <v>7</v>
      </c>
      <c r="D439" s="51">
        <v>6.8</v>
      </c>
      <c r="E439" s="51">
        <v>7</v>
      </c>
      <c r="F439" s="4" t="s">
        <v>85</v>
      </c>
      <c r="G439" s="4" t="s">
        <v>133</v>
      </c>
      <c r="H439" s="48">
        <f>IF(G439&gt;0,VLOOKUP(G439,Apoio!$H$2:$I$24,2,0),"")</f>
        <v>3</v>
      </c>
      <c r="I439" s="44">
        <f t="shared" si="32"/>
        <v>21.617647058823529</v>
      </c>
      <c r="J439" s="98">
        <v>18</v>
      </c>
      <c r="K439" s="103"/>
    </row>
    <row r="440" spans="1:11" x14ac:dyDescent="0.3">
      <c r="A440" s="67" t="s">
        <v>14</v>
      </c>
      <c r="B440" s="4" t="s">
        <v>222</v>
      </c>
      <c r="C440" s="58">
        <v>7</v>
      </c>
      <c r="D440" s="51">
        <v>6.8</v>
      </c>
      <c r="E440" s="51">
        <v>7</v>
      </c>
      <c r="F440" s="4" t="s">
        <v>92</v>
      </c>
      <c r="G440" s="4" t="s">
        <v>136</v>
      </c>
      <c r="H440" s="48">
        <f>IF(G440&gt;0,VLOOKUP(G440,Apoio!$H$2:$I$24,2,0),"")</f>
        <v>13</v>
      </c>
      <c r="I440" s="44">
        <f t="shared" si="32"/>
        <v>93.67647058823529</v>
      </c>
      <c r="J440" s="98">
        <f t="shared" si="31"/>
        <v>35.597058823529409</v>
      </c>
      <c r="K440" s="103"/>
    </row>
    <row r="441" spans="1:11" x14ac:dyDescent="0.3">
      <c r="A441" s="67" t="s">
        <v>14</v>
      </c>
      <c r="B441" s="4" t="s">
        <v>222</v>
      </c>
      <c r="C441" s="58">
        <v>7</v>
      </c>
      <c r="D441" s="51">
        <v>6.8</v>
      </c>
      <c r="E441" s="51">
        <v>7</v>
      </c>
      <c r="F441" s="4" t="s">
        <v>92</v>
      </c>
      <c r="G441" s="4" t="s">
        <v>139</v>
      </c>
      <c r="H441" s="48">
        <f>IF(G441&gt;0,VLOOKUP(G441,Apoio!$H$2:$I$24,2,0),"")</f>
        <v>8</v>
      </c>
      <c r="I441" s="44">
        <f t="shared" si="32"/>
        <v>57.647058823529413</v>
      </c>
      <c r="J441" s="98">
        <f t="shared" si="31"/>
        <v>21.905882352941177</v>
      </c>
      <c r="K441" s="103"/>
    </row>
    <row r="442" spans="1:11" x14ac:dyDescent="0.3">
      <c r="A442" s="67" t="s">
        <v>14</v>
      </c>
      <c r="B442" s="4" t="s">
        <v>222</v>
      </c>
      <c r="C442" s="58">
        <v>7</v>
      </c>
      <c r="D442" s="51">
        <v>6.8</v>
      </c>
      <c r="E442" s="51">
        <v>7</v>
      </c>
      <c r="F442" s="4" t="s">
        <v>92</v>
      </c>
      <c r="G442" s="4" t="s">
        <v>142</v>
      </c>
      <c r="H442" s="48">
        <f>IF(G442&gt;0,VLOOKUP(G442,Apoio!$H$2:$I$24,2,0),"")</f>
        <v>8</v>
      </c>
      <c r="I442" s="44">
        <f t="shared" si="32"/>
        <v>57.647058823529413</v>
      </c>
      <c r="J442" s="98">
        <f t="shared" si="31"/>
        <v>21.905882352941177</v>
      </c>
      <c r="K442" s="103"/>
    </row>
    <row r="443" spans="1:11" x14ac:dyDescent="0.3">
      <c r="A443" s="67" t="s">
        <v>14</v>
      </c>
      <c r="B443" s="4" t="s">
        <v>222</v>
      </c>
      <c r="C443" s="58">
        <v>7</v>
      </c>
      <c r="D443" s="51">
        <v>6.8</v>
      </c>
      <c r="E443" s="51">
        <v>7</v>
      </c>
      <c r="F443" s="4" t="s">
        <v>92</v>
      </c>
      <c r="G443" s="4" t="s">
        <v>145</v>
      </c>
      <c r="H443" s="48">
        <f>IF(G443&gt;0,VLOOKUP(G443,Apoio!$H$2:$I$24,2,0),"")</f>
        <v>7</v>
      </c>
      <c r="I443" s="44">
        <f t="shared" si="32"/>
        <v>50.441176470588239</v>
      </c>
      <c r="J443" s="98">
        <f t="shared" si="31"/>
        <v>19.16764705882353</v>
      </c>
      <c r="K443" s="103"/>
    </row>
    <row r="444" spans="1:11" x14ac:dyDescent="0.3">
      <c r="A444" s="67" t="s">
        <v>14</v>
      </c>
      <c r="B444" s="4" t="s">
        <v>222</v>
      </c>
      <c r="C444" s="58">
        <v>7</v>
      </c>
      <c r="D444" s="51">
        <v>6.8</v>
      </c>
      <c r="E444" s="51">
        <v>7</v>
      </c>
      <c r="F444" s="4" t="s">
        <v>92</v>
      </c>
      <c r="G444" s="4" t="s">
        <v>148</v>
      </c>
      <c r="H444" s="48">
        <f>IF(G444&gt;0,VLOOKUP(G444,Apoio!$H$2:$I$24,2,0),"")</f>
        <v>8</v>
      </c>
      <c r="I444" s="44">
        <f t="shared" si="32"/>
        <v>57.647058823529413</v>
      </c>
      <c r="J444" s="98">
        <f t="shared" si="31"/>
        <v>21.905882352941177</v>
      </c>
      <c r="K444" s="103"/>
    </row>
    <row r="445" spans="1:11" x14ac:dyDescent="0.3">
      <c r="A445" s="67" t="s">
        <v>14</v>
      </c>
      <c r="B445" s="4" t="s">
        <v>222</v>
      </c>
      <c r="C445" s="58">
        <v>7</v>
      </c>
      <c r="D445" s="51">
        <v>6.8</v>
      </c>
      <c r="E445" s="51">
        <v>7</v>
      </c>
      <c r="F445" s="4" t="s">
        <v>92</v>
      </c>
      <c r="G445" s="4" t="s">
        <v>151</v>
      </c>
      <c r="H445" s="48">
        <f>IF(G445&gt;0,VLOOKUP(G445,Apoio!$H$2:$I$24,2,0),"")</f>
        <v>8</v>
      </c>
      <c r="I445" s="44">
        <f t="shared" si="32"/>
        <v>57.647058823529413</v>
      </c>
      <c r="J445" s="98">
        <f t="shared" si="31"/>
        <v>21.905882352941177</v>
      </c>
      <c r="K445" s="103"/>
    </row>
    <row r="446" spans="1:11" x14ac:dyDescent="0.3">
      <c r="A446" s="67" t="s">
        <v>14</v>
      </c>
      <c r="B446" s="4" t="s">
        <v>18</v>
      </c>
      <c r="C446" s="58">
        <v>3</v>
      </c>
      <c r="D446" s="51">
        <v>5</v>
      </c>
      <c r="E446" s="51">
        <v>7</v>
      </c>
      <c r="F446" s="4" t="s">
        <v>71</v>
      </c>
      <c r="G446" s="4" t="s">
        <v>70</v>
      </c>
      <c r="H446" s="48">
        <f>IF(G446&gt;0,VLOOKUP(G446,Apoio!$H$2:$I$24,2,0),"")</f>
        <v>7</v>
      </c>
      <c r="I446" s="44">
        <f t="shared" si="32"/>
        <v>29.4</v>
      </c>
      <c r="J446" s="98">
        <f t="shared" ref="J446:J457" si="33">I446*26%</f>
        <v>7.6440000000000001</v>
      </c>
      <c r="K446" s="103" t="s">
        <v>223</v>
      </c>
    </row>
    <row r="447" spans="1:11" x14ac:dyDescent="0.3">
      <c r="A447" s="67" t="s">
        <v>14</v>
      </c>
      <c r="B447" s="4" t="s">
        <v>18</v>
      </c>
      <c r="C447" s="58">
        <v>3</v>
      </c>
      <c r="D447" s="51">
        <v>5</v>
      </c>
      <c r="E447" s="51">
        <v>7</v>
      </c>
      <c r="F447" s="4" t="s">
        <v>71</v>
      </c>
      <c r="G447" s="4" t="s">
        <v>77</v>
      </c>
      <c r="H447" s="48">
        <f>IF(G447&gt;0,VLOOKUP(G447,Apoio!$H$2:$I$24,2,0),"")</f>
        <v>8</v>
      </c>
      <c r="I447" s="44">
        <f t="shared" si="32"/>
        <v>33.6</v>
      </c>
      <c r="J447" s="98">
        <f t="shared" si="33"/>
        <v>8.7360000000000007</v>
      </c>
      <c r="K447" s="103" t="s">
        <v>223</v>
      </c>
    </row>
    <row r="448" spans="1:11" x14ac:dyDescent="0.3">
      <c r="A448" s="67" t="s">
        <v>14</v>
      </c>
      <c r="B448" s="4" t="s">
        <v>18</v>
      </c>
      <c r="C448" s="58">
        <v>3</v>
      </c>
      <c r="D448" s="51">
        <v>5</v>
      </c>
      <c r="E448" s="51">
        <v>7</v>
      </c>
      <c r="F448" s="4" t="s">
        <v>71</v>
      </c>
      <c r="G448" s="4" t="s">
        <v>84</v>
      </c>
      <c r="H448" s="48">
        <f>IF(G448&gt;0,VLOOKUP(G448,Apoio!$H$2:$I$24,2,0),"")</f>
        <v>8</v>
      </c>
      <c r="I448" s="44">
        <f t="shared" si="32"/>
        <v>33.6</v>
      </c>
      <c r="J448" s="98">
        <f t="shared" si="33"/>
        <v>8.7360000000000007</v>
      </c>
      <c r="K448" s="103" t="s">
        <v>223</v>
      </c>
    </row>
    <row r="449" spans="1:11" x14ac:dyDescent="0.3">
      <c r="A449" s="67" t="s">
        <v>14</v>
      </c>
      <c r="B449" s="4" t="s">
        <v>18</v>
      </c>
      <c r="C449" s="58">
        <v>3</v>
      </c>
      <c r="D449" s="51">
        <v>5</v>
      </c>
      <c r="E449" s="51">
        <v>7</v>
      </c>
      <c r="F449" s="4" t="s">
        <v>71</v>
      </c>
      <c r="G449" s="4" t="s">
        <v>91</v>
      </c>
      <c r="H449" s="48">
        <f>IF(G449&gt;0,VLOOKUP(G449,Apoio!$H$2:$I$24,2,0),"")</f>
        <v>6</v>
      </c>
      <c r="I449" s="44">
        <f t="shared" si="32"/>
        <v>25.2</v>
      </c>
      <c r="J449" s="98">
        <f t="shared" si="33"/>
        <v>6.5519999999999996</v>
      </c>
      <c r="K449" s="103" t="s">
        <v>223</v>
      </c>
    </row>
    <row r="450" spans="1:11" x14ac:dyDescent="0.3">
      <c r="A450" s="67" t="s">
        <v>14</v>
      </c>
      <c r="B450" s="4" t="s">
        <v>18</v>
      </c>
      <c r="C450" s="58">
        <v>3</v>
      </c>
      <c r="D450" s="51">
        <v>5</v>
      </c>
      <c r="E450" s="51">
        <v>7</v>
      </c>
      <c r="F450" s="4" t="s">
        <v>71</v>
      </c>
      <c r="G450" s="4" t="s">
        <v>97</v>
      </c>
      <c r="H450" s="48">
        <f>IF(G450&gt;0,VLOOKUP(G450,Apoio!$H$2:$I$24,2,0),"")</f>
        <v>8</v>
      </c>
      <c r="I450" s="44">
        <f t="shared" si="32"/>
        <v>33.6</v>
      </c>
      <c r="J450" s="98">
        <f t="shared" si="33"/>
        <v>8.7360000000000007</v>
      </c>
      <c r="K450" s="103" t="s">
        <v>223</v>
      </c>
    </row>
    <row r="451" spans="1:11" x14ac:dyDescent="0.3">
      <c r="A451" s="67" t="s">
        <v>14</v>
      </c>
      <c r="B451" s="4" t="s">
        <v>18</v>
      </c>
      <c r="C451" s="58">
        <v>3</v>
      </c>
      <c r="D451" s="51">
        <v>5</v>
      </c>
      <c r="E451" s="51">
        <v>7</v>
      </c>
      <c r="F451" s="4" t="s">
        <v>71</v>
      </c>
      <c r="G451" s="4" t="s">
        <v>100</v>
      </c>
      <c r="H451" s="48">
        <f>IF(G451&gt;0,VLOOKUP(G451,Apoio!$H$2:$I$24,2,0),"")</f>
        <v>3</v>
      </c>
      <c r="I451" s="44">
        <f t="shared" si="32"/>
        <v>12.6</v>
      </c>
      <c r="J451" s="98">
        <f t="shared" si="33"/>
        <v>3.2759999999999998</v>
      </c>
      <c r="K451" s="103" t="s">
        <v>223</v>
      </c>
    </row>
    <row r="452" spans="1:11" x14ac:dyDescent="0.3">
      <c r="A452" s="67" t="s">
        <v>14</v>
      </c>
      <c r="B452" s="4" t="s">
        <v>18</v>
      </c>
      <c r="C452" s="58">
        <v>4</v>
      </c>
      <c r="D452" s="51">
        <v>3.91</v>
      </c>
      <c r="E452" s="51">
        <v>7</v>
      </c>
      <c r="F452" s="4" t="s">
        <v>78</v>
      </c>
      <c r="G452" s="4" t="s">
        <v>103</v>
      </c>
      <c r="H452" s="48">
        <f>IF(G452&gt;0,VLOOKUP(G452,Apoio!$H$2:$I$24,2,0),"")</f>
        <v>6</v>
      </c>
      <c r="I452" s="44">
        <f t="shared" si="32"/>
        <v>42.966751918158565</v>
      </c>
      <c r="J452" s="98">
        <f t="shared" si="33"/>
        <v>11.171355498721228</v>
      </c>
      <c r="K452" s="103" t="s">
        <v>223</v>
      </c>
    </row>
    <row r="453" spans="1:11" x14ac:dyDescent="0.3">
      <c r="A453" s="67" t="s">
        <v>14</v>
      </c>
      <c r="B453" s="4" t="s">
        <v>18</v>
      </c>
      <c r="C453" s="58">
        <v>4</v>
      </c>
      <c r="D453" s="51">
        <v>3.91</v>
      </c>
      <c r="E453" s="51">
        <v>7</v>
      </c>
      <c r="F453" s="4" t="s">
        <v>78</v>
      </c>
      <c r="G453" s="4" t="s">
        <v>106</v>
      </c>
      <c r="H453" s="48">
        <f>IF(G453&gt;0,VLOOKUP(G453,Apoio!$H$2:$I$24,2,0),"")</f>
        <v>7</v>
      </c>
      <c r="I453" s="44">
        <f t="shared" si="32"/>
        <v>50.127877237851663</v>
      </c>
      <c r="J453" s="98">
        <f t="shared" si="33"/>
        <v>13.033248081841434</v>
      </c>
      <c r="K453" s="103" t="s">
        <v>223</v>
      </c>
    </row>
    <row r="454" spans="1:11" x14ac:dyDescent="0.3">
      <c r="A454" s="67" t="s">
        <v>14</v>
      </c>
      <c r="B454" s="4" t="s">
        <v>18</v>
      </c>
      <c r="C454" s="58">
        <v>4</v>
      </c>
      <c r="D454" s="51">
        <v>3.91</v>
      </c>
      <c r="E454" s="51">
        <v>7</v>
      </c>
      <c r="F454" s="4" t="s">
        <v>78</v>
      </c>
      <c r="G454" s="4" t="s">
        <v>109</v>
      </c>
      <c r="H454" s="48">
        <f>IF(G454&gt;0,VLOOKUP(G454,Apoio!$H$2:$I$24,2,0),"")</f>
        <v>8</v>
      </c>
      <c r="I454" s="44">
        <f t="shared" si="32"/>
        <v>57.289002557544755</v>
      </c>
      <c r="J454" s="98">
        <f t="shared" si="33"/>
        <v>14.895140664961637</v>
      </c>
      <c r="K454" s="103" t="s">
        <v>223</v>
      </c>
    </row>
    <row r="455" spans="1:11" x14ac:dyDescent="0.3">
      <c r="A455" s="67" t="s">
        <v>14</v>
      </c>
      <c r="B455" s="4" t="s">
        <v>18</v>
      </c>
      <c r="C455" s="58">
        <v>4</v>
      </c>
      <c r="D455" s="51">
        <v>3.91</v>
      </c>
      <c r="E455" s="51">
        <v>7</v>
      </c>
      <c r="F455" s="4" t="s">
        <v>78</v>
      </c>
      <c r="G455" s="4" t="s">
        <v>112</v>
      </c>
      <c r="H455" s="48">
        <f>IF(G455&gt;0,VLOOKUP(G455,Apoio!$H$2:$I$24,2,0),"")</f>
        <v>8</v>
      </c>
      <c r="I455" s="44">
        <f t="shared" si="32"/>
        <v>57.289002557544755</v>
      </c>
      <c r="J455" s="98">
        <f t="shared" si="33"/>
        <v>14.895140664961637</v>
      </c>
      <c r="K455" s="103" t="s">
        <v>223</v>
      </c>
    </row>
    <row r="456" spans="1:11" x14ac:dyDescent="0.3">
      <c r="A456" s="67" t="s">
        <v>14</v>
      </c>
      <c r="B456" s="4" t="s">
        <v>18</v>
      </c>
      <c r="C456" s="58">
        <v>4</v>
      </c>
      <c r="D456" s="51">
        <v>3.91</v>
      </c>
      <c r="E456" s="51">
        <v>7</v>
      </c>
      <c r="F456" s="4" t="s">
        <v>78</v>
      </c>
      <c r="G456" s="4" t="s">
        <v>115</v>
      </c>
      <c r="H456" s="48">
        <f>IF(G456&gt;0,VLOOKUP(G456,Apoio!$H$2:$I$24,2,0),"")</f>
        <v>7</v>
      </c>
      <c r="I456" s="44">
        <f t="shared" si="32"/>
        <v>50.127877237851663</v>
      </c>
      <c r="J456" s="98">
        <f t="shared" si="33"/>
        <v>13.033248081841434</v>
      </c>
      <c r="K456" s="103" t="s">
        <v>223</v>
      </c>
    </row>
    <row r="457" spans="1:11" x14ac:dyDescent="0.3">
      <c r="A457" s="67" t="s">
        <v>14</v>
      </c>
      <c r="B457" s="4" t="s">
        <v>18</v>
      </c>
      <c r="C457" s="58">
        <v>4</v>
      </c>
      <c r="D457" s="51">
        <v>3.91</v>
      </c>
      <c r="E457" s="51">
        <v>7</v>
      </c>
      <c r="F457" s="4" t="s">
        <v>78</v>
      </c>
      <c r="G457" s="4" t="s">
        <v>118</v>
      </c>
      <c r="H457" s="48">
        <f>IF(G457&gt;0,VLOOKUP(G457,Apoio!$H$2:$I$24,2,0),"")</f>
        <v>3</v>
      </c>
      <c r="I457" s="44">
        <f t="shared" si="32"/>
        <v>21.483375959079282</v>
      </c>
      <c r="J457" s="98">
        <f t="shared" si="33"/>
        <v>5.585677749360614</v>
      </c>
      <c r="K457" s="103" t="s">
        <v>223</v>
      </c>
    </row>
    <row r="458" spans="1:11" x14ac:dyDescent="0.3">
      <c r="A458" s="4" t="s">
        <v>19</v>
      </c>
      <c r="B458" s="4" t="s">
        <v>210</v>
      </c>
      <c r="C458" s="58">
        <v>3</v>
      </c>
      <c r="D458" s="51">
        <v>6.6</v>
      </c>
      <c r="E458" s="51">
        <v>7</v>
      </c>
      <c r="F458" s="4" t="s">
        <v>71</v>
      </c>
      <c r="G458" s="4" t="s">
        <v>70</v>
      </c>
      <c r="H458" s="48">
        <f>IF(G458&gt;0,VLOOKUP(G458,Apoio!$H$2:$I$24,2,0),"")</f>
        <v>7</v>
      </c>
      <c r="I458" s="44">
        <f t="shared" ref="I458:I463" si="34">IF(D458&gt;0,(((H458*E458)*C458)/D458),"")</f>
        <v>22.272727272727273</v>
      </c>
      <c r="J458" s="98"/>
      <c r="K458" s="103"/>
    </row>
    <row r="459" spans="1:11" x14ac:dyDescent="0.3">
      <c r="A459" s="4" t="s">
        <v>19</v>
      </c>
      <c r="B459" s="4" t="s">
        <v>210</v>
      </c>
      <c r="C459" s="58">
        <v>3</v>
      </c>
      <c r="D459" s="51">
        <v>6.6</v>
      </c>
      <c r="E459" s="51">
        <v>7</v>
      </c>
      <c r="F459" s="4" t="s">
        <v>71</v>
      </c>
      <c r="G459" s="4" t="s">
        <v>77</v>
      </c>
      <c r="H459" s="48">
        <f>IF(G459&gt;0,VLOOKUP(G459,Apoio!$H$2:$I$24,2,0),"")</f>
        <v>8</v>
      </c>
      <c r="I459" s="44">
        <f t="shared" si="34"/>
        <v>25.454545454545457</v>
      </c>
      <c r="J459" s="98"/>
      <c r="K459" s="103"/>
    </row>
    <row r="460" spans="1:11" x14ac:dyDescent="0.3">
      <c r="A460" s="4" t="s">
        <v>19</v>
      </c>
      <c r="B460" s="4" t="s">
        <v>210</v>
      </c>
      <c r="C460" s="58">
        <v>3</v>
      </c>
      <c r="D460" s="51">
        <v>6.6</v>
      </c>
      <c r="E460" s="51">
        <v>7</v>
      </c>
      <c r="F460" s="4" t="s">
        <v>71</v>
      </c>
      <c r="G460" s="4" t="s">
        <v>84</v>
      </c>
      <c r="H460" s="48">
        <f>IF(G460&gt;0,VLOOKUP(G460,Apoio!$H$2:$I$24,2,0),"")</f>
        <v>8</v>
      </c>
      <c r="I460" s="44">
        <f t="shared" si="34"/>
        <v>25.454545454545457</v>
      </c>
      <c r="J460" s="98"/>
      <c r="K460" s="103"/>
    </row>
    <row r="461" spans="1:11" x14ac:dyDescent="0.3">
      <c r="A461" s="4" t="s">
        <v>19</v>
      </c>
      <c r="B461" s="4" t="s">
        <v>210</v>
      </c>
      <c r="C461" s="58">
        <v>3</v>
      </c>
      <c r="D461" s="51">
        <v>6.6</v>
      </c>
      <c r="E461" s="51">
        <v>7</v>
      </c>
      <c r="F461" s="4" t="s">
        <v>71</v>
      </c>
      <c r="G461" s="4" t="s">
        <v>91</v>
      </c>
      <c r="H461" s="48">
        <f>IF(G461&gt;0,VLOOKUP(G461,Apoio!$H$2:$I$24,2,0),"")</f>
        <v>6</v>
      </c>
      <c r="I461" s="44">
        <f t="shared" si="34"/>
        <v>19.090909090909093</v>
      </c>
      <c r="J461" s="98"/>
      <c r="K461" s="103"/>
    </row>
    <row r="462" spans="1:11" x14ac:dyDescent="0.3">
      <c r="A462" s="4" t="s">
        <v>19</v>
      </c>
      <c r="B462" s="4" t="s">
        <v>210</v>
      </c>
      <c r="C462" s="58">
        <v>3</v>
      </c>
      <c r="D462" s="51">
        <v>6.6</v>
      </c>
      <c r="E462" s="51">
        <v>7</v>
      </c>
      <c r="F462" s="4" t="s">
        <v>71</v>
      </c>
      <c r="G462" s="4" t="s">
        <v>97</v>
      </c>
      <c r="H462" s="48">
        <f>IF(G462&gt;0,VLOOKUP(G462,Apoio!$H$2:$I$24,2,0),"")</f>
        <v>8</v>
      </c>
      <c r="I462" s="44">
        <f t="shared" si="34"/>
        <v>25.454545454545457</v>
      </c>
      <c r="J462" s="98"/>
      <c r="K462" s="103"/>
    </row>
    <row r="463" spans="1:11" x14ac:dyDescent="0.3">
      <c r="A463" s="4" t="s">
        <v>19</v>
      </c>
      <c r="B463" s="4" t="s">
        <v>210</v>
      </c>
      <c r="C463" s="58">
        <v>3</v>
      </c>
      <c r="D463" s="51">
        <v>6.6</v>
      </c>
      <c r="E463" s="51">
        <v>7</v>
      </c>
      <c r="F463" s="4" t="s">
        <v>71</v>
      </c>
      <c r="G463" s="4" t="s">
        <v>100</v>
      </c>
      <c r="H463" s="48">
        <f>IF(G463&gt;0,VLOOKUP(G463,Apoio!$H$2:$I$24,2,0),"")</f>
        <v>3</v>
      </c>
      <c r="I463" s="44">
        <f t="shared" si="34"/>
        <v>9.5454545454545467</v>
      </c>
      <c r="J463" s="98"/>
      <c r="K463" s="103"/>
    </row>
    <row r="464" spans="1:11" x14ac:dyDescent="0.3">
      <c r="A464" s="4" t="s">
        <v>19</v>
      </c>
      <c r="B464" s="4" t="s">
        <v>224</v>
      </c>
      <c r="C464" s="58">
        <v>7</v>
      </c>
      <c r="D464" s="51">
        <v>7.4</v>
      </c>
      <c r="E464" s="51">
        <v>7</v>
      </c>
      <c r="F464" s="4" t="s">
        <v>71</v>
      </c>
      <c r="G464" s="4" t="s">
        <v>70</v>
      </c>
      <c r="H464" s="48">
        <f>IF(G464&gt;0,VLOOKUP(G464,Apoio!$H$2:$I$24,2,0),"")</f>
        <v>7</v>
      </c>
      <c r="I464" s="44">
        <f t="shared" ref="I464:I469" si="35">IF(D464&gt;0,(((H464*E464)*C464)/D464),"")</f>
        <v>46.351351351351347</v>
      </c>
      <c r="J464" s="98"/>
      <c r="K464" s="103"/>
    </row>
    <row r="465" spans="1:11" x14ac:dyDescent="0.3">
      <c r="A465" s="4" t="s">
        <v>19</v>
      </c>
      <c r="B465" s="4" t="s">
        <v>224</v>
      </c>
      <c r="C465" s="58">
        <v>7</v>
      </c>
      <c r="D465" s="51">
        <v>7.4</v>
      </c>
      <c r="E465" s="51">
        <v>7</v>
      </c>
      <c r="F465" s="4" t="s">
        <v>71</v>
      </c>
      <c r="G465" s="4" t="s">
        <v>77</v>
      </c>
      <c r="H465" s="48">
        <f>IF(G465&gt;0,VLOOKUP(G465,Apoio!$H$2:$I$24,2,0),"")</f>
        <v>8</v>
      </c>
      <c r="I465" s="44">
        <f t="shared" si="35"/>
        <v>52.972972972972968</v>
      </c>
      <c r="J465" s="98"/>
      <c r="K465" s="103"/>
    </row>
    <row r="466" spans="1:11" x14ac:dyDescent="0.3">
      <c r="A466" s="4" t="s">
        <v>19</v>
      </c>
      <c r="B466" s="4" t="s">
        <v>224</v>
      </c>
      <c r="C466" s="58">
        <v>7</v>
      </c>
      <c r="D466" s="51">
        <v>7.4</v>
      </c>
      <c r="E466" s="51">
        <v>7</v>
      </c>
      <c r="F466" s="4" t="s">
        <v>71</v>
      </c>
      <c r="G466" s="4" t="s">
        <v>84</v>
      </c>
      <c r="H466" s="48">
        <f>IF(G466&gt;0,VLOOKUP(G466,Apoio!$H$2:$I$24,2,0),"")</f>
        <v>8</v>
      </c>
      <c r="I466" s="44">
        <f t="shared" si="35"/>
        <v>52.972972972972968</v>
      </c>
      <c r="J466" s="98"/>
      <c r="K466" s="103"/>
    </row>
    <row r="467" spans="1:11" x14ac:dyDescent="0.3">
      <c r="A467" s="4" t="s">
        <v>19</v>
      </c>
      <c r="B467" s="4" t="s">
        <v>224</v>
      </c>
      <c r="C467" s="58">
        <v>7.5</v>
      </c>
      <c r="D467" s="51">
        <v>7.4</v>
      </c>
      <c r="E467" s="51">
        <v>7</v>
      </c>
      <c r="F467" s="4" t="s">
        <v>71</v>
      </c>
      <c r="G467" s="4" t="s">
        <v>91</v>
      </c>
      <c r="H467" s="48">
        <f>IF(G467&gt;0,VLOOKUP(G467,Apoio!$H$2:$I$24,2,0),"")</f>
        <v>6</v>
      </c>
      <c r="I467" s="44">
        <f t="shared" si="35"/>
        <v>42.567567567567565</v>
      </c>
      <c r="J467" s="98"/>
      <c r="K467" s="103"/>
    </row>
    <row r="468" spans="1:11" x14ac:dyDescent="0.3">
      <c r="A468" s="4" t="s">
        <v>19</v>
      </c>
      <c r="B468" s="4" t="s">
        <v>224</v>
      </c>
      <c r="C468" s="58">
        <v>7.5</v>
      </c>
      <c r="D468" s="51">
        <v>7.4</v>
      </c>
      <c r="E468" s="51">
        <v>7</v>
      </c>
      <c r="F468" s="4" t="s">
        <v>71</v>
      </c>
      <c r="G468" s="4" t="s">
        <v>97</v>
      </c>
      <c r="H468" s="48">
        <f>IF(G468&gt;0,VLOOKUP(G468,Apoio!$H$2:$I$24,2,0),"")</f>
        <v>8</v>
      </c>
      <c r="I468" s="44">
        <f t="shared" si="35"/>
        <v>56.756756756756751</v>
      </c>
      <c r="J468" s="98"/>
      <c r="K468" s="103"/>
    </row>
    <row r="469" spans="1:11" x14ac:dyDescent="0.3">
      <c r="A469" s="4" t="s">
        <v>19</v>
      </c>
      <c r="B469" s="4" t="s">
        <v>224</v>
      </c>
      <c r="C469" s="58">
        <v>7.5</v>
      </c>
      <c r="D469" s="51">
        <v>7.4</v>
      </c>
      <c r="E469" s="51">
        <v>7</v>
      </c>
      <c r="F469" s="4" t="s">
        <v>71</v>
      </c>
      <c r="G469" s="4" t="s">
        <v>100</v>
      </c>
      <c r="H469" s="48">
        <f>IF(G469&gt;0,VLOOKUP(G469,Apoio!$H$2:$I$24,2,0),"")</f>
        <v>3</v>
      </c>
      <c r="I469" s="44">
        <f t="shared" si="35"/>
        <v>21.283783783783782</v>
      </c>
      <c r="J469" s="98"/>
      <c r="K469" s="103"/>
    </row>
    <row r="470" spans="1:11" x14ac:dyDescent="0.3">
      <c r="A470" s="4" t="s">
        <v>19</v>
      </c>
      <c r="B470" s="4" t="s">
        <v>224</v>
      </c>
      <c r="C470" s="59">
        <v>5.5</v>
      </c>
      <c r="D470" s="91">
        <v>10.1</v>
      </c>
      <c r="E470" s="51">
        <v>7</v>
      </c>
      <c r="F470" s="4" t="s">
        <v>78</v>
      </c>
      <c r="G470" s="4" t="s">
        <v>103</v>
      </c>
      <c r="H470" s="48">
        <f>IF(G470&gt;0,VLOOKUP(G470,Apoio!$H$2:$I$24,2,0),"")</f>
        <v>6</v>
      </c>
      <c r="I470" s="44">
        <f t="shared" ref="I470:I486" si="36">IF(D470&gt;0,(((H470*E470)*C470)/D470),"")</f>
        <v>22.871287128712872</v>
      </c>
      <c r="J470" s="98"/>
      <c r="K470" s="103"/>
    </row>
    <row r="471" spans="1:11" x14ac:dyDescent="0.3">
      <c r="A471" s="4" t="s">
        <v>19</v>
      </c>
      <c r="B471" s="4" t="s">
        <v>224</v>
      </c>
      <c r="C471" s="64">
        <v>3.5</v>
      </c>
      <c r="D471" s="92">
        <v>10.1</v>
      </c>
      <c r="E471" s="51">
        <v>7</v>
      </c>
      <c r="F471" s="4" t="s">
        <v>78</v>
      </c>
      <c r="G471" s="4" t="s">
        <v>106</v>
      </c>
      <c r="H471" s="48">
        <f>IF(G471&gt;0,VLOOKUP(G471,Apoio!$H$2:$I$24,2,0),"")</f>
        <v>7</v>
      </c>
      <c r="I471" s="44">
        <f t="shared" si="36"/>
        <v>16.980198019801982</v>
      </c>
      <c r="J471" s="98"/>
      <c r="K471" s="103"/>
    </row>
    <row r="472" spans="1:11" x14ac:dyDescent="0.3">
      <c r="A472" s="4" t="s">
        <v>19</v>
      </c>
      <c r="B472" s="4" t="s">
        <v>224</v>
      </c>
      <c r="C472" s="64">
        <v>4</v>
      </c>
      <c r="D472" s="92">
        <v>10.1</v>
      </c>
      <c r="E472" s="51">
        <v>7</v>
      </c>
      <c r="F472" s="4" t="s">
        <v>78</v>
      </c>
      <c r="G472" s="4" t="s">
        <v>109</v>
      </c>
      <c r="H472" s="48">
        <f>IF(G472&gt;0,VLOOKUP(G472,Apoio!$H$2:$I$24,2,0),"")</f>
        <v>8</v>
      </c>
      <c r="I472" s="44">
        <f t="shared" si="36"/>
        <v>22.17821782178218</v>
      </c>
      <c r="J472" s="98"/>
      <c r="K472" s="103"/>
    </row>
    <row r="473" spans="1:11" x14ac:dyDescent="0.3">
      <c r="A473" s="4" t="s">
        <v>19</v>
      </c>
      <c r="B473" s="4" t="s">
        <v>224</v>
      </c>
      <c r="C473" s="58">
        <v>4.5</v>
      </c>
      <c r="D473" s="51">
        <v>10.1</v>
      </c>
      <c r="E473" s="51">
        <v>7</v>
      </c>
      <c r="F473" s="4" t="s">
        <v>78</v>
      </c>
      <c r="G473" s="4" t="s">
        <v>112</v>
      </c>
      <c r="H473" s="48">
        <f>IF(G473&gt;0,VLOOKUP(G473,Apoio!$H$2:$I$24,2,0),"")</f>
        <v>8</v>
      </c>
      <c r="I473" s="44">
        <f t="shared" si="36"/>
        <v>24.950495049504951</v>
      </c>
      <c r="J473" s="98"/>
      <c r="K473" s="103"/>
    </row>
    <row r="474" spans="1:11" x14ac:dyDescent="0.3">
      <c r="A474" s="4" t="s">
        <v>19</v>
      </c>
      <c r="B474" s="4" t="s">
        <v>224</v>
      </c>
      <c r="C474" s="58">
        <v>5</v>
      </c>
      <c r="D474" s="51">
        <v>10.1</v>
      </c>
      <c r="E474" s="51">
        <v>7</v>
      </c>
      <c r="F474" s="4" t="s">
        <v>78</v>
      </c>
      <c r="G474" s="4" t="s">
        <v>115</v>
      </c>
      <c r="H474" s="48">
        <f>IF(G474&gt;0,VLOOKUP(G474,Apoio!$H$2:$I$24,2,0),"")</f>
        <v>7</v>
      </c>
      <c r="I474" s="44">
        <f t="shared" si="36"/>
        <v>24.257425742574259</v>
      </c>
      <c r="J474" s="98"/>
      <c r="K474" s="103"/>
    </row>
    <row r="475" spans="1:11" x14ac:dyDescent="0.3">
      <c r="A475" s="4" t="s">
        <v>19</v>
      </c>
      <c r="B475" s="4" t="s">
        <v>224</v>
      </c>
      <c r="C475" s="58">
        <v>5.5</v>
      </c>
      <c r="D475" s="51">
        <v>10.1</v>
      </c>
      <c r="E475" s="51">
        <v>7</v>
      </c>
      <c r="F475" s="4" t="s">
        <v>78</v>
      </c>
      <c r="G475" s="4" t="s">
        <v>118</v>
      </c>
      <c r="H475" s="48">
        <f>IF(G475&gt;0,VLOOKUP(G475,Apoio!$H$2:$I$24,2,0),"")</f>
        <v>3</v>
      </c>
      <c r="I475" s="44">
        <f t="shared" si="36"/>
        <v>11.435643564356436</v>
      </c>
      <c r="J475" s="98"/>
      <c r="K475" s="103"/>
    </row>
    <row r="476" spans="1:11" x14ac:dyDescent="0.3">
      <c r="A476" s="4" t="s">
        <v>19</v>
      </c>
      <c r="B476" s="4" t="s">
        <v>224</v>
      </c>
      <c r="C476" s="57">
        <v>5</v>
      </c>
      <c r="D476" s="57">
        <v>9.5</v>
      </c>
      <c r="E476" s="51">
        <v>7</v>
      </c>
      <c r="F476" s="4" t="s">
        <v>85</v>
      </c>
      <c r="G476" s="4" t="s">
        <v>121</v>
      </c>
      <c r="H476" s="48">
        <f>IF(G476&gt;0,VLOOKUP(G476,Apoio!$H$2:$I$24,2,0),"")</f>
        <v>7</v>
      </c>
      <c r="I476" s="44">
        <f t="shared" si="36"/>
        <v>25.789473684210527</v>
      </c>
      <c r="J476" s="98"/>
      <c r="K476" s="103"/>
    </row>
    <row r="477" spans="1:11" x14ac:dyDescent="0.3">
      <c r="A477" s="4" t="s">
        <v>19</v>
      </c>
      <c r="B477" s="4" t="s">
        <v>224</v>
      </c>
      <c r="C477" s="57">
        <v>5</v>
      </c>
      <c r="D477" s="57">
        <v>9.5</v>
      </c>
      <c r="E477" s="51">
        <v>7</v>
      </c>
      <c r="F477" s="4" t="s">
        <v>85</v>
      </c>
      <c r="G477" s="4" t="s">
        <v>124</v>
      </c>
      <c r="H477" s="48">
        <f>IF(G477&gt;0,VLOOKUP(G477,Apoio!$H$2:$I$24,2,0),"")</f>
        <v>8</v>
      </c>
      <c r="I477" s="44">
        <f t="shared" si="36"/>
        <v>29.473684210526315</v>
      </c>
      <c r="J477" s="98"/>
      <c r="K477" s="103"/>
    </row>
    <row r="478" spans="1:11" x14ac:dyDescent="0.3">
      <c r="A478" s="4" t="s">
        <v>19</v>
      </c>
      <c r="B478" s="4" t="s">
        <v>224</v>
      </c>
      <c r="C478" s="57">
        <v>5</v>
      </c>
      <c r="D478" s="57">
        <v>9.5</v>
      </c>
      <c r="E478" s="51">
        <v>7</v>
      </c>
      <c r="F478" s="4" t="s">
        <v>85</v>
      </c>
      <c r="G478" s="4" t="s">
        <v>127</v>
      </c>
      <c r="H478" s="48">
        <f>IF(G478&gt;0,VLOOKUP(G478,Apoio!$H$2:$I$24,2,0),"")</f>
        <v>8</v>
      </c>
      <c r="I478" s="44">
        <f t="shared" si="36"/>
        <v>29.473684210526315</v>
      </c>
      <c r="J478" s="98"/>
      <c r="K478" s="103"/>
    </row>
    <row r="479" spans="1:11" x14ac:dyDescent="0.3">
      <c r="A479" s="4" t="s">
        <v>19</v>
      </c>
      <c r="B479" s="4" t="s">
        <v>224</v>
      </c>
      <c r="C479" s="57">
        <v>4.6660000000000004</v>
      </c>
      <c r="D479" s="57">
        <v>9.5</v>
      </c>
      <c r="E479" s="51">
        <v>7</v>
      </c>
      <c r="F479" s="4" t="s">
        <v>85</v>
      </c>
      <c r="G479" s="4" t="s">
        <v>130</v>
      </c>
      <c r="H479" s="48">
        <f>IF(G479&gt;0,VLOOKUP(G479,Apoio!$H$2:$I$24,2,0),"")</f>
        <v>13</v>
      </c>
      <c r="I479" s="44">
        <f t="shared" si="36"/>
        <v>44.695368421052635</v>
      </c>
      <c r="J479" s="98"/>
      <c r="K479" s="103"/>
    </row>
    <row r="480" spans="1:11" x14ac:dyDescent="0.3">
      <c r="A480" s="4" t="s">
        <v>19</v>
      </c>
      <c r="B480" s="4" t="s">
        <v>224</v>
      </c>
      <c r="C480" s="57">
        <v>4</v>
      </c>
      <c r="D480" s="57">
        <v>9.5</v>
      </c>
      <c r="E480" s="51">
        <v>7</v>
      </c>
      <c r="F480" s="4" t="s">
        <v>85</v>
      </c>
      <c r="G480" s="4" t="s">
        <v>133</v>
      </c>
      <c r="H480" s="48">
        <f>IF(G480&gt;0,VLOOKUP(G480,Apoio!$H$2:$I$24,2,0),"")</f>
        <v>3</v>
      </c>
      <c r="I480" s="44">
        <f t="shared" si="36"/>
        <v>8.8421052631578956</v>
      </c>
      <c r="J480" s="98"/>
      <c r="K480" s="103"/>
    </row>
    <row r="481" spans="1:11" x14ac:dyDescent="0.3">
      <c r="A481" s="4" t="s">
        <v>19</v>
      </c>
      <c r="B481" s="4" t="s">
        <v>224</v>
      </c>
      <c r="C481" s="58">
        <v>5</v>
      </c>
      <c r="D481" s="51">
        <v>9.5</v>
      </c>
      <c r="E481" s="51">
        <v>7</v>
      </c>
      <c r="F481" s="4" t="s">
        <v>92</v>
      </c>
      <c r="G481" s="4" t="s">
        <v>136</v>
      </c>
      <c r="H481" s="48">
        <f>IF(G481&gt;0,VLOOKUP(G481,Apoio!$H$2:$I$24,2,0),"")</f>
        <v>13</v>
      </c>
      <c r="I481" s="44">
        <f t="shared" si="36"/>
        <v>47.89473684210526</v>
      </c>
      <c r="J481" s="98"/>
      <c r="K481" s="103"/>
    </row>
    <row r="482" spans="1:11" x14ac:dyDescent="0.3">
      <c r="A482" s="4" t="s">
        <v>19</v>
      </c>
      <c r="B482" s="4" t="s">
        <v>224</v>
      </c>
      <c r="C482" s="58">
        <v>5</v>
      </c>
      <c r="D482" s="51">
        <v>9.5</v>
      </c>
      <c r="E482" s="51">
        <v>7</v>
      </c>
      <c r="F482" s="4" t="s">
        <v>92</v>
      </c>
      <c r="G482" s="4" t="s">
        <v>139</v>
      </c>
      <c r="H482" s="48">
        <f>IF(G482&gt;0,VLOOKUP(G482,Apoio!$H$2:$I$24,2,0),"")</f>
        <v>8</v>
      </c>
      <c r="I482" s="44">
        <f t="shared" si="36"/>
        <v>29.473684210526315</v>
      </c>
      <c r="J482" s="98"/>
      <c r="K482" s="103"/>
    </row>
    <row r="483" spans="1:11" x14ac:dyDescent="0.3">
      <c r="A483" s="4" t="s">
        <v>19</v>
      </c>
      <c r="B483" s="4" t="s">
        <v>224</v>
      </c>
      <c r="C483" s="58">
        <v>5</v>
      </c>
      <c r="D483" s="51">
        <v>9.5</v>
      </c>
      <c r="E483" s="51">
        <v>7</v>
      </c>
      <c r="F483" s="4" t="s">
        <v>92</v>
      </c>
      <c r="G483" s="4" t="s">
        <v>142</v>
      </c>
      <c r="H483" s="48">
        <f>IF(G483&gt;0,VLOOKUP(G483,Apoio!$H$2:$I$24,2,0),"")</f>
        <v>8</v>
      </c>
      <c r="I483" s="44">
        <f t="shared" si="36"/>
        <v>29.473684210526315</v>
      </c>
      <c r="J483" s="98"/>
      <c r="K483" s="103"/>
    </row>
    <row r="484" spans="1:11" x14ac:dyDescent="0.3">
      <c r="A484" s="4" t="s">
        <v>19</v>
      </c>
      <c r="B484" s="4" t="s">
        <v>224</v>
      </c>
      <c r="C484" s="58">
        <v>5</v>
      </c>
      <c r="D484" s="51">
        <v>9.5</v>
      </c>
      <c r="E484" s="51">
        <v>7</v>
      </c>
      <c r="F484" s="4" t="s">
        <v>92</v>
      </c>
      <c r="G484" s="4" t="s">
        <v>145</v>
      </c>
      <c r="H484" s="48">
        <f>IF(G484&gt;0,VLOOKUP(G484,Apoio!$H$2:$I$24,2,0),"")</f>
        <v>7</v>
      </c>
      <c r="I484" s="44">
        <f t="shared" si="36"/>
        <v>25.789473684210527</v>
      </c>
      <c r="J484" s="98"/>
      <c r="K484" s="103"/>
    </row>
    <row r="485" spans="1:11" x14ac:dyDescent="0.3">
      <c r="A485" s="4" t="s">
        <v>19</v>
      </c>
      <c r="B485" s="4" t="s">
        <v>224</v>
      </c>
      <c r="C485" s="58">
        <v>5</v>
      </c>
      <c r="D485" s="51">
        <v>9.5</v>
      </c>
      <c r="E485" s="51">
        <v>7</v>
      </c>
      <c r="F485" s="4" t="s">
        <v>92</v>
      </c>
      <c r="G485" s="4" t="s">
        <v>148</v>
      </c>
      <c r="H485" s="48">
        <f>IF(G485&gt;0,VLOOKUP(G485,Apoio!$H$2:$I$24,2,0),"")</f>
        <v>8</v>
      </c>
      <c r="I485" s="44">
        <f t="shared" si="36"/>
        <v>29.473684210526315</v>
      </c>
      <c r="J485" s="98"/>
      <c r="K485" s="103"/>
    </row>
    <row r="486" spans="1:11" x14ac:dyDescent="0.3">
      <c r="A486" s="4" t="s">
        <v>19</v>
      </c>
      <c r="B486" s="4" t="s">
        <v>224</v>
      </c>
      <c r="C486" s="58">
        <v>5</v>
      </c>
      <c r="D486" s="51">
        <v>9.5</v>
      </c>
      <c r="E486" s="51">
        <v>7</v>
      </c>
      <c r="F486" s="4" t="s">
        <v>92</v>
      </c>
      <c r="G486" s="4" t="s">
        <v>151</v>
      </c>
      <c r="H486" s="48">
        <f>IF(G486&gt;0,VLOOKUP(G486,Apoio!$H$2:$I$24,2,0),"")</f>
        <v>8</v>
      </c>
      <c r="I486" s="44">
        <f t="shared" si="36"/>
        <v>29.473684210526315</v>
      </c>
      <c r="J486" s="98"/>
      <c r="K486" s="103"/>
    </row>
    <row r="487" spans="1:11" x14ac:dyDescent="0.3">
      <c r="A487" s="4" t="s">
        <v>19</v>
      </c>
      <c r="B487" s="4" t="s">
        <v>21</v>
      </c>
      <c r="C487" s="58">
        <v>7.6</v>
      </c>
      <c r="D487" s="56">
        <v>6.6</v>
      </c>
      <c r="E487" s="51">
        <v>7</v>
      </c>
      <c r="F487" s="4" t="s">
        <v>71</v>
      </c>
      <c r="G487" s="4" t="s">
        <v>70</v>
      </c>
      <c r="H487" s="48">
        <f>IF(G487&gt;0,VLOOKUP(G487,Apoio!$H$2:$I$24,2,0),"")</f>
        <v>7</v>
      </c>
      <c r="I487" s="44">
        <f t="shared" ref="I487:I518" si="37">IF(D487&gt;0,(((H487*E487)*C487)/D487),"")</f>
        <v>56.424242424242422</v>
      </c>
      <c r="J487" s="98"/>
      <c r="K487" s="103"/>
    </row>
    <row r="488" spans="1:11" x14ac:dyDescent="0.3">
      <c r="A488" s="4" t="s">
        <v>19</v>
      </c>
      <c r="B488" s="4" t="s">
        <v>21</v>
      </c>
      <c r="C488" s="58">
        <v>7</v>
      </c>
      <c r="D488" s="56">
        <v>6.6</v>
      </c>
      <c r="E488" s="51">
        <v>7</v>
      </c>
      <c r="F488" s="4" t="s">
        <v>71</v>
      </c>
      <c r="G488" s="4" t="s">
        <v>77</v>
      </c>
      <c r="H488" s="48">
        <f>IF(G488&gt;0,VLOOKUP(G488,Apoio!$H$2:$I$24,2,0),"")</f>
        <v>8</v>
      </c>
      <c r="I488" s="44">
        <f t="shared" si="37"/>
        <v>59.393939393939398</v>
      </c>
      <c r="J488" s="98"/>
      <c r="K488" s="103"/>
    </row>
    <row r="489" spans="1:11" x14ac:dyDescent="0.3">
      <c r="A489" s="4" t="s">
        <v>19</v>
      </c>
      <c r="B489" s="4" t="s">
        <v>21</v>
      </c>
      <c r="C489" s="58">
        <v>7</v>
      </c>
      <c r="D489" s="56">
        <v>6.6</v>
      </c>
      <c r="E489" s="51">
        <v>7</v>
      </c>
      <c r="F489" s="4" t="s">
        <v>71</v>
      </c>
      <c r="G489" s="4" t="s">
        <v>84</v>
      </c>
      <c r="H489" s="48">
        <f>IF(G489&gt;0,VLOOKUP(G489,Apoio!$H$2:$I$24,2,0),"")</f>
        <v>8</v>
      </c>
      <c r="I489" s="44">
        <f t="shared" si="37"/>
        <v>59.393939393939398</v>
      </c>
      <c r="J489" s="98"/>
      <c r="K489" s="103"/>
    </row>
    <row r="490" spans="1:11" x14ac:dyDescent="0.3">
      <c r="A490" s="4" t="s">
        <v>19</v>
      </c>
      <c r="B490" s="4" t="s">
        <v>21</v>
      </c>
      <c r="C490" s="58">
        <v>6</v>
      </c>
      <c r="D490" s="56">
        <v>6.6</v>
      </c>
      <c r="E490" s="51">
        <v>7</v>
      </c>
      <c r="F490" s="4" t="s">
        <v>71</v>
      </c>
      <c r="G490" s="4" t="s">
        <v>91</v>
      </c>
      <c r="H490" s="48">
        <f>IF(G490&gt;0,VLOOKUP(G490,Apoio!$H$2:$I$24,2,0),"")</f>
        <v>6</v>
      </c>
      <c r="I490" s="44">
        <f t="shared" si="37"/>
        <v>38.181818181818187</v>
      </c>
      <c r="J490" s="98"/>
      <c r="K490" s="103"/>
    </row>
    <row r="491" spans="1:11" x14ac:dyDescent="0.3">
      <c r="A491" s="4" t="s">
        <v>19</v>
      </c>
      <c r="B491" s="4" t="s">
        <v>21</v>
      </c>
      <c r="C491" s="58">
        <v>7</v>
      </c>
      <c r="D491" s="56">
        <v>6.6</v>
      </c>
      <c r="E491" s="51">
        <v>7</v>
      </c>
      <c r="F491" s="4" t="s">
        <v>71</v>
      </c>
      <c r="G491" s="4" t="s">
        <v>97</v>
      </c>
      <c r="H491" s="48">
        <f>IF(G491&gt;0,VLOOKUP(G491,Apoio!$H$2:$I$24,2,0),"")</f>
        <v>8</v>
      </c>
      <c r="I491" s="44">
        <f t="shared" si="37"/>
        <v>59.393939393939398</v>
      </c>
      <c r="J491" s="98"/>
      <c r="K491" s="103"/>
    </row>
    <row r="492" spans="1:11" x14ac:dyDescent="0.3">
      <c r="A492" s="4" t="s">
        <v>19</v>
      </c>
      <c r="B492" s="4" t="s">
        <v>21</v>
      </c>
      <c r="C492" s="58">
        <v>7</v>
      </c>
      <c r="D492" s="56">
        <v>6.6</v>
      </c>
      <c r="E492" s="51">
        <v>7</v>
      </c>
      <c r="F492" s="4" t="s">
        <v>71</v>
      </c>
      <c r="G492" s="4" t="s">
        <v>100</v>
      </c>
      <c r="H492" s="48">
        <f>IF(G492&gt;0,VLOOKUP(G492,Apoio!$H$2:$I$24,2,0),"")</f>
        <v>3</v>
      </c>
      <c r="I492" s="44">
        <f t="shared" si="37"/>
        <v>22.272727272727273</v>
      </c>
      <c r="J492" s="98"/>
      <c r="K492" s="103"/>
    </row>
    <row r="493" spans="1:11" x14ac:dyDescent="0.3">
      <c r="A493" s="4" t="s">
        <v>19</v>
      </c>
      <c r="B493" s="4" t="s">
        <v>21</v>
      </c>
      <c r="C493" s="58">
        <v>6</v>
      </c>
      <c r="D493" s="51">
        <v>6.9</v>
      </c>
      <c r="E493" s="51">
        <v>7</v>
      </c>
      <c r="F493" s="4" t="s">
        <v>78</v>
      </c>
      <c r="G493" s="4" t="s">
        <v>103</v>
      </c>
      <c r="H493" s="48">
        <f>IF(G493&gt;0,VLOOKUP(G493,Apoio!$H$2:$I$24,2,0),"")</f>
        <v>6</v>
      </c>
      <c r="I493" s="44">
        <f t="shared" si="37"/>
        <v>36.521739130434781</v>
      </c>
      <c r="J493" s="98"/>
      <c r="K493" s="103"/>
    </row>
    <row r="494" spans="1:11" x14ac:dyDescent="0.3">
      <c r="A494" s="4" t="s">
        <v>19</v>
      </c>
      <c r="B494" s="4" t="s">
        <v>21</v>
      </c>
      <c r="C494" s="58">
        <v>6</v>
      </c>
      <c r="D494" s="51">
        <v>6.9</v>
      </c>
      <c r="E494" s="51">
        <v>7</v>
      </c>
      <c r="F494" s="4" t="s">
        <v>78</v>
      </c>
      <c r="G494" s="4" t="s">
        <v>106</v>
      </c>
      <c r="H494" s="48">
        <f>IF(G494&gt;0,VLOOKUP(G494,Apoio!$H$2:$I$24,2,0),"")</f>
        <v>7</v>
      </c>
      <c r="I494" s="44">
        <f t="shared" si="37"/>
        <v>42.608695652173914</v>
      </c>
      <c r="J494" s="98"/>
      <c r="K494" s="103"/>
    </row>
    <row r="495" spans="1:11" x14ac:dyDescent="0.3">
      <c r="A495" s="4" t="s">
        <v>19</v>
      </c>
      <c r="B495" s="4" t="s">
        <v>21</v>
      </c>
      <c r="C495" s="58">
        <v>6</v>
      </c>
      <c r="D495" s="51">
        <v>6.9</v>
      </c>
      <c r="E495" s="51">
        <v>7</v>
      </c>
      <c r="F495" s="4" t="s">
        <v>78</v>
      </c>
      <c r="G495" s="4" t="s">
        <v>109</v>
      </c>
      <c r="H495" s="48">
        <f>IF(G495&gt;0,VLOOKUP(G495,Apoio!$H$2:$I$24,2,0),"")</f>
        <v>8</v>
      </c>
      <c r="I495" s="44">
        <f t="shared" si="37"/>
        <v>48.695652173913039</v>
      </c>
      <c r="J495" s="98"/>
      <c r="K495" s="103"/>
    </row>
    <row r="496" spans="1:11" x14ac:dyDescent="0.3">
      <c r="A496" s="4" t="s">
        <v>19</v>
      </c>
      <c r="B496" s="4" t="s">
        <v>21</v>
      </c>
      <c r="C496" s="58">
        <v>6</v>
      </c>
      <c r="D496" s="51">
        <v>6.9</v>
      </c>
      <c r="E496" s="51">
        <v>7</v>
      </c>
      <c r="F496" s="4" t="s">
        <v>78</v>
      </c>
      <c r="G496" s="4" t="s">
        <v>112</v>
      </c>
      <c r="H496" s="48">
        <f>IF(G496&gt;0,VLOOKUP(G496,Apoio!$H$2:$I$24,2,0),"")</f>
        <v>8</v>
      </c>
      <c r="I496" s="44">
        <f t="shared" si="37"/>
        <v>48.695652173913039</v>
      </c>
      <c r="J496" s="98"/>
      <c r="K496" s="103"/>
    </row>
    <row r="497" spans="1:11" x14ac:dyDescent="0.3">
      <c r="A497" s="4" t="s">
        <v>19</v>
      </c>
      <c r="B497" s="4" t="s">
        <v>21</v>
      </c>
      <c r="C497" s="58">
        <v>6</v>
      </c>
      <c r="D497" s="51">
        <v>6.9</v>
      </c>
      <c r="E497" s="51">
        <v>7</v>
      </c>
      <c r="F497" s="4" t="s">
        <v>78</v>
      </c>
      <c r="G497" s="4" t="s">
        <v>115</v>
      </c>
      <c r="H497" s="48">
        <v>6</v>
      </c>
      <c r="I497" s="44">
        <f t="shared" si="37"/>
        <v>36.521739130434781</v>
      </c>
      <c r="J497" s="98"/>
      <c r="K497" s="103"/>
    </row>
    <row r="498" spans="1:11" x14ac:dyDescent="0.3">
      <c r="A498" s="4" t="s">
        <v>19</v>
      </c>
      <c r="B498" s="4" t="s">
        <v>21</v>
      </c>
      <c r="C498" s="58">
        <v>6</v>
      </c>
      <c r="D498" s="51">
        <v>6.9</v>
      </c>
      <c r="E498" s="51">
        <v>7</v>
      </c>
      <c r="F498" s="4" t="s">
        <v>78</v>
      </c>
      <c r="G498" s="4" t="s">
        <v>118</v>
      </c>
      <c r="H498" s="48">
        <f>IF(G498&gt;0,VLOOKUP(G498,Apoio!$H$2:$I$24,2,0),"")</f>
        <v>3</v>
      </c>
      <c r="I498" s="44">
        <f t="shared" si="37"/>
        <v>18.260869565217391</v>
      </c>
      <c r="J498" s="98"/>
      <c r="K498" s="103"/>
    </row>
    <row r="499" spans="1:11" x14ac:dyDescent="0.3">
      <c r="A499" s="4" t="s">
        <v>19</v>
      </c>
      <c r="B499" s="4" t="s">
        <v>21</v>
      </c>
      <c r="C499" s="57">
        <v>6</v>
      </c>
      <c r="D499" s="57">
        <v>6.5</v>
      </c>
      <c r="E499" s="51">
        <v>7</v>
      </c>
      <c r="F499" s="4" t="s">
        <v>85</v>
      </c>
      <c r="G499" s="4" t="s">
        <v>121</v>
      </c>
      <c r="H499" s="48">
        <f>IF(G499&gt;0,VLOOKUP(G499,Apoio!$H$2:$I$24,2,0),"")</f>
        <v>7</v>
      </c>
      <c r="I499" s="44">
        <f t="shared" si="37"/>
        <v>45.230769230769234</v>
      </c>
      <c r="J499" s="98"/>
      <c r="K499" s="103"/>
    </row>
    <row r="500" spans="1:11" x14ac:dyDescent="0.3">
      <c r="A500" s="4" t="s">
        <v>19</v>
      </c>
      <c r="B500" s="4" t="s">
        <v>21</v>
      </c>
      <c r="C500" s="57">
        <v>5</v>
      </c>
      <c r="D500" s="57">
        <v>6.5</v>
      </c>
      <c r="E500" s="51">
        <v>7</v>
      </c>
      <c r="F500" s="4" t="s">
        <v>85</v>
      </c>
      <c r="G500" s="4" t="s">
        <v>124</v>
      </c>
      <c r="H500" s="48">
        <f>IF(G500&gt;0,VLOOKUP(G500,Apoio!$H$2:$I$24,2,0),"")</f>
        <v>8</v>
      </c>
      <c r="I500" s="44">
        <f t="shared" si="37"/>
        <v>43.07692307692308</v>
      </c>
      <c r="J500" s="98"/>
      <c r="K500" s="103"/>
    </row>
    <row r="501" spans="1:11" x14ac:dyDescent="0.3">
      <c r="A501" s="4" t="s">
        <v>19</v>
      </c>
      <c r="B501" s="4" t="s">
        <v>21</v>
      </c>
      <c r="C501" s="57">
        <v>7</v>
      </c>
      <c r="D501" s="57">
        <v>6.5</v>
      </c>
      <c r="E501" s="51">
        <v>7</v>
      </c>
      <c r="F501" s="4" t="s">
        <v>85</v>
      </c>
      <c r="G501" s="4" t="s">
        <v>127</v>
      </c>
      <c r="H501" s="48">
        <f>IF(G501&gt;0,VLOOKUP(G501,Apoio!$H$2:$I$24,2,0),"")</f>
        <v>8</v>
      </c>
      <c r="I501" s="44">
        <f t="shared" si="37"/>
        <v>60.307692307692307</v>
      </c>
      <c r="J501" s="98"/>
      <c r="K501" s="103"/>
    </row>
    <row r="502" spans="1:11" x14ac:dyDescent="0.3">
      <c r="A502" s="4" t="s">
        <v>19</v>
      </c>
      <c r="B502" s="4" t="s">
        <v>21</v>
      </c>
      <c r="C502" s="57">
        <v>7</v>
      </c>
      <c r="D502" s="57">
        <v>6.5</v>
      </c>
      <c r="E502" s="51">
        <v>7</v>
      </c>
      <c r="F502" s="4" t="s">
        <v>85</v>
      </c>
      <c r="G502" s="4" t="s">
        <v>130</v>
      </c>
      <c r="H502" s="48">
        <f>IF(G502&gt;0,VLOOKUP(G502,Apoio!$H$2:$I$24,2,0),"")</f>
        <v>13</v>
      </c>
      <c r="I502" s="44">
        <f t="shared" si="37"/>
        <v>98</v>
      </c>
      <c r="J502" s="98"/>
      <c r="K502" s="103"/>
    </row>
    <row r="503" spans="1:11" x14ac:dyDescent="0.3">
      <c r="A503" s="4" t="s">
        <v>19</v>
      </c>
      <c r="B503" s="4" t="s">
        <v>21</v>
      </c>
      <c r="C503" s="57">
        <v>7</v>
      </c>
      <c r="D503" s="57">
        <v>6.5</v>
      </c>
      <c r="E503" s="51">
        <v>7</v>
      </c>
      <c r="F503" s="4" t="s">
        <v>85</v>
      </c>
      <c r="G503" s="4" t="s">
        <v>133</v>
      </c>
      <c r="H503" s="48">
        <f>IF(G503&gt;0,VLOOKUP(G503,Apoio!$H$2:$I$24,2,0),"")</f>
        <v>3</v>
      </c>
      <c r="I503" s="44">
        <f t="shared" si="37"/>
        <v>22.615384615384617</v>
      </c>
      <c r="J503" s="98"/>
      <c r="K503" s="103"/>
    </row>
    <row r="504" spans="1:11" x14ac:dyDescent="0.3">
      <c r="A504" s="4" t="s">
        <v>19</v>
      </c>
      <c r="B504" s="4" t="s">
        <v>21</v>
      </c>
      <c r="C504" s="58">
        <v>7</v>
      </c>
      <c r="D504" s="51">
        <v>6.5</v>
      </c>
      <c r="E504" s="51">
        <v>7</v>
      </c>
      <c r="F504" s="4" t="s">
        <v>92</v>
      </c>
      <c r="G504" s="4" t="s">
        <v>136</v>
      </c>
      <c r="H504" s="48">
        <f>IF(G504&gt;0,VLOOKUP(G504,Apoio!$H$2:$I$24,2,0),"")</f>
        <v>13</v>
      </c>
      <c r="I504" s="44">
        <f t="shared" si="37"/>
        <v>98</v>
      </c>
      <c r="J504" s="98"/>
      <c r="K504" s="103"/>
    </row>
    <row r="505" spans="1:11" x14ac:dyDescent="0.3">
      <c r="A505" s="4" t="s">
        <v>19</v>
      </c>
      <c r="B505" s="4" t="s">
        <v>21</v>
      </c>
      <c r="C505" s="58">
        <v>7</v>
      </c>
      <c r="D505" s="51">
        <v>6.5</v>
      </c>
      <c r="E505" s="51">
        <v>7</v>
      </c>
      <c r="F505" s="4" t="s">
        <v>92</v>
      </c>
      <c r="G505" s="4" t="s">
        <v>139</v>
      </c>
      <c r="H505" s="48">
        <f>IF(G505&gt;0,VLOOKUP(G505,Apoio!$H$2:$I$24,2,0),"")</f>
        <v>8</v>
      </c>
      <c r="I505" s="44">
        <f t="shared" si="37"/>
        <v>60.307692307692307</v>
      </c>
      <c r="J505" s="98"/>
      <c r="K505" s="103"/>
    </row>
    <row r="506" spans="1:11" x14ac:dyDescent="0.3">
      <c r="A506" s="4" t="s">
        <v>19</v>
      </c>
      <c r="B506" s="4" t="s">
        <v>21</v>
      </c>
      <c r="C506" s="58">
        <v>7</v>
      </c>
      <c r="D506" s="51">
        <v>6.5</v>
      </c>
      <c r="E506" s="51">
        <v>7</v>
      </c>
      <c r="F506" s="4" t="s">
        <v>92</v>
      </c>
      <c r="G506" s="4" t="s">
        <v>142</v>
      </c>
      <c r="H506" s="48">
        <f>IF(G506&gt;0,VLOOKUP(G506,Apoio!$H$2:$I$24,2,0),"")</f>
        <v>8</v>
      </c>
      <c r="I506" s="44">
        <f t="shared" si="37"/>
        <v>60.307692307692307</v>
      </c>
      <c r="J506" s="98"/>
      <c r="K506" s="103"/>
    </row>
    <row r="507" spans="1:11" x14ac:dyDescent="0.3">
      <c r="A507" s="4" t="s">
        <v>19</v>
      </c>
      <c r="B507" s="4" t="s">
        <v>21</v>
      </c>
      <c r="C507" s="58">
        <v>7</v>
      </c>
      <c r="D507" s="51">
        <v>6.5</v>
      </c>
      <c r="E507" s="51">
        <v>7</v>
      </c>
      <c r="F507" s="4" t="s">
        <v>92</v>
      </c>
      <c r="G507" s="4" t="s">
        <v>145</v>
      </c>
      <c r="H507" s="48">
        <f>IF(G507&gt;0,VLOOKUP(G507,Apoio!$H$2:$I$24,2,0),"")</f>
        <v>7</v>
      </c>
      <c r="I507" s="44">
        <f t="shared" si="37"/>
        <v>52.769230769230766</v>
      </c>
      <c r="J507" s="98"/>
      <c r="K507" s="103"/>
    </row>
    <row r="508" spans="1:11" x14ac:dyDescent="0.3">
      <c r="A508" s="4" t="s">
        <v>19</v>
      </c>
      <c r="B508" s="4" t="s">
        <v>21</v>
      </c>
      <c r="C508" s="58">
        <v>7</v>
      </c>
      <c r="D508" s="51">
        <v>6.5</v>
      </c>
      <c r="E508" s="51">
        <v>7</v>
      </c>
      <c r="F508" s="4" t="s">
        <v>92</v>
      </c>
      <c r="G508" s="4" t="s">
        <v>148</v>
      </c>
      <c r="H508" s="48">
        <f>IF(G508&gt;0,VLOOKUP(G508,Apoio!$H$2:$I$24,2,0),"")</f>
        <v>8</v>
      </c>
      <c r="I508" s="44">
        <f t="shared" si="37"/>
        <v>60.307692307692307</v>
      </c>
      <c r="J508" s="98"/>
      <c r="K508" s="103"/>
    </row>
    <row r="509" spans="1:11" x14ac:dyDescent="0.3">
      <c r="A509" s="4" t="s">
        <v>19</v>
      </c>
      <c r="B509" s="4" t="s">
        <v>21</v>
      </c>
      <c r="C509" s="58">
        <v>7</v>
      </c>
      <c r="D509" s="51">
        <v>6.5</v>
      </c>
      <c r="E509" s="51">
        <v>7</v>
      </c>
      <c r="F509" s="4" t="s">
        <v>92</v>
      </c>
      <c r="G509" s="4" t="s">
        <v>151</v>
      </c>
      <c r="H509" s="48">
        <f>IF(G509&gt;0,VLOOKUP(G509,Apoio!$H$2:$I$24,2,0),"")</f>
        <v>8</v>
      </c>
      <c r="I509" s="44">
        <f t="shared" si="37"/>
        <v>60.307692307692307</v>
      </c>
      <c r="J509" s="98"/>
      <c r="K509" s="103"/>
    </row>
    <row r="510" spans="1:11" x14ac:dyDescent="0.3">
      <c r="A510" s="4" t="s">
        <v>19</v>
      </c>
      <c r="B510" s="4" t="s">
        <v>22</v>
      </c>
      <c r="C510" s="57">
        <v>6</v>
      </c>
      <c r="D510" s="57">
        <v>9.6999999999999993</v>
      </c>
      <c r="E510" s="51">
        <v>7</v>
      </c>
      <c r="F510" s="4" t="s">
        <v>71</v>
      </c>
      <c r="G510" s="4" t="s">
        <v>70</v>
      </c>
      <c r="H510" s="48">
        <f>IF(G510&gt;0,VLOOKUP(G510,Apoio!$H$2:$I$24,2,0),"")</f>
        <v>7</v>
      </c>
      <c r="I510" s="44">
        <f t="shared" si="37"/>
        <v>30.309278350515466</v>
      </c>
      <c r="J510" s="98"/>
      <c r="K510" s="103"/>
    </row>
    <row r="511" spans="1:11" x14ac:dyDescent="0.3">
      <c r="A511" s="4" t="s">
        <v>19</v>
      </c>
      <c r="B511" s="4" t="s">
        <v>22</v>
      </c>
      <c r="C511" s="57">
        <v>6</v>
      </c>
      <c r="D511" s="57">
        <v>9.6999999999999993</v>
      </c>
      <c r="E511" s="51">
        <v>7</v>
      </c>
      <c r="F511" s="4" t="s">
        <v>71</v>
      </c>
      <c r="G511" s="4" t="s">
        <v>77</v>
      </c>
      <c r="H511" s="48">
        <f>IF(G511&gt;0,VLOOKUP(G511,Apoio!$H$2:$I$24,2,0),"")</f>
        <v>8</v>
      </c>
      <c r="I511" s="44">
        <f t="shared" si="37"/>
        <v>34.639175257731964</v>
      </c>
      <c r="J511" s="98"/>
      <c r="K511" s="103"/>
    </row>
    <row r="512" spans="1:11" x14ac:dyDescent="0.3">
      <c r="A512" s="4" t="s">
        <v>19</v>
      </c>
      <c r="B512" s="4" t="s">
        <v>22</v>
      </c>
      <c r="C512" s="57">
        <v>6</v>
      </c>
      <c r="D512" s="57">
        <v>9.6999999999999993</v>
      </c>
      <c r="E512" s="51">
        <v>7</v>
      </c>
      <c r="F512" s="4" t="s">
        <v>71</v>
      </c>
      <c r="G512" s="4" t="s">
        <v>84</v>
      </c>
      <c r="H512" s="48">
        <f>IF(G512&gt;0,VLOOKUP(G512,Apoio!$H$2:$I$24,2,0),"")</f>
        <v>8</v>
      </c>
      <c r="I512" s="44">
        <f t="shared" si="37"/>
        <v>34.639175257731964</v>
      </c>
      <c r="J512" s="98"/>
      <c r="K512" s="103"/>
    </row>
    <row r="513" spans="1:11" x14ac:dyDescent="0.3">
      <c r="A513" s="4" t="s">
        <v>19</v>
      </c>
      <c r="B513" s="4" t="s">
        <v>22</v>
      </c>
      <c r="C513" s="57">
        <v>5.5</v>
      </c>
      <c r="D513" s="57">
        <v>9.6999999999999993</v>
      </c>
      <c r="E513" s="51">
        <v>7</v>
      </c>
      <c r="F513" s="4" t="s">
        <v>71</v>
      </c>
      <c r="G513" s="4" t="s">
        <v>91</v>
      </c>
      <c r="H513" s="48">
        <f>IF(G513&gt;0,VLOOKUP(G513,Apoio!$H$2:$I$24,2,0),"")</f>
        <v>6</v>
      </c>
      <c r="I513" s="44">
        <f t="shared" si="37"/>
        <v>23.814432989690722</v>
      </c>
      <c r="J513" s="98"/>
      <c r="K513" s="103"/>
    </row>
    <row r="514" spans="1:11" x14ac:dyDescent="0.3">
      <c r="A514" s="4" t="s">
        <v>19</v>
      </c>
      <c r="B514" s="4" t="s">
        <v>22</v>
      </c>
      <c r="C514" s="57">
        <v>8</v>
      </c>
      <c r="D514" s="57">
        <v>9.6999999999999993</v>
      </c>
      <c r="E514" s="51">
        <v>7</v>
      </c>
      <c r="F514" s="4" t="s">
        <v>71</v>
      </c>
      <c r="G514" s="4" t="s">
        <v>97</v>
      </c>
      <c r="H514" s="48">
        <f>IF(G514&gt;0,VLOOKUP(G514,Apoio!$H$2:$I$24,2,0),"")</f>
        <v>8</v>
      </c>
      <c r="I514" s="44">
        <f t="shared" si="37"/>
        <v>46.185567010309285</v>
      </c>
      <c r="J514" s="98"/>
      <c r="K514" s="103"/>
    </row>
    <row r="515" spans="1:11" x14ac:dyDescent="0.3">
      <c r="A515" s="4" t="s">
        <v>19</v>
      </c>
      <c r="B515" s="4" t="s">
        <v>22</v>
      </c>
      <c r="C515" s="57">
        <v>9</v>
      </c>
      <c r="D515" s="57">
        <v>9.6999999999999993</v>
      </c>
      <c r="E515" s="51">
        <v>7</v>
      </c>
      <c r="F515" s="4" t="s">
        <v>71</v>
      </c>
      <c r="G515" s="4" t="s">
        <v>100</v>
      </c>
      <c r="H515" s="48">
        <f>IF(G515&gt;0,VLOOKUP(G515,Apoio!$H$2:$I$24,2,0),"")</f>
        <v>3</v>
      </c>
      <c r="I515" s="44">
        <f t="shared" si="37"/>
        <v>19.484536082474229</v>
      </c>
      <c r="J515" s="98"/>
      <c r="K515" s="103"/>
    </row>
    <row r="516" spans="1:11" x14ac:dyDescent="0.3">
      <c r="A516" s="4" t="s">
        <v>19</v>
      </c>
      <c r="B516" s="4" t="s">
        <v>22</v>
      </c>
      <c r="C516" s="57">
        <v>5</v>
      </c>
      <c r="D516" s="57">
        <v>9.3000000000000007</v>
      </c>
      <c r="E516" s="51">
        <v>7</v>
      </c>
      <c r="F516" s="4" t="s">
        <v>78</v>
      </c>
      <c r="G516" s="4" t="s">
        <v>103</v>
      </c>
      <c r="H516" s="48">
        <f>IF(G516&gt;0,VLOOKUP(G516,Apoio!$H$2:$I$24,2,0),"")</f>
        <v>6</v>
      </c>
      <c r="I516" s="44">
        <f t="shared" si="37"/>
        <v>22.58064516129032</v>
      </c>
      <c r="J516" s="98"/>
      <c r="K516" s="103"/>
    </row>
    <row r="517" spans="1:11" x14ac:dyDescent="0.3">
      <c r="A517" s="4" t="s">
        <v>19</v>
      </c>
      <c r="B517" s="4" t="s">
        <v>22</v>
      </c>
      <c r="C517" s="57">
        <v>5</v>
      </c>
      <c r="D517" s="57">
        <v>9.3000000000000007</v>
      </c>
      <c r="E517" s="51">
        <v>7</v>
      </c>
      <c r="F517" s="4" t="s">
        <v>78</v>
      </c>
      <c r="G517" s="4" t="s">
        <v>106</v>
      </c>
      <c r="H517" s="48">
        <f>IF(G517&gt;0,VLOOKUP(G517,Apoio!$H$2:$I$24,2,0),"")</f>
        <v>7</v>
      </c>
      <c r="I517" s="44">
        <f t="shared" si="37"/>
        <v>26.344086021505376</v>
      </c>
      <c r="J517" s="98"/>
      <c r="K517" s="103"/>
    </row>
    <row r="518" spans="1:11" x14ac:dyDescent="0.3">
      <c r="A518" s="4" t="s">
        <v>19</v>
      </c>
      <c r="B518" s="4" t="s">
        <v>22</v>
      </c>
      <c r="C518" s="57">
        <v>4.5</v>
      </c>
      <c r="D518" s="57">
        <v>9.3000000000000007</v>
      </c>
      <c r="E518" s="51">
        <v>7</v>
      </c>
      <c r="F518" s="4" t="s">
        <v>78</v>
      </c>
      <c r="G518" s="4" t="s">
        <v>109</v>
      </c>
      <c r="H518" s="48">
        <f>IF(G518&gt;0,VLOOKUP(G518,Apoio!$H$2:$I$24,2,0),"")</f>
        <v>8</v>
      </c>
      <c r="I518" s="44">
        <f t="shared" si="37"/>
        <v>27.096774193548384</v>
      </c>
      <c r="J518" s="98"/>
      <c r="K518" s="103"/>
    </row>
    <row r="519" spans="1:11" x14ac:dyDescent="0.3">
      <c r="A519" s="4" t="s">
        <v>19</v>
      </c>
      <c r="B519" s="4" t="s">
        <v>22</v>
      </c>
      <c r="C519" s="57">
        <v>4.4000000000000004</v>
      </c>
      <c r="D519" s="57">
        <v>9.3000000000000007</v>
      </c>
      <c r="E519" s="51">
        <v>7</v>
      </c>
      <c r="F519" s="4" t="s">
        <v>78</v>
      </c>
      <c r="G519" s="4" t="s">
        <v>112</v>
      </c>
      <c r="H519" s="48">
        <f>IF(G519&gt;0,VLOOKUP(G519,Apoio!$H$2:$I$24,2,0),"")</f>
        <v>8</v>
      </c>
      <c r="I519" s="44">
        <f t="shared" ref="I519:I532" si="38">IF(D519&gt;0,(((H519*E519)*C519)/D519),"")</f>
        <v>26.49462365591398</v>
      </c>
      <c r="J519" s="98"/>
      <c r="K519" s="103"/>
    </row>
    <row r="520" spans="1:11" x14ac:dyDescent="0.3">
      <c r="A520" s="4" t="s">
        <v>19</v>
      </c>
      <c r="B520" s="4" t="s">
        <v>22</v>
      </c>
      <c r="C520" s="57">
        <v>5</v>
      </c>
      <c r="D520" s="57">
        <v>9.3000000000000007</v>
      </c>
      <c r="E520" s="51">
        <v>7</v>
      </c>
      <c r="F520" s="4" t="s">
        <v>78</v>
      </c>
      <c r="G520" s="4" t="s">
        <v>115</v>
      </c>
      <c r="H520" s="48">
        <v>6</v>
      </c>
      <c r="I520" s="44">
        <f t="shared" si="38"/>
        <v>22.58064516129032</v>
      </c>
      <c r="J520" s="98"/>
      <c r="K520" s="103"/>
    </row>
    <row r="521" spans="1:11" x14ac:dyDescent="0.3">
      <c r="A521" s="4" t="s">
        <v>19</v>
      </c>
      <c r="B521" s="4" t="s">
        <v>22</v>
      </c>
      <c r="C521" s="57">
        <v>5</v>
      </c>
      <c r="D521" s="57">
        <v>9.3000000000000007</v>
      </c>
      <c r="E521" s="51">
        <v>7</v>
      </c>
      <c r="F521" s="4" t="s">
        <v>78</v>
      </c>
      <c r="G521" s="4" t="s">
        <v>118</v>
      </c>
      <c r="H521" s="48">
        <f>IF(G521&gt;0,VLOOKUP(G521,Apoio!$H$2:$I$24,2,0),"")</f>
        <v>3</v>
      </c>
      <c r="I521" s="44">
        <f t="shared" si="38"/>
        <v>11.29032258064516</v>
      </c>
      <c r="J521" s="98"/>
      <c r="K521" s="103"/>
    </row>
    <row r="522" spans="1:11" x14ac:dyDescent="0.3">
      <c r="A522" s="4" t="s">
        <v>19</v>
      </c>
      <c r="B522" s="4" t="s">
        <v>22</v>
      </c>
      <c r="C522" s="57">
        <v>5</v>
      </c>
      <c r="D522" s="57">
        <v>7.2</v>
      </c>
      <c r="E522" s="51">
        <v>7</v>
      </c>
      <c r="F522" s="4" t="s">
        <v>85</v>
      </c>
      <c r="G522" s="4" t="s">
        <v>121</v>
      </c>
      <c r="H522" s="48">
        <f>IF(G522&gt;0,VLOOKUP(G522,Apoio!$H$2:$I$24,2,0),"")</f>
        <v>7</v>
      </c>
      <c r="I522" s="44">
        <f t="shared" si="38"/>
        <v>34.027777777777779</v>
      </c>
      <c r="J522" s="98"/>
      <c r="K522" s="103"/>
    </row>
    <row r="523" spans="1:11" x14ac:dyDescent="0.3">
      <c r="A523" s="4" t="s">
        <v>19</v>
      </c>
      <c r="B523" s="4" t="s">
        <v>22</v>
      </c>
      <c r="C523" s="57">
        <v>5.5</v>
      </c>
      <c r="D523" s="57">
        <v>7.2</v>
      </c>
      <c r="E523" s="51">
        <v>7</v>
      </c>
      <c r="F523" s="4" t="s">
        <v>85</v>
      </c>
      <c r="G523" s="4" t="s">
        <v>124</v>
      </c>
      <c r="H523" s="48">
        <f>IF(G523&gt;0,VLOOKUP(G523,Apoio!$H$2:$I$24,2,0),"")</f>
        <v>8</v>
      </c>
      <c r="I523" s="44">
        <f t="shared" si="38"/>
        <v>42.777777777777779</v>
      </c>
      <c r="J523" s="98"/>
      <c r="K523" s="103"/>
    </row>
    <row r="524" spans="1:11" x14ac:dyDescent="0.3">
      <c r="A524" s="4" t="s">
        <v>19</v>
      </c>
      <c r="B524" s="4" t="s">
        <v>22</v>
      </c>
      <c r="C524" s="57">
        <v>6</v>
      </c>
      <c r="D524" s="57">
        <v>7.2</v>
      </c>
      <c r="E524" s="51">
        <v>7</v>
      </c>
      <c r="F524" s="4" t="s">
        <v>85</v>
      </c>
      <c r="G524" s="4" t="s">
        <v>127</v>
      </c>
      <c r="H524" s="48">
        <f>IF(G524&gt;0,VLOOKUP(G524,Apoio!$H$2:$I$24,2,0),"")</f>
        <v>8</v>
      </c>
      <c r="I524" s="44">
        <f t="shared" si="38"/>
        <v>46.666666666666664</v>
      </c>
      <c r="J524" s="98"/>
      <c r="K524" s="103"/>
    </row>
    <row r="525" spans="1:11" x14ac:dyDescent="0.3">
      <c r="A525" s="4" t="s">
        <v>19</v>
      </c>
      <c r="B525" s="4" t="s">
        <v>22</v>
      </c>
      <c r="C525" s="57">
        <v>5.6920000000000002</v>
      </c>
      <c r="D525" s="57">
        <v>7.2</v>
      </c>
      <c r="E525" s="51">
        <v>7</v>
      </c>
      <c r="F525" s="4" t="s">
        <v>85</v>
      </c>
      <c r="G525" s="4" t="s">
        <v>130</v>
      </c>
      <c r="H525" s="48">
        <f>IF(G525&gt;0,VLOOKUP(G525,Apoio!$H$2:$I$24,2,0),"")</f>
        <v>13</v>
      </c>
      <c r="I525" s="44">
        <f t="shared" si="38"/>
        <v>71.940555555555548</v>
      </c>
      <c r="J525" s="98"/>
      <c r="K525" s="103"/>
    </row>
    <row r="526" spans="1:11" x14ac:dyDescent="0.3">
      <c r="A526" s="4" t="s">
        <v>19</v>
      </c>
      <c r="B526" s="4" t="s">
        <v>22</v>
      </c>
      <c r="C526" s="57">
        <v>6</v>
      </c>
      <c r="D526" s="57">
        <v>7.2</v>
      </c>
      <c r="E526" s="51">
        <v>7</v>
      </c>
      <c r="F526" s="4" t="s">
        <v>85</v>
      </c>
      <c r="G526" s="4" t="s">
        <v>133</v>
      </c>
      <c r="H526" s="48">
        <f>IF(G526&gt;0,VLOOKUP(G526,Apoio!$H$2:$I$24,2,0),"")</f>
        <v>3</v>
      </c>
      <c r="I526" s="44">
        <f t="shared" si="38"/>
        <v>17.5</v>
      </c>
      <c r="J526" s="98"/>
      <c r="K526" s="103"/>
    </row>
    <row r="527" spans="1:11" x14ac:dyDescent="0.3">
      <c r="A527" s="4" t="s">
        <v>19</v>
      </c>
      <c r="B527" s="4" t="s">
        <v>22</v>
      </c>
      <c r="C527" s="57">
        <v>7</v>
      </c>
      <c r="D527" s="57">
        <v>7.2</v>
      </c>
      <c r="E527" s="51">
        <v>7</v>
      </c>
      <c r="F527" s="4" t="s">
        <v>92</v>
      </c>
      <c r="G527" s="4" t="s">
        <v>136</v>
      </c>
      <c r="H527" s="48">
        <f>IF(G527&gt;0,VLOOKUP(G527,Apoio!$H$2:$I$24,2,0),"")</f>
        <v>13</v>
      </c>
      <c r="I527" s="44">
        <f t="shared" si="38"/>
        <v>88.472222222222214</v>
      </c>
      <c r="J527" s="98"/>
      <c r="K527" s="103"/>
    </row>
    <row r="528" spans="1:11" x14ac:dyDescent="0.3">
      <c r="A528" s="4" t="s">
        <v>19</v>
      </c>
      <c r="B528" s="4" t="s">
        <v>22</v>
      </c>
      <c r="C528" s="57">
        <v>7</v>
      </c>
      <c r="D528" s="57">
        <v>7.2</v>
      </c>
      <c r="E528" s="51">
        <v>7</v>
      </c>
      <c r="F528" s="4" t="s">
        <v>92</v>
      </c>
      <c r="G528" s="4" t="s">
        <v>139</v>
      </c>
      <c r="H528" s="48">
        <f>IF(G528&gt;0,VLOOKUP(G528,Apoio!$H$2:$I$24,2,0),"")</f>
        <v>8</v>
      </c>
      <c r="I528" s="44">
        <f t="shared" si="38"/>
        <v>54.444444444444443</v>
      </c>
      <c r="J528" s="98"/>
      <c r="K528" s="103"/>
    </row>
    <row r="529" spans="1:11" x14ac:dyDescent="0.3">
      <c r="A529" s="4" t="s">
        <v>19</v>
      </c>
      <c r="B529" s="4" t="s">
        <v>22</v>
      </c>
      <c r="C529" s="57">
        <v>7</v>
      </c>
      <c r="D529" s="57">
        <v>7.2</v>
      </c>
      <c r="E529" s="51">
        <v>7</v>
      </c>
      <c r="F529" s="4" t="s">
        <v>92</v>
      </c>
      <c r="G529" s="4" t="s">
        <v>142</v>
      </c>
      <c r="H529" s="48">
        <f>IF(G529&gt;0,VLOOKUP(G529,Apoio!$H$2:$I$24,2,0),"")</f>
        <v>8</v>
      </c>
      <c r="I529" s="44">
        <f t="shared" si="38"/>
        <v>54.444444444444443</v>
      </c>
      <c r="J529" s="98"/>
      <c r="K529" s="103"/>
    </row>
    <row r="530" spans="1:11" x14ac:dyDescent="0.3">
      <c r="A530" s="4" t="s">
        <v>19</v>
      </c>
      <c r="B530" s="4" t="s">
        <v>22</v>
      </c>
      <c r="C530" s="57">
        <v>7</v>
      </c>
      <c r="D530" s="57">
        <v>7.2</v>
      </c>
      <c r="E530" s="51">
        <v>7</v>
      </c>
      <c r="F530" s="4" t="s">
        <v>92</v>
      </c>
      <c r="G530" s="4" t="s">
        <v>145</v>
      </c>
      <c r="H530" s="48">
        <f>IF(G530&gt;0,VLOOKUP(G530,Apoio!$H$2:$I$24,2,0),"")</f>
        <v>7</v>
      </c>
      <c r="I530" s="44">
        <f t="shared" si="38"/>
        <v>47.638888888888886</v>
      </c>
      <c r="J530" s="98"/>
      <c r="K530" s="103"/>
    </row>
    <row r="531" spans="1:11" x14ac:dyDescent="0.3">
      <c r="A531" s="4" t="s">
        <v>19</v>
      </c>
      <c r="B531" s="4" t="s">
        <v>22</v>
      </c>
      <c r="C531" s="57">
        <v>7</v>
      </c>
      <c r="D531" s="57">
        <v>7.2</v>
      </c>
      <c r="E531" s="51">
        <v>7</v>
      </c>
      <c r="F531" s="4" t="s">
        <v>92</v>
      </c>
      <c r="G531" s="4" t="s">
        <v>148</v>
      </c>
      <c r="H531" s="48">
        <f>IF(G531&gt;0,VLOOKUP(G531,Apoio!$H$2:$I$24,2,0),"")</f>
        <v>8</v>
      </c>
      <c r="I531" s="44">
        <f t="shared" si="38"/>
        <v>54.444444444444443</v>
      </c>
      <c r="J531" s="98"/>
      <c r="K531" s="103"/>
    </row>
    <row r="532" spans="1:11" x14ac:dyDescent="0.3">
      <c r="A532" s="4" t="s">
        <v>19</v>
      </c>
      <c r="B532" s="4" t="s">
        <v>22</v>
      </c>
      <c r="C532" s="57">
        <v>7</v>
      </c>
      <c r="D532" s="57">
        <v>7.2</v>
      </c>
      <c r="E532" s="51">
        <v>7</v>
      </c>
      <c r="F532" s="4" t="s">
        <v>92</v>
      </c>
      <c r="G532" s="4" t="s">
        <v>151</v>
      </c>
      <c r="H532" s="48">
        <f>IF(G532&gt;0,VLOOKUP(G532,Apoio!$H$2:$I$24,2,0),"")</f>
        <v>8</v>
      </c>
      <c r="I532" s="44">
        <f t="shared" si="38"/>
        <v>54.444444444444443</v>
      </c>
      <c r="J532" s="98"/>
      <c r="K532" s="103"/>
    </row>
    <row r="533" spans="1:11" x14ac:dyDescent="0.3">
      <c r="A533" s="4" t="s">
        <v>19</v>
      </c>
      <c r="B533" s="4" t="s">
        <v>23</v>
      </c>
      <c r="C533" s="58">
        <v>4</v>
      </c>
      <c r="D533" s="51">
        <v>5.6</v>
      </c>
      <c r="E533" s="51">
        <v>7</v>
      </c>
      <c r="F533" s="4" t="s">
        <v>71</v>
      </c>
      <c r="G533" s="4" t="s">
        <v>70</v>
      </c>
      <c r="H533" s="48">
        <f>IF(G533&gt;0,VLOOKUP(G533,Apoio!$H$2:$I$24,2,0),"")</f>
        <v>7</v>
      </c>
      <c r="I533" s="44">
        <f t="shared" ref="I533:I541" si="39">IF(D533&gt;0,(((H533*E533)*C533)/D533),"")</f>
        <v>35</v>
      </c>
      <c r="J533" s="98"/>
      <c r="K533" s="103"/>
    </row>
    <row r="534" spans="1:11" x14ac:dyDescent="0.3">
      <c r="A534" s="4" t="s">
        <v>19</v>
      </c>
      <c r="B534" s="4" t="s">
        <v>23</v>
      </c>
      <c r="C534" s="58">
        <v>4</v>
      </c>
      <c r="D534" s="51">
        <v>5.6</v>
      </c>
      <c r="E534" s="51">
        <v>7</v>
      </c>
      <c r="F534" s="4" t="s">
        <v>71</v>
      </c>
      <c r="G534" s="4" t="s">
        <v>77</v>
      </c>
      <c r="H534" s="48">
        <f>IF(G534&gt;0,VLOOKUP(G534,Apoio!$H$2:$I$24,2,0),"")</f>
        <v>8</v>
      </c>
      <c r="I534" s="44">
        <f t="shared" si="39"/>
        <v>40</v>
      </c>
      <c r="J534" s="98"/>
      <c r="K534" s="103"/>
    </row>
    <row r="535" spans="1:11" x14ac:dyDescent="0.3">
      <c r="A535" s="4" t="s">
        <v>19</v>
      </c>
      <c r="B535" s="4" t="s">
        <v>23</v>
      </c>
      <c r="C535" s="58">
        <v>5</v>
      </c>
      <c r="D535" s="51">
        <v>5.6</v>
      </c>
      <c r="E535" s="51">
        <v>7</v>
      </c>
      <c r="F535" s="4" t="s">
        <v>71</v>
      </c>
      <c r="G535" s="4" t="s">
        <v>84</v>
      </c>
      <c r="H535" s="48">
        <f>IF(G535&gt;0,VLOOKUP(G535,Apoio!$H$2:$I$24,2,0),"")</f>
        <v>8</v>
      </c>
      <c r="I535" s="44">
        <f t="shared" si="39"/>
        <v>50</v>
      </c>
      <c r="J535" s="98"/>
      <c r="K535" s="103"/>
    </row>
    <row r="536" spans="1:11" x14ac:dyDescent="0.3">
      <c r="A536" s="4" t="s">
        <v>19</v>
      </c>
      <c r="B536" s="4" t="s">
        <v>23</v>
      </c>
      <c r="C536" s="58">
        <v>5</v>
      </c>
      <c r="D536" s="51">
        <v>5.6</v>
      </c>
      <c r="E536" s="51">
        <v>7</v>
      </c>
      <c r="F536" s="4" t="s">
        <v>71</v>
      </c>
      <c r="G536" s="4" t="s">
        <v>91</v>
      </c>
      <c r="H536" s="48">
        <f>IF(G536&gt;0,VLOOKUP(G536,Apoio!$H$2:$I$24,2,0),"")</f>
        <v>6</v>
      </c>
      <c r="I536" s="44">
        <f t="shared" si="39"/>
        <v>37.5</v>
      </c>
      <c r="J536" s="98"/>
      <c r="K536" s="103"/>
    </row>
    <row r="537" spans="1:11" x14ac:dyDescent="0.3">
      <c r="A537" s="4" t="s">
        <v>19</v>
      </c>
      <c r="B537" s="4" t="s">
        <v>23</v>
      </c>
      <c r="C537" s="58">
        <v>5</v>
      </c>
      <c r="D537" s="51">
        <v>5.6</v>
      </c>
      <c r="E537" s="51">
        <v>7</v>
      </c>
      <c r="F537" s="4" t="s">
        <v>71</v>
      </c>
      <c r="G537" s="4" t="s">
        <v>97</v>
      </c>
      <c r="H537" s="48">
        <f>IF(G537&gt;0,VLOOKUP(G537,Apoio!$H$2:$I$24,2,0),"")</f>
        <v>8</v>
      </c>
      <c r="I537" s="44">
        <f t="shared" si="39"/>
        <v>50</v>
      </c>
      <c r="J537" s="98"/>
      <c r="K537" s="103"/>
    </row>
    <row r="538" spans="1:11" x14ac:dyDescent="0.3">
      <c r="A538" s="4" t="s">
        <v>19</v>
      </c>
      <c r="B538" s="4" t="s">
        <v>23</v>
      </c>
      <c r="C538" s="58">
        <v>5</v>
      </c>
      <c r="D538" s="51">
        <v>5.6</v>
      </c>
      <c r="E538" s="51">
        <v>7</v>
      </c>
      <c r="F538" s="4" t="s">
        <v>71</v>
      </c>
      <c r="G538" s="4" t="s">
        <v>100</v>
      </c>
      <c r="H538" s="48">
        <f>IF(G538&gt;0,VLOOKUP(G538,Apoio!$H$2:$I$24,2,0),"")</f>
        <v>3</v>
      </c>
      <c r="I538" s="44">
        <f t="shared" si="39"/>
        <v>18.75</v>
      </c>
      <c r="J538" s="98"/>
      <c r="K538" s="103"/>
    </row>
    <row r="539" spans="1:11" x14ac:dyDescent="0.3">
      <c r="A539" s="4" t="s">
        <v>19</v>
      </c>
      <c r="B539" s="4" t="s">
        <v>23</v>
      </c>
      <c r="C539" s="58">
        <v>2.9</v>
      </c>
      <c r="D539" s="51">
        <v>5.6</v>
      </c>
      <c r="E539" s="51">
        <v>7</v>
      </c>
      <c r="F539" s="4" t="s">
        <v>78</v>
      </c>
      <c r="G539" s="4" t="s">
        <v>103</v>
      </c>
      <c r="H539" s="48">
        <f>IF(G539&gt;0,VLOOKUP(G539,Apoio!$H$2:$I$24,2,0),"")</f>
        <v>6</v>
      </c>
      <c r="I539" s="44">
        <f t="shared" si="39"/>
        <v>21.75</v>
      </c>
      <c r="J539" s="98"/>
      <c r="K539" s="103"/>
    </row>
    <row r="540" spans="1:11" x14ac:dyDescent="0.3">
      <c r="A540" s="4" t="s">
        <v>19</v>
      </c>
      <c r="B540" s="4" t="s">
        <v>23</v>
      </c>
      <c r="C540" s="58">
        <v>4</v>
      </c>
      <c r="D540" s="51">
        <v>5.6</v>
      </c>
      <c r="E540" s="51">
        <v>7</v>
      </c>
      <c r="F540" s="4" t="s">
        <v>78</v>
      </c>
      <c r="G540" s="4" t="s">
        <v>106</v>
      </c>
      <c r="H540" s="48">
        <f>IF(G540&gt;0,VLOOKUP(G540,Apoio!$H$2:$I$24,2,0),"")</f>
        <v>7</v>
      </c>
      <c r="I540" s="44">
        <f t="shared" si="39"/>
        <v>35</v>
      </c>
      <c r="J540" s="98"/>
      <c r="K540" s="103"/>
    </row>
    <row r="541" spans="1:11" x14ac:dyDescent="0.3">
      <c r="A541" s="4" t="s">
        <v>19</v>
      </c>
      <c r="B541" s="4" t="s">
        <v>23</v>
      </c>
      <c r="C541" s="58">
        <v>4.0999999999999996</v>
      </c>
      <c r="D541" s="51">
        <v>5.6</v>
      </c>
      <c r="E541" s="51">
        <v>7</v>
      </c>
      <c r="F541" s="4" t="s">
        <v>78</v>
      </c>
      <c r="G541" s="4" t="s">
        <v>109</v>
      </c>
      <c r="H541" s="48">
        <f>IF(G541&gt;0,VLOOKUP(G541,Apoio!$H$2:$I$24,2,0),"")</f>
        <v>8</v>
      </c>
      <c r="I541" s="44">
        <f t="shared" si="39"/>
        <v>41</v>
      </c>
      <c r="J541" s="98"/>
      <c r="K541" s="103"/>
    </row>
    <row r="542" spans="1:11" x14ac:dyDescent="0.3">
      <c r="A542" s="4" t="s">
        <v>19</v>
      </c>
      <c r="B542" s="4" t="s">
        <v>23</v>
      </c>
      <c r="C542" s="58">
        <v>5.9</v>
      </c>
      <c r="D542" s="51">
        <v>5.6</v>
      </c>
      <c r="E542" s="51">
        <v>7</v>
      </c>
      <c r="F542" s="4" t="s">
        <v>78</v>
      </c>
      <c r="G542" s="4" t="s">
        <v>112</v>
      </c>
      <c r="H542" s="48">
        <f>IF(G542&gt;0,VLOOKUP(G542,Apoio!$H$2:$I$24,2,0),"")</f>
        <v>8</v>
      </c>
      <c r="I542" s="44">
        <f t="shared" ref="I542:I561" si="40">IF(D542&gt;0,(((H542*E542)*C542)/D542),"")</f>
        <v>59.000000000000007</v>
      </c>
      <c r="J542" s="98"/>
      <c r="K542" s="103"/>
    </row>
    <row r="543" spans="1:11" x14ac:dyDescent="0.3">
      <c r="A543" s="4" t="s">
        <v>19</v>
      </c>
      <c r="B543" s="4" t="s">
        <v>23</v>
      </c>
      <c r="C543" s="58">
        <v>5.6</v>
      </c>
      <c r="D543" s="51">
        <v>5.6</v>
      </c>
      <c r="E543" s="51">
        <v>7</v>
      </c>
      <c r="F543" s="4" t="s">
        <v>78</v>
      </c>
      <c r="G543" s="4" t="s">
        <v>115</v>
      </c>
      <c r="H543" s="48">
        <f>IF(G543&gt;0,VLOOKUP(G543,Apoio!$H$2:$I$24,2,0),"")</f>
        <v>7</v>
      </c>
      <c r="I543" s="44">
        <f t="shared" si="40"/>
        <v>49</v>
      </c>
      <c r="J543" s="98"/>
      <c r="K543" s="103"/>
    </row>
    <row r="544" spans="1:11" x14ac:dyDescent="0.3">
      <c r="A544" s="4" t="s">
        <v>19</v>
      </c>
      <c r="B544" s="4" t="s">
        <v>23</v>
      </c>
      <c r="C544" s="58">
        <v>5</v>
      </c>
      <c r="D544" s="51">
        <v>5.6</v>
      </c>
      <c r="E544" s="51">
        <v>7</v>
      </c>
      <c r="F544" s="4" t="s">
        <v>78</v>
      </c>
      <c r="G544" s="4" t="s">
        <v>118</v>
      </c>
      <c r="H544" s="48">
        <f>IF(G544&gt;0,VLOOKUP(G544,Apoio!$H$2:$I$24,2,0),"")</f>
        <v>3</v>
      </c>
      <c r="I544" s="44">
        <f t="shared" si="40"/>
        <v>18.75</v>
      </c>
      <c r="J544" s="98"/>
      <c r="K544" s="103"/>
    </row>
    <row r="545" spans="1:11" x14ac:dyDescent="0.3">
      <c r="A545" s="4" t="s">
        <v>19</v>
      </c>
      <c r="B545" s="4" t="s">
        <v>23</v>
      </c>
      <c r="C545" s="57">
        <v>3.6</v>
      </c>
      <c r="D545" s="57">
        <v>6.8</v>
      </c>
      <c r="E545" s="51">
        <v>7</v>
      </c>
      <c r="F545" s="4" t="s">
        <v>85</v>
      </c>
      <c r="G545" s="4" t="s">
        <v>121</v>
      </c>
      <c r="H545" s="48">
        <f>IF(G545&gt;0,VLOOKUP(G545,Apoio!$H$2:$I$24,2,0),"")</f>
        <v>7</v>
      </c>
      <c r="I545" s="44">
        <f t="shared" si="40"/>
        <v>25.941176470588236</v>
      </c>
      <c r="J545" s="98"/>
      <c r="K545" s="103"/>
    </row>
    <row r="546" spans="1:11" x14ac:dyDescent="0.3">
      <c r="A546" s="4" t="s">
        <v>19</v>
      </c>
      <c r="B546" s="4" t="s">
        <v>23</v>
      </c>
      <c r="C546" s="57">
        <v>4.5</v>
      </c>
      <c r="D546" s="57">
        <v>6.8</v>
      </c>
      <c r="E546" s="51">
        <v>7</v>
      </c>
      <c r="F546" s="4" t="s">
        <v>85</v>
      </c>
      <c r="G546" s="4" t="s">
        <v>124</v>
      </c>
      <c r="H546" s="48">
        <f>IF(G546&gt;0,VLOOKUP(G546,Apoio!$H$2:$I$24,2,0),"")</f>
        <v>8</v>
      </c>
      <c r="I546" s="44">
        <f t="shared" si="40"/>
        <v>37.058823529411768</v>
      </c>
      <c r="J546" s="98"/>
      <c r="K546" s="103"/>
    </row>
    <row r="547" spans="1:11" x14ac:dyDescent="0.3">
      <c r="A547" s="67" t="s">
        <v>19</v>
      </c>
      <c r="B547" s="4" t="s">
        <v>23</v>
      </c>
      <c r="C547" s="57">
        <v>5.9</v>
      </c>
      <c r="D547" s="57">
        <v>6.8</v>
      </c>
      <c r="E547" s="51">
        <v>7</v>
      </c>
      <c r="F547" s="4" t="s">
        <v>85</v>
      </c>
      <c r="G547" s="4" t="s">
        <v>127</v>
      </c>
      <c r="H547" s="48">
        <f>IF(G547&gt;0,VLOOKUP(G547,Apoio!$H$2:$I$24,2,0),"")</f>
        <v>8</v>
      </c>
      <c r="I547" s="44">
        <f t="shared" si="40"/>
        <v>48.588235294117652</v>
      </c>
      <c r="J547" s="98"/>
      <c r="K547" s="103"/>
    </row>
    <row r="548" spans="1:11" x14ac:dyDescent="0.3">
      <c r="A548" s="67" t="s">
        <v>19</v>
      </c>
      <c r="B548" s="4" t="s">
        <v>23</v>
      </c>
      <c r="C548" s="57">
        <v>6</v>
      </c>
      <c r="D548" s="57">
        <v>6.8</v>
      </c>
      <c r="E548" s="51">
        <v>7</v>
      </c>
      <c r="F548" s="4" t="s">
        <v>85</v>
      </c>
      <c r="G548" s="4" t="s">
        <v>130</v>
      </c>
      <c r="H548" s="48">
        <f>IF(G548&gt;0,VLOOKUP(G548,Apoio!$H$2:$I$24,2,0),"")</f>
        <v>13</v>
      </c>
      <c r="I548" s="44">
        <f t="shared" si="40"/>
        <v>80.294117647058826</v>
      </c>
      <c r="J548" s="98"/>
      <c r="K548" s="103"/>
    </row>
    <row r="549" spans="1:11" x14ac:dyDescent="0.3">
      <c r="A549" s="67" t="s">
        <v>19</v>
      </c>
      <c r="B549" s="4" t="s">
        <v>23</v>
      </c>
      <c r="C549" s="57">
        <v>6</v>
      </c>
      <c r="D549" s="57">
        <v>6.8</v>
      </c>
      <c r="E549" s="51">
        <v>7</v>
      </c>
      <c r="F549" s="4" t="s">
        <v>85</v>
      </c>
      <c r="G549" s="4" t="s">
        <v>133</v>
      </c>
      <c r="H549" s="48">
        <f>IF(G549&gt;0,VLOOKUP(G549,Apoio!$H$2:$I$24,2,0),"")</f>
        <v>3</v>
      </c>
      <c r="I549" s="44">
        <f t="shared" si="40"/>
        <v>18.529411764705884</v>
      </c>
      <c r="J549" s="98"/>
      <c r="K549" s="103"/>
    </row>
    <row r="550" spans="1:11" x14ac:dyDescent="0.3">
      <c r="A550" s="67" t="s">
        <v>19</v>
      </c>
      <c r="B550" s="4" t="s">
        <v>23</v>
      </c>
      <c r="C550" s="58">
        <v>7</v>
      </c>
      <c r="D550" s="51">
        <v>6.8</v>
      </c>
      <c r="E550" s="51">
        <v>7</v>
      </c>
      <c r="F550" s="4" t="s">
        <v>92</v>
      </c>
      <c r="G550" s="4" t="s">
        <v>136</v>
      </c>
      <c r="H550" s="48">
        <f>IF(G550&gt;0,VLOOKUP(G550,Apoio!$H$2:$I$24,2,0),"")</f>
        <v>13</v>
      </c>
      <c r="I550" s="44">
        <f t="shared" si="40"/>
        <v>93.67647058823529</v>
      </c>
      <c r="J550" s="98"/>
      <c r="K550" s="103"/>
    </row>
    <row r="551" spans="1:11" x14ac:dyDescent="0.3">
      <c r="A551" s="67" t="s">
        <v>19</v>
      </c>
      <c r="B551" s="4" t="s">
        <v>23</v>
      </c>
      <c r="C551" s="58">
        <v>7</v>
      </c>
      <c r="D551" s="51">
        <v>6.8</v>
      </c>
      <c r="E551" s="51">
        <v>7</v>
      </c>
      <c r="F551" s="4" t="s">
        <v>92</v>
      </c>
      <c r="G551" s="4" t="s">
        <v>139</v>
      </c>
      <c r="H551" s="48">
        <f>IF(G551&gt;0,VLOOKUP(G551,Apoio!$H$2:$I$24,2,0),"")</f>
        <v>8</v>
      </c>
      <c r="I551" s="44">
        <f t="shared" si="40"/>
        <v>57.647058823529413</v>
      </c>
      <c r="J551" s="98"/>
      <c r="K551" s="103"/>
    </row>
    <row r="552" spans="1:11" x14ac:dyDescent="0.3">
      <c r="A552" s="67" t="s">
        <v>19</v>
      </c>
      <c r="B552" s="4" t="s">
        <v>23</v>
      </c>
      <c r="C552" s="58">
        <v>7</v>
      </c>
      <c r="D552" s="51">
        <v>6.8</v>
      </c>
      <c r="E552" s="51">
        <v>7</v>
      </c>
      <c r="F552" s="4" t="s">
        <v>92</v>
      </c>
      <c r="G552" s="4" t="s">
        <v>142</v>
      </c>
      <c r="H552" s="48">
        <f>IF(G552&gt;0,VLOOKUP(G552,Apoio!$H$2:$I$24,2,0),"")</f>
        <v>8</v>
      </c>
      <c r="I552" s="44">
        <f t="shared" si="40"/>
        <v>57.647058823529413</v>
      </c>
      <c r="J552" s="98"/>
      <c r="K552" s="103"/>
    </row>
    <row r="553" spans="1:11" x14ac:dyDescent="0.3">
      <c r="A553" s="67" t="s">
        <v>19</v>
      </c>
      <c r="B553" s="4" t="s">
        <v>23</v>
      </c>
      <c r="C553" s="58">
        <v>7</v>
      </c>
      <c r="D553" s="51">
        <v>6.8</v>
      </c>
      <c r="E553" s="51">
        <v>7</v>
      </c>
      <c r="F553" s="4" t="s">
        <v>92</v>
      </c>
      <c r="G553" s="4" t="s">
        <v>145</v>
      </c>
      <c r="H553" s="48">
        <f>IF(G553&gt;0,VLOOKUP(G553,Apoio!$H$2:$I$24,2,0),"")</f>
        <v>7</v>
      </c>
      <c r="I553" s="44">
        <f t="shared" si="40"/>
        <v>50.441176470588239</v>
      </c>
      <c r="J553" s="98"/>
      <c r="K553" s="103"/>
    </row>
    <row r="554" spans="1:11" x14ac:dyDescent="0.3">
      <c r="A554" s="67" t="s">
        <v>19</v>
      </c>
      <c r="B554" s="4" t="s">
        <v>23</v>
      </c>
      <c r="C554" s="58">
        <v>7</v>
      </c>
      <c r="D554" s="51">
        <v>6.8</v>
      </c>
      <c r="E554" s="51">
        <v>7</v>
      </c>
      <c r="F554" s="4" t="s">
        <v>92</v>
      </c>
      <c r="G554" s="4" t="s">
        <v>148</v>
      </c>
      <c r="H554" s="48">
        <f>IF(G554&gt;0,VLOOKUP(G554,Apoio!$H$2:$I$24,2,0),"")</f>
        <v>8</v>
      </c>
      <c r="I554" s="44">
        <f t="shared" si="40"/>
        <v>57.647058823529413</v>
      </c>
      <c r="J554" s="98"/>
      <c r="K554" s="103"/>
    </row>
    <row r="555" spans="1:11" x14ac:dyDescent="0.3">
      <c r="A555" s="67" t="s">
        <v>19</v>
      </c>
      <c r="B555" s="4" t="s">
        <v>23</v>
      </c>
      <c r="C555" s="58">
        <v>7</v>
      </c>
      <c r="D555" s="51">
        <v>6.8</v>
      </c>
      <c r="E555" s="51">
        <v>7</v>
      </c>
      <c r="F555" s="4" t="s">
        <v>92</v>
      </c>
      <c r="G555" s="4" t="s">
        <v>151</v>
      </c>
      <c r="H555" s="48">
        <f>IF(G555&gt;0,VLOOKUP(G555,Apoio!$H$2:$I$24,2,0),"")</f>
        <v>8</v>
      </c>
      <c r="I555" s="44">
        <f t="shared" si="40"/>
        <v>57.647058823529413</v>
      </c>
      <c r="J555" s="98"/>
      <c r="K555" s="103"/>
    </row>
    <row r="556" spans="1:11" x14ac:dyDescent="0.3">
      <c r="A556" s="67" t="s">
        <v>19</v>
      </c>
      <c r="B556" s="57" t="s">
        <v>24</v>
      </c>
      <c r="C556" s="57">
        <v>3</v>
      </c>
      <c r="D556" s="57">
        <v>7.1</v>
      </c>
      <c r="E556" s="51">
        <v>7</v>
      </c>
      <c r="F556" s="4" t="s">
        <v>71</v>
      </c>
      <c r="G556" s="4" t="s">
        <v>70</v>
      </c>
      <c r="H556" s="48">
        <f>IF(G556&gt;0,VLOOKUP(G556,Apoio!$H$2:$I$24,2,0),"")</f>
        <v>7</v>
      </c>
      <c r="I556" s="44">
        <f t="shared" si="40"/>
        <v>20.704225352112676</v>
      </c>
      <c r="J556" s="98"/>
      <c r="K556" s="103"/>
    </row>
    <row r="557" spans="1:11" x14ac:dyDescent="0.3">
      <c r="A557" s="67" t="s">
        <v>19</v>
      </c>
      <c r="B557" s="57" t="s">
        <v>24</v>
      </c>
      <c r="C557" s="57">
        <v>3</v>
      </c>
      <c r="D557" s="57">
        <v>7.1</v>
      </c>
      <c r="E557" s="51">
        <v>7</v>
      </c>
      <c r="F557" s="4" t="s">
        <v>71</v>
      </c>
      <c r="G557" s="4" t="s">
        <v>77</v>
      </c>
      <c r="H557" s="48">
        <f>IF(G557&gt;0,VLOOKUP(G557,Apoio!$H$2:$I$24,2,0),"")</f>
        <v>8</v>
      </c>
      <c r="I557" s="44">
        <f t="shared" si="40"/>
        <v>23.661971830985916</v>
      </c>
      <c r="J557" s="98"/>
      <c r="K557" s="103"/>
    </row>
    <row r="558" spans="1:11" x14ac:dyDescent="0.3">
      <c r="A558" s="67" t="s">
        <v>19</v>
      </c>
      <c r="B558" s="57" t="s">
        <v>24</v>
      </c>
      <c r="C558" s="57">
        <v>3</v>
      </c>
      <c r="D558" s="57">
        <v>7.1</v>
      </c>
      <c r="E558" s="51">
        <v>7</v>
      </c>
      <c r="F558" s="4" t="s">
        <v>71</v>
      </c>
      <c r="G558" s="4" t="s">
        <v>84</v>
      </c>
      <c r="H558" s="48">
        <f>IF(G558&gt;0,VLOOKUP(G558,Apoio!$H$2:$I$24,2,0),"")</f>
        <v>8</v>
      </c>
      <c r="I558" s="44">
        <f t="shared" si="40"/>
        <v>23.661971830985916</v>
      </c>
      <c r="J558" s="98"/>
      <c r="K558" s="103"/>
    </row>
    <row r="559" spans="1:11" x14ac:dyDescent="0.3">
      <c r="A559" s="4" t="s">
        <v>19</v>
      </c>
      <c r="B559" s="57" t="s">
        <v>24</v>
      </c>
      <c r="C559" s="57">
        <v>3</v>
      </c>
      <c r="D559" s="57">
        <v>7.1</v>
      </c>
      <c r="E559" s="51">
        <v>7</v>
      </c>
      <c r="F559" s="4" t="s">
        <v>71</v>
      </c>
      <c r="G559" s="4" t="s">
        <v>91</v>
      </c>
      <c r="H559" s="48">
        <f>IF(G559&gt;0,VLOOKUP(G559,Apoio!$H$2:$I$24,2,0),"")</f>
        <v>6</v>
      </c>
      <c r="I559" s="44">
        <f t="shared" si="40"/>
        <v>17.746478873239436</v>
      </c>
      <c r="J559" s="98"/>
      <c r="K559" s="103"/>
    </row>
    <row r="560" spans="1:11" x14ac:dyDescent="0.3">
      <c r="A560" s="4" t="s">
        <v>19</v>
      </c>
      <c r="B560" s="57" t="s">
        <v>24</v>
      </c>
      <c r="C560" s="57">
        <v>3</v>
      </c>
      <c r="D560" s="57">
        <v>7.1</v>
      </c>
      <c r="E560" s="51">
        <v>7</v>
      </c>
      <c r="F560" s="4" t="s">
        <v>71</v>
      </c>
      <c r="G560" s="4" t="s">
        <v>97</v>
      </c>
      <c r="H560" s="48">
        <f>IF(G560&gt;0,VLOOKUP(G560,Apoio!$H$2:$I$24,2,0),"")</f>
        <v>8</v>
      </c>
      <c r="I560" s="44">
        <f t="shared" si="40"/>
        <v>23.661971830985916</v>
      </c>
      <c r="J560" s="98"/>
      <c r="K560" s="103"/>
    </row>
    <row r="561" spans="1:11" x14ac:dyDescent="0.3">
      <c r="A561" s="4" t="s">
        <v>19</v>
      </c>
      <c r="B561" s="57" t="s">
        <v>24</v>
      </c>
      <c r="C561" s="57">
        <v>3</v>
      </c>
      <c r="D561" s="57">
        <v>7.1</v>
      </c>
      <c r="E561" s="51">
        <v>7</v>
      </c>
      <c r="F561" s="4" t="s">
        <v>71</v>
      </c>
      <c r="G561" s="4" t="s">
        <v>100</v>
      </c>
      <c r="H561" s="48">
        <f>IF(G561&gt;0,VLOOKUP(G561,Apoio!$H$2:$I$24,2,0),"")</f>
        <v>3</v>
      </c>
      <c r="I561" s="44">
        <f t="shared" si="40"/>
        <v>8.873239436619718</v>
      </c>
      <c r="J561" s="98"/>
      <c r="K561" s="103"/>
    </row>
    <row r="562" spans="1:11" x14ac:dyDescent="0.3">
      <c r="A562" s="67" t="s">
        <v>19</v>
      </c>
      <c r="B562" s="57" t="s">
        <v>24</v>
      </c>
      <c r="C562" s="57">
        <v>2</v>
      </c>
      <c r="D562" s="57">
        <v>7.2</v>
      </c>
      <c r="E562" s="51">
        <v>7</v>
      </c>
      <c r="F562" s="4" t="s">
        <v>78</v>
      </c>
      <c r="G562" s="4" t="s">
        <v>103</v>
      </c>
      <c r="H562" s="48">
        <f>IF(G562&gt;0,VLOOKUP(G562,Apoio!$H$2:$I$24,2,0),"")</f>
        <v>6</v>
      </c>
      <c r="I562" s="44">
        <f t="shared" ref="I562:I578" si="41">IF(D562&gt;0,(((H562*E562)*C562)/D562),"")</f>
        <v>11.666666666666666</v>
      </c>
      <c r="J562" s="98"/>
      <c r="K562" s="103"/>
    </row>
    <row r="563" spans="1:11" x14ac:dyDescent="0.3">
      <c r="A563" s="67" t="s">
        <v>19</v>
      </c>
      <c r="B563" s="57" t="s">
        <v>24</v>
      </c>
      <c r="C563" s="57">
        <v>2</v>
      </c>
      <c r="D563" s="57">
        <v>7.2</v>
      </c>
      <c r="E563" s="51">
        <v>7</v>
      </c>
      <c r="F563" s="4" t="s">
        <v>78</v>
      </c>
      <c r="G563" s="4" t="s">
        <v>106</v>
      </c>
      <c r="H563" s="48">
        <f>IF(G563&gt;0,VLOOKUP(G563,Apoio!$H$2:$I$24,2,0),"")</f>
        <v>7</v>
      </c>
      <c r="I563" s="44">
        <f t="shared" si="41"/>
        <v>13.611111111111111</v>
      </c>
      <c r="J563" s="98"/>
      <c r="K563" s="103"/>
    </row>
    <row r="564" spans="1:11" x14ac:dyDescent="0.3">
      <c r="A564" s="67" t="s">
        <v>19</v>
      </c>
      <c r="B564" s="57" t="s">
        <v>24</v>
      </c>
      <c r="C564" s="57">
        <v>2</v>
      </c>
      <c r="D564" s="57">
        <v>7.2</v>
      </c>
      <c r="E564" s="51">
        <v>7</v>
      </c>
      <c r="F564" s="4" t="s">
        <v>78</v>
      </c>
      <c r="G564" s="4" t="s">
        <v>109</v>
      </c>
      <c r="H564" s="48">
        <f>IF(G564&gt;0,VLOOKUP(G564,Apoio!$H$2:$I$24,2,0),"")</f>
        <v>8</v>
      </c>
      <c r="I564" s="44">
        <f t="shared" si="41"/>
        <v>15.555555555555555</v>
      </c>
      <c r="J564" s="98"/>
      <c r="K564" s="103"/>
    </row>
    <row r="565" spans="1:11" x14ac:dyDescent="0.3">
      <c r="A565" s="67" t="s">
        <v>19</v>
      </c>
      <c r="B565" s="57" t="s">
        <v>24</v>
      </c>
      <c r="C565" s="57">
        <v>2</v>
      </c>
      <c r="D565" s="57">
        <v>7.2</v>
      </c>
      <c r="E565" s="51">
        <v>7</v>
      </c>
      <c r="F565" s="4" t="s">
        <v>78</v>
      </c>
      <c r="G565" s="4" t="s">
        <v>112</v>
      </c>
      <c r="H565" s="48">
        <f>IF(G565&gt;0,VLOOKUP(G565,Apoio!$H$2:$I$24,2,0),"")</f>
        <v>8</v>
      </c>
      <c r="I565" s="44">
        <f t="shared" si="41"/>
        <v>15.555555555555555</v>
      </c>
      <c r="J565" s="98"/>
      <c r="K565" s="103"/>
    </row>
    <row r="566" spans="1:11" x14ac:dyDescent="0.3">
      <c r="A566" s="67" t="s">
        <v>19</v>
      </c>
      <c r="B566" s="57" t="s">
        <v>24</v>
      </c>
      <c r="C566" s="57">
        <v>2</v>
      </c>
      <c r="D566" s="57">
        <v>7.2</v>
      </c>
      <c r="E566" s="51">
        <v>7</v>
      </c>
      <c r="F566" s="4" t="s">
        <v>78</v>
      </c>
      <c r="G566" s="4" t="s">
        <v>115</v>
      </c>
      <c r="H566" s="48">
        <f>IF(G566&gt;0,VLOOKUP(G566,Apoio!$H$2:$I$24,2,0),"")</f>
        <v>7</v>
      </c>
      <c r="I566" s="44">
        <f t="shared" si="41"/>
        <v>13.611111111111111</v>
      </c>
      <c r="J566" s="98"/>
      <c r="K566" s="103"/>
    </row>
    <row r="567" spans="1:11" x14ac:dyDescent="0.3">
      <c r="A567" s="67" t="s">
        <v>19</v>
      </c>
      <c r="B567" s="57" t="s">
        <v>24</v>
      </c>
      <c r="C567" s="57">
        <v>2</v>
      </c>
      <c r="D567" s="57">
        <v>7.2</v>
      </c>
      <c r="E567" s="51">
        <v>7</v>
      </c>
      <c r="F567" s="4" t="s">
        <v>78</v>
      </c>
      <c r="G567" s="4" t="s">
        <v>118</v>
      </c>
      <c r="H567" s="48">
        <f>IF(G567&gt;0,VLOOKUP(G567,Apoio!$H$2:$I$24,2,0),"")</f>
        <v>3</v>
      </c>
      <c r="I567" s="44">
        <f t="shared" si="41"/>
        <v>5.833333333333333</v>
      </c>
      <c r="J567" s="98"/>
      <c r="K567" s="103"/>
    </row>
    <row r="568" spans="1:11" x14ac:dyDescent="0.3">
      <c r="A568" s="67" t="s">
        <v>19</v>
      </c>
      <c r="B568" s="57" t="s">
        <v>24</v>
      </c>
      <c r="C568" s="57">
        <v>2</v>
      </c>
      <c r="D568" s="57">
        <v>6.9</v>
      </c>
      <c r="E568" s="51">
        <v>7</v>
      </c>
      <c r="F568" s="4" t="s">
        <v>85</v>
      </c>
      <c r="G568" s="4" t="s">
        <v>121</v>
      </c>
      <c r="H568" s="48">
        <f>IF(G568&gt;0,VLOOKUP(G568,Apoio!$H$2:$I$24,2,0),"")</f>
        <v>7</v>
      </c>
      <c r="I568" s="44">
        <f t="shared" si="41"/>
        <v>14.202898550724637</v>
      </c>
      <c r="J568" s="98"/>
      <c r="K568" s="103"/>
    </row>
    <row r="569" spans="1:11" x14ac:dyDescent="0.3">
      <c r="A569" s="67" t="s">
        <v>19</v>
      </c>
      <c r="B569" s="57" t="s">
        <v>24</v>
      </c>
      <c r="C569" s="57">
        <v>2</v>
      </c>
      <c r="D569" s="57">
        <v>6.9</v>
      </c>
      <c r="E569" s="51">
        <v>7</v>
      </c>
      <c r="F569" s="4" t="s">
        <v>85</v>
      </c>
      <c r="G569" s="4" t="s">
        <v>124</v>
      </c>
      <c r="H569" s="48">
        <f>IF(G569&gt;0,VLOOKUP(G569,Apoio!$H$2:$I$24,2,0),"")</f>
        <v>8</v>
      </c>
      <c r="I569" s="44">
        <f t="shared" si="41"/>
        <v>16.231884057971012</v>
      </c>
      <c r="J569" s="98"/>
      <c r="K569" s="103"/>
    </row>
    <row r="570" spans="1:11" x14ac:dyDescent="0.3">
      <c r="A570" s="67" t="s">
        <v>19</v>
      </c>
      <c r="B570" s="57" t="s">
        <v>24</v>
      </c>
      <c r="C570" s="57">
        <v>2</v>
      </c>
      <c r="D570" s="57">
        <v>6.9</v>
      </c>
      <c r="E570" s="51">
        <v>7</v>
      </c>
      <c r="F570" s="4" t="s">
        <v>85</v>
      </c>
      <c r="G570" s="4" t="s">
        <v>127</v>
      </c>
      <c r="H570" s="48">
        <f>IF(G570&gt;0,VLOOKUP(G570,Apoio!$H$2:$I$24,2,0),"")</f>
        <v>8</v>
      </c>
      <c r="I570" s="44">
        <f t="shared" si="41"/>
        <v>16.231884057971012</v>
      </c>
      <c r="J570" s="98"/>
      <c r="K570" s="103"/>
    </row>
    <row r="571" spans="1:11" x14ac:dyDescent="0.3">
      <c r="A571" s="67" t="s">
        <v>19</v>
      </c>
      <c r="B571" s="57" t="s">
        <v>24</v>
      </c>
      <c r="C571" s="57">
        <v>2</v>
      </c>
      <c r="D571" s="57">
        <v>6.9</v>
      </c>
      <c r="E571" s="51">
        <v>7</v>
      </c>
      <c r="F571" s="4" t="s">
        <v>85</v>
      </c>
      <c r="G571" s="4" t="s">
        <v>130</v>
      </c>
      <c r="H571" s="48">
        <f>IF(G571&gt;0,VLOOKUP(G571,Apoio!$H$2:$I$24,2,0),"")</f>
        <v>13</v>
      </c>
      <c r="I571" s="44">
        <f t="shared" si="41"/>
        <v>26.376811594202898</v>
      </c>
      <c r="J571" s="98"/>
      <c r="K571" s="103"/>
    </row>
    <row r="572" spans="1:11" x14ac:dyDescent="0.3">
      <c r="A572" s="67" t="s">
        <v>19</v>
      </c>
      <c r="B572" s="57" t="s">
        <v>24</v>
      </c>
      <c r="C572" s="57">
        <v>2</v>
      </c>
      <c r="D572" s="57">
        <v>6.9</v>
      </c>
      <c r="E572" s="51">
        <v>7</v>
      </c>
      <c r="F572" s="4" t="s">
        <v>85</v>
      </c>
      <c r="G572" s="4" t="s">
        <v>133</v>
      </c>
      <c r="H572" s="48">
        <f>IF(G572&gt;0,VLOOKUP(G572,Apoio!$H$2:$I$24,2,0),"")</f>
        <v>3</v>
      </c>
      <c r="I572" s="44">
        <f t="shared" si="41"/>
        <v>6.0869565217391299</v>
      </c>
      <c r="J572" s="98"/>
      <c r="K572" s="103"/>
    </row>
    <row r="573" spans="1:11" x14ac:dyDescent="0.3">
      <c r="A573" s="67" t="s">
        <v>19</v>
      </c>
      <c r="B573" s="57" t="s">
        <v>24</v>
      </c>
      <c r="C573" s="57">
        <v>2</v>
      </c>
      <c r="D573" s="57">
        <v>6.9</v>
      </c>
      <c r="E573" s="51">
        <v>7</v>
      </c>
      <c r="F573" s="4" t="s">
        <v>92</v>
      </c>
      <c r="G573" s="4" t="s">
        <v>136</v>
      </c>
      <c r="H573" s="48">
        <f>IF(G573&gt;0,VLOOKUP(G573,Apoio!$H$2:$I$24,2,0),"")</f>
        <v>13</v>
      </c>
      <c r="I573" s="44">
        <f t="shared" si="41"/>
        <v>26.376811594202898</v>
      </c>
      <c r="J573" s="98"/>
      <c r="K573" s="103"/>
    </row>
    <row r="574" spans="1:11" x14ac:dyDescent="0.3">
      <c r="A574" s="67" t="s">
        <v>19</v>
      </c>
      <c r="B574" s="57" t="s">
        <v>24</v>
      </c>
      <c r="C574" s="57">
        <v>2</v>
      </c>
      <c r="D574" s="57">
        <v>6.9</v>
      </c>
      <c r="E574" s="51">
        <v>7</v>
      </c>
      <c r="F574" s="4" t="s">
        <v>92</v>
      </c>
      <c r="G574" s="4" t="s">
        <v>139</v>
      </c>
      <c r="H574" s="48">
        <f>IF(G574&gt;0,VLOOKUP(G574,Apoio!$H$2:$I$24,2,0),"")</f>
        <v>8</v>
      </c>
      <c r="I574" s="44">
        <f t="shared" si="41"/>
        <v>16.231884057971012</v>
      </c>
      <c r="J574" s="98"/>
      <c r="K574" s="103"/>
    </row>
    <row r="575" spans="1:11" x14ac:dyDescent="0.3">
      <c r="A575" s="67" t="s">
        <v>19</v>
      </c>
      <c r="B575" s="57" t="s">
        <v>24</v>
      </c>
      <c r="C575" s="57">
        <v>2</v>
      </c>
      <c r="D575" s="57">
        <v>6.9</v>
      </c>
      <c r="E575" s="51">
        <v>7</v>
      </c>
      <c r="F575" s="4" t="s">
        <v>92</v>
      </c>
      <c r="G575" s="4" t="s">
        <v>142</v>
      </c>
      <c r="H575" s="48">
        <f>IF(G575&gt;0,VLOOKUP(G575,Apoio!$H$2:$I$24,2,0),"")</f>
        <v>8</v>
      </c>
      <c r="I575" s="44">
        <f t="shared" si="41"/>
        <v>16.231884057971012</v>
      </c>
      <c r="J575" s="98"/>
      <c r="K575" s="103"/>
    </row>
    <row r="576" spans="1:11" x14ac:dyDescent="0.3">
      <c r="A576" s="67" t="s">
        <v>19</v>
      </c>
      <c r="B576" s="57" t="s">
        <v>24</v>
      </c>
      <c r="C576" s="57">
        <v>2</v>
      </c>
      <c r="D576" s="57">
        <v>6.9</v>
      </c>
      <c r="E576" s="51">
        <v>7</v>
      </c>
      <c r="F576" s="4" t="s">
        <v>92</v>
      </c>
      <c r="G576" s="4" t="s">
        <v>145</v>
      </c>
      <c r="H576" s="48">
        <f>IF(G576&gt;0,VLOOKUP(G576,Apoio!$H$2:$I$24,2,0),"")</f>
        <v>7</v>
      </c>
      <c r="I576" s="44">
        <f t="shared" si="41"/>
        <v>14.202898550724637</v>
      </c>
      <c r="J576" s="98"/>
      <c r="K576" s="103"/>
    </row>
    <row r="577" spans="1:11" x14ac:dyDescent="0.3">
      <c r="A577" s="67" t="s">
        <v>19</v>
      </c>
      <c r="B577" s="57" t="s">
        <v>24</v>
      </c>
      <c r="C577" s="57">
        <v>2</v>
      </c>
      <c r="D577" s="57">
        <v>6.9</v>
      </c>
      <c r="E577" s="51">
        <v>7</v>
      </c>
      <c r="F577" s="4" t="s">
        <v>92</v>
      </c>
      <c r="G577" s="4" t="s">
        <v>148</v>
      </c>
      <c r="H577" s="48">
        <f>IF(G577&gt;0,VLOOKUP(G577,Apoio!$H$2:$I$24,2,0),"")</f>
        <v>8</v>
      </c>
      <c r="I577" s="44">
        <f t="shared" si="41"/>
        <v>16.231884057971012</v>
      </c>
      <c r="J577" s="98"/>
      <c r="K577" s="103"/>
    </row>
    <row r="578" spans="1:11" x14ac:dyDescent="0.3">
      <c r="A578" s="67" t="s">
        <v>19</v>
      </c>
      <c r="B578" s="57" t="s">
        <v>24</v>
      </c>
      <c r="C578" s="57">
        <v>2</v>
      </c>
      <c r="D578" s="57">
        <v>6.9</v>
      </c>
      <c r="E578" s="51">
        <v>7</v>
      </c>
      <c r="F578" s="4" t="s">
        <v>92</v>
      </c>
      <c r="G578" s="4" t="s">
        <v>151</v>
      </c>
      <c r="H578" s="48">
        <f>IF(G578&gt;0,VLOOKUP(G578,Apoio!$H$2:$I$24,2,0),"")</f>
        <v>8</v>
      </c>
      <c r="I578" s="44">
        <f t="shared" si="41"/>
        <v>16.231884057971012</v>
      </c>
      <c r="J578" s="98"/>
      <c r="K578" s="103"/>
    </row>
    <row r="579" spans="1:11" x14ac:dyDescent="0.3">
      <c r="A579" s="4" t="s">
        <v>19</v>
      </c>
      <c r="B579" s="4" t="s">
        <v>25</v>
      </c>
      <c r="C579" s="58">
        <v>9</v>
      </c>
      <c r="D579" s="57">
        <v>6.3</v>
      </c>
      <c r="E579" s="51">
        <v>7</v>
      </c>
      <c r="F579" s="4" t="s">
        <v>71</v>
      </c>
      <c r="G579" s="4" t="s">
        <v>70</v>
      </c>
      <c r="H579" s="48">
        <f>IF(G579&gt;0,VLOOKUP(G579,Apoio!$H$2:$I$24,2,0),"")</f>
        <v>7</v>
      </c>
      <c r="I579" s="44">
        <f t="shared" ref="I579:I584" si="42">IF(D579&gt;0,(((H579*E579)*C579)/D579),"")</f>
        <v>70</v>
      </c>
      <c r="J579" s="98"/>
      <c r="K579" s="103"/>
    </row>
    <row r="580" spans="1:11" x14ac:dyDescent="0.3">
      <c r="A580" s="4" t="s">
        <v>19</v>
      </c>
      <c r="B580" s="4" t="s">
        <v>25</v>
      </c>
      <c r="C580" s="58">
        <v>9</v>
      </c>
      <c r="D580" s="57">
        <v>6.3</v>
      </c>
      <c r="E580" s="51">
        <v>7</v>
      </c>
      <c r="F580" s="4" t="s">
        <v>71</v>
      </c>
      <c r="G580" s="4" t="s">
        <v>77</v>
      </c>
      <c r="H580" s="48">
        <f>IF(G580&gt;0,VLOOKUP(G580,Apoio!$H$2:$I$24,2,0),"")</f>
        <v>8</v>
      </c>
      <c r="I580" s="44">
        <f t="shared" si="42"/>
        <v>80</v>
      </c>
      <c r="J580" s="98"/>
      <c r="K580" s="103"/>
    </row>
    <row r="581" spans="1:11" x14ac:dyDescent="0.3">
      <c r="A581" s="4" t="s">
        <v>19</v>
      </c>
      <c r="B581" s="4" t="s">
        <v>25</v>
      </c>
      <c r="C581" s="58">
        <v>9</v>
      </c>
      <c r="D581" s="57">
        <v>6.3</v>
      </c>
      <c r="E581" s="51">
        <v>7</v>
      </c>
      <c r="F581" s="4" t="s">
        <v>71</v>
      </c>
      <c r="G581" s="4" t="s">
        <v>84</v>
      </c>
      <c r="H581" s="48">
        <f>IF(G581&gt;0,VLOOKUP(G581,Apoio!$H$2:$I$24,2,0),"")</f>
        <v>8</v>
      </c>
      <c r="I581" s="44">
        <f t="shared" si="42"/>
        <v>80</v>
      </c>
      <c r="J581" s="98"/>
      <c r="K581" s="103"/>
    </row>
    <row r="582" spans="1:11" x14ac:dyDescent="0.3">
      <c r="A582" s="4" t="s">
        <v>19</v>
      </c>
      <c r="B582" s="4" t="s">
        <v>25</v>
      </c>
      <c r="C582" s="58">
        <v>9</v>
      </c>
      <c r="D582" s="57">
        <v>6.3</v>
      </c>
      <c r="E582" s="51">
        <v>7</v>
      </c>
      <c r="F582" s="4" t="s">
        <v>71</v>
      </c>
      <c r="G582" s="4" t="s">
        <v>91</v>
      </c>
      <c r="H582" s="48">
        <f>IF(G582&gt;0,VLOOKUP(G582,Apoio!$H$2:$I$24,2,0),"")</f>
        <v>6</v>
      </c>
      <c r="I582" s="44">
        <f t="shared" si="42"/>
        <v>60</v>
      </c>
      <c r="J582" s="98"/>
      <c r="K582" s="103"/>
    </row>
    <row r="583" spans="1:11" x14ac:dyDescent="0.3">
      <c r="A583" s="4" t="s">
        <v>19</v>
      </c>
      <c r="B583" s="4" t="s">
        <v>25</v>
      </c>
      <c r="C583" s="58">
        <v>9</v>
      </c>
      <c r="D583" s="57">
        <v>6.3</v>
      </c>
      <c r="E583" s="51">
        <v>7</v>
      </c>
      <c r="F583" s="4" t="s">
        <v>71</v>
      </c>
      <c r="G583" s="4" t="s">
        <v>97</v>
      </c>
      <c r="H583" s="48">
        <f>IF(G583&gt;0,VLOOKUP(G583,Apoio!$H$2:$I$24,2,0),"")</f>
        <v>8</v>
      </c>
      <c r="I583" s="44">
        <f t="shared" si="42"/>
        <v>80</v>
      </c>
      <c r="J583" s="98"/>
      <c r="K583" s="103"/>
    </row>
    <row r="584" spans="1:11" x14ac:dyDescent="0.3">
      <c r="A584" s="4" t="s">
        <v>19</v>
      </c>
      <c r="B584" s="4" t="s">
        <v>25</v>
      </c>
      <c r="C584" s="58">
        <v>9</v>
      </c>
      <c r="D584" s="57">
        <v>6.3</v>
      </c>
      <c r="E584" s="51">
        <v>7</v>
      </c>
      <c r="F584" s="4" t="s">
        <v>71</v>
      </c>
      <c r="G584" s="4" t="s">
        <v>100</v>
      </c>
      <c r="H584" s="48">
        <f>IF(G584&gt;0,VLOOKUP(G584,Apoio!$H$2:$I$24,2,0),"")</f>
        <v>3</v>
      </c>
      <c r="I584" s="44">
        <f t="shared" si="42"/>
        <v>30</v>
      </c>
      <c r="J584" s="98"/>
      <c r="K584" s="103"/>
    </row>
    <row r="585" spans="1:11" x14ac:dyDescent="0.3">
      <c r="A585" s="4" t="s">
        <v>19</v>
      </c>
      <c r="B585" s="4" t="s">
        <v>25</v>
      </c>
      <c r="C585" s="58">
        <v>5.5</v>
      </c>
      <c r="D585" s="57">
        <v>6.8</v>
      </c>
      <c r="E585" s="51">
        <v>7</v>
      </c>
      <c r="F585" s="4" t="s">
        <v>78</v>
      </c>
      <c r="G585" s="4" t="s">
        <v>103</v>
      </c>
      <c r="H585" s="48">
        <f>IF(G585&gt;0,VLOOKUP(G585,Apoio!$H$2:$I$24,2,0),"")</f>
        <v>6</v>
      </c>
      <c r="I585" s="44">
        <f t="shared" ref="I585:I601" si="43">IF(D585&gt;0,(((H585*E585)*C585)/D585),"")</f>
        <v>33.970588235294116</v>
      </c>
      <c r="J585" s="98"/>
      <c r="K585" s="103"/>
    </row>
    <row r="586" spans="1:11" x14ac:dyDescent="0.3">
      <c r="A586" s="4" t="s">
        <v>19</v>
      </c>
      <c r="B586" s="4" t="s">
        <v>25</v>
      </c>
      <c r="C586" s="58">
        <v>5.5</v>
      </c>
      <c r="D586" s="57">
        <v>6.8</v>
      </c>
      <c r="E586" s="51">
        <v>7</v>
      </c>
      <c r="F586" s="4" t="s">
        <v>78</v>
      </c>
      <c r="G586" s="4" t="s">
        <v>106</v>
      </c>
      <c r="H586" s="48">
        <f>IF(G586&gt;0,VLOOKUP(G586,Apoio!$H$2:$I$24,2,0),"")</f>
        <v>7</v>
      </c>
      <c r="I586" s="44">
        <f t="shared" si="43"/>
        <v>39.632352941176471</v>
      </c>
      <c r="J586" s="98"/>
      <c r="K586" s="103"/>
    </row>
    <row r="587" spans="1:11" x14ac:dyDescent="0.3">
      <c r="A587" s="4" t="s">
        <v>19</v>
      </c>
      <c r="B587" s="4" t="s">
        <v>25</v>
      </c>
      <c r="C587" s="58">
        <v>5</v>
      </c>
      <c r="D587" s="57">
        <v>6.8</v>
      </c>
      <c r="E587" s="51">
        <v>7</v>
      </c>
      <c r="F587" s="4" t="s">
        <v>78</v>
      </c>
      <c r="G587" s="4" t="s">
        <v>109</v>
      </c>
      <c r="H587" s="48">
        <f>IF(G587&gt;0,VLOOKUP(G587,Apoio!$H$2:$I$24,2,0),"")</f>
        <v>8</v>
      </c>
      <c r="I587" s="44">
        <f t="shared" si="43"/>
        <v>41.176470588235297</v>
      </c>
      <c r="J587" s="98"/>
      <c r="K587" s="103"/>
    </row>
    <row r="588" spans="1:11" x14ac:dyDescent="0.3">
      <c r="A588" s="4" t="s">
        <v>19</v>
      </c>
      <c r="B588" s="4" t="s">
        <v>25</v>
      </c>
      <c r="C588" s="58">
        <v>6</v>
      </c>
      <c r="D588" s="57">
        <v>6.8</v>
      </c>
      <c r="E588" s="51">
        <v>7</v>
      </c>
      <c r="F588" s="4" t="s">
        <v>78</v>
      </c>
      <c r="G588" s="4" t="s">
        <v>112</v>
      </c>
      <c r="H588" s="48">
        <f>IF(G588&gt;0,VLOOKUP(G588,Apoio!$H$2:$I$24,2,0),"")</f>
        <v>8</v>
      </c>
      <c r="I588" s="44">
        <f t="shared" si="43"/>
        <v>49.411764705882355</v>
      </c>
      <c r="J588" s="98"/>
      <c r="K588" s="103"/>
    </row>
    <row r="589" spans="1:11" x14ac:dyDescent="0.3">
      <c r="A589" s="4" t="s">
        <v>19</v>
      </c>
      <c r="B589" s="4" t="s">
        <v>25</v>
      </c>
      <c r="C589" s="58">
        <v>6</v>
      </c>
      <c r="D589" s="57">
        <v>6.8</v>
      </c>
      <c r="E589" s="51">
        <v>7</v>
      </c>
      <c r="F589" s="4" t="s">
        <v>78</v>
      </c>
      <c r="G589" s="4" t="s">
        <v>115</v>
      </c>
      <c r="H589" s="48">
        <f>IF(G589&gt;0,VLOOKUP(G589,Apoio!$H$2:$I$24,2,0),"")</f>
        <v>7</v>
      </c>
      <c r="I589" s="44">
        <f t="shared" si="43"/>
        <v>43.235294117647058</v>
      </c>
      <c r="J589" s="98"/>
      <c r="K589" s="103"/>
    </row>
    <row r="590" spans="1:11" x14ac:dyDescent="0.3">
      <c r="A590" s="4" t="s">
        <v>19</v>
      </c>
      <c r="B590" s="4" t="s">
        <v>25</v>
      </c>
      <c r="C590" s="58">
        <v>5.5</v>
      </c>
      <c r="D590" s="57">
        <v>6.8</v>
      </c>
      <c r="E590" s="51">
        <v>7</v>
      </c>
      <c r="F590" s="4" t="s">
        <v>78</v>
      </c>
      <c r="G590" s="4" t="s">
        <v>118</v>
      </c>
      <c r="H590" s="48">
        <f>IF(G590&gt;0,VLOOKUP(G590,Apoio!$H$2:$I$24,2,0),"")</f>
        <v>3</v>
      </c>
      <c r="I590" s="44">
        <f t="shared" si="43"/>
        <v>16.985294117647058</v>
      </c>
      <c r="J590" s="98"/>
      <c r="K590" s="103"/>
    </row>
    <row r="591" spans="1:11" x14ac:dyDescent="0.3">
      <c r="A591" s="4" t="s">
        <v>19</v>
      </c>
      <c r="B591" s="4" t="s">
        <v>25</v>
      </c>
      <c r="C591" s="57">
        <v>6</v>
      </c>
      <c r="D591" s="57">
        <v>5.9</v>
      </c>
      <c r="E591" s="51">
        <v>7</v>
      </c>
      <c r="F591" s="4" t="s">
        <v>85</v>
      </c>
      <c r="G591" s="4" t="s">
        <v>121</v>
      </c>
      <c r="H591" s="48">
        <f>IF(G591&gt;0,VLOOKUP(G591,Apoio!$H$2:$I$24,2,0),"")</f>
        <v>7</v>
      </c>
      <c r="I591" s="44">
        <f t="shared" si="43"/>
        <v>49.83050847457627</v>
      </c>
      <c r="J591" s="98"/>
      <c r="K591" s="103"/>
    </row>
    <row r="592" spans="1:11" x14ac:dyDescent="0.3">
      <c r="A592" s="4" t="s">
        <v>19</v>
      </c>
      <c r="B592" s="4" t="s">
        <v>25</v>
      </c>
      <c r="C592" s="57">
        <v>5</v>
      </c>
      <c r="D592" s="57">
        <v>5.9</v>
      </c>
      <c r="E592" s="51">
        <v>7</v>
      </c>
      <c r="F592" s="4" t="s">
        <v>85</v>
      </c>
      <c r="G592" s="4" t="s">
        <v>124</v>
      </c>
      <c r="H592" s="48">
        <f>IF(G592&gt;0,VLOOKUP(G592,Apoio!$H$2:$I$24,2,0),"")</f>
        <v>8</v>
      </c>
      <c r="I592" s="44">
        <f t="shared" si="43"/>
        <v>47.457627118644062</v>
      </c>
      <c r="J592" s="98"/>
      <c r="K592" s="103"/>
    </row>
    <row r="593" spans="1:11" x14ac:dyDescent="0.3">
      <c r="A593" s="4" t="s">
        <v>19</v>
      </c>
      <c r="B593" s="4" t="s">
        <v>25</v>
      </c>
      <c r="C593" s="57">
        <v>5</v>
      </c>
      <c r="D593" s="57">
        <v>5.9</v>
      </c>
      <c r="E593" s="51">
        <v>7</v>
      </c>
      <c r="F593" s="4" t="s">
        <v>85</v>
      </c>
      <c r="G593" s="4" t="s">
        <v>127</v>
      </c>
      <c r="H593" s="48">
        <f>IF(G593&gt;0,VLOOKUP(G593,Apoio!$H$2:$I$24,2,0),"")</f>
        <v>8</v>
      </c>
      <c r="I593" s="44">
        <f t="shared" si="43"/>
        <v>47.457627118644062</v>
      </c>
      <c r="J593" s="98"/>
      <c r="K593" s="103"/>
    </row>
    <row r="594" spans="1:11" x14ac:dyDescent="0.3">
      <c r="A594" s="4" t="s">
        <v>19</v>
      </c>
      <c r="B594" s="4" t="s">
        <v>25</v>
      </c>
      <c r="C594" s="57">
        <v>6</v>
      </c>
      <c r="D594" s="57">
        <v>5.9</v>
      </c>
      <c r="E594" s="51">
        <v>7</v>
      </c>
      <c r="F594" s="4" t="s">
        <v>85</v>
      </c>
      <c r="G594" s="4" t="s">
        <v>130</v>
      </c>
      <c r="H594" s="48">
        <f>IF(G594&gt;0,VLOOKUP(G594,Apoio!$H$2:$I$24,2,0),"")</f>
        <v>13</v>
      </c>
      <c r="I594" s="44">
        <f t="shared" si="43"/>
        <v>92.542372881355931</v>
      </c>
      <c r="J594" s="98"/>
      <c r="K594" s="103"/>
    </row>
    <row r="595" spans="1:11" x14ac:dyDescent="0.3">
      <c r="A595" s="4" t="s">
        <v>19</v>
      </c>
      <c r="B595" s="4" t="s">
        <v>25</v>
      </c>
      <c r="C595" s="57">
        <v>6</v>
      </c>
      <c r="D595" s="57">
        <v>5.9</v>
      </c>
      <c r="E595" s="51">
        <v>7</v>
      </c>
      <c r="F595" s="4" t="s">
        <v>85</v>
      </c>
      <c r="G595" s="4" t="s">
        <v>133</v>
      </c>
      <c r="H595" s="48">
        <f>IF(G595&gt;0,VLOOKUP(G595,Apoio!$H$2:$I$24,2,0),"")</f>
        <v>3</v>
      </c>
      <c r="I595" s="44">
        <f t="shared" si="43"/>
        <v>21.35593220338983</v>
      </c>
      <c r="J595" s="98"/>
      <c r="K595" s="103"/>
    </row>
    <row r="596" spans="1:11" x14ac:dyDescent="0.3">
      <c r="A596" s="4" t="s">
        <v>19</v>
      </c>
      <c r="B596" s="4" t="s">
        <v>25</v>
      </c>
      <c r="C596" s="58">
        <v>6</v>
      </c>
      <c r="D596" s="57">
        <v>5.9</v>
      </c>
      <c r="E596" s="51">
        <v>7</v>
      </c>
      <c r="F596" s="4" t="s">
        <v>92</v>
      </c>
      <c r="G596" s="4" t="s">
        <v>136</v>
      </c>
      <c r="H596" s="48">
        <f>IF(G596&gt;0,VLOOKUP(G596,Apoio!$H$2:$I$24,2,0),"")</f>
        <v>13</v>
      </c>
      <c r="I596" s="44">
        <f t="shared" si="43"/>
        <v>92.542372881355931</v>
      </c>
      <c r="J596" s="98"/>
      <c r="K596" s="103"/>
    </row>
    <row r="597" spans="1:11" x14ac:dyDescent="0.3">
      <c r="A597" s="4" t="s">
        <v>19</v>
      </c>
      <c r="B597" s="4" t="s">
        <v>25</v>
      </c>
      <c r="C597" s="58">
        <v>6</v>
      </c>
      <c r="D597" s="57">
        <v>5.9</v>
      </c>
      <c r="E597" s="51">
        <v>7</v>
      </c>
      <c r="F597" s="4" t="s">
        <v>92</v>
      </c>
      <c r="G597" s="4" t="s">
        <v>139</v>
      </c>
      <c r="H597" s="48">
        <f>IF(G597&gt;0,VLOOKUP(G597,Apoio!$H$2:$I$24,2,0),"")</f>
        <v>8</v>
      </c>
      <c r="I597" s="44">
        <f t="shared" si="43"/>
        <v>56.949152542372879</v>
      </c>
      <c r="J597" s="98"/>
      <c r="K597" s="103"/>
    </row>
    <row r="598" spans="1:11" x14ac:dyDescent="0.3">
      <c r="A598" s="4" t="s">
        <v>19</v>
      </c>
      <c r="B598" s="4" t="s">
        <v>25</v>
      </c>
      <c r="C598" s="58">
        <v>6</v>
      </c>
      <c r="D598" s="57">
        <v>5.9</v>
      </c>
      <c r="E598" s="51">
        <v>7</v>
      </c>
      <c r="F598" s="4" t="s">
        <v>92</v>
      </c>
      <c r="G598" s="4" t="s">
        <v>142</v>
      </c>
      <c r="H598" s="48">
        <f>IF(G598&gt;0,VLOOKUP(G598,Apoio!$H$2:$I$24,2,0),"")</f>
        <v>8</v>
      </c>
      <c r="I598" s="44">
        <f t="shared" si="43"/>
        <v>56.949152542372879</v>
      </c>
      <c r="J598" s="98"/>
      <c r="K598" s="103"/>
    </row>
    <row r="599" spans="1:11" x14ac:dyDescent="0.3">
      <c r="A599" s="4" t="s">
        <v>19</v>
      </c>
      <c r="B599" s="4" t="s">
        <v>25</v>
      </c>
      <c r="C599" s="58">
        <v>6</v>
      </c>
      <c r="D599" s="57">
        <v>5.9</v>
      </c>
      <c r="E599" s="51">
        <v>7</v>
      </c>
      <c r="F599" s="4" t="s">
        <v>92</v>
      </c>
      <c r="G599" s="4" t="s">
        <v>145</v>
      </c>
      <c r="H599" s="48">
        <f>IF(G599&gt;0,VLOOKUP(G599,Apoio!$H$2:$I$24,2,0),"")</f>
        <v>7</v>
      </c>
      <c r="I599" s="44">
        <f t="shared" si="43"/>
        <v>49.83050847457627</v>
      </c>
      <c r="J599" s="98"/>
      <c r="K599" s="103"/>
    </row>
    <row r="600" spans="1:11" x14ac:dyDescent="0.3">
      <c r="A600" s="4" t="s">
        <v>19</v>
      </c>
      <c r="B600" s="4" t="s">
        <v>25</v>
      </c>
      <c r="C600" s="58">
        <v>6</v>
      </c>
      <c r="D600" s="57">
        <v>5.9</v>
      </c>
      <c r="E600" s="51">
        <v>7</v>
      </c>
      <c r="F600" s="4" t="s">
        <v>92</v>
      </c>
      <c r="G600" s="4" t="s">
        <v>148</v>
      </c>
      <c r="H600" s="48">
        <f>IF(G600&gt;0,VLOOKUP(G600,Apoio!$H$2:$I$24,2,0),"")</f>
        <v>8</v>
      </c>
      <c r="I600" s="44">
        <f t="shared" si="43"/>
        <v>56.949152542372879</v>
      </c>
      <c r="J600" s="98"/>
      <c r="K600" s="103"/>
    </row>
    <row r="601" spans="1:11" x14ac:dyDescent="0.3">
      <c r="A601" s="4" t="s">
        <v>19</v>
      </c>
      <c r="B601" s="4" t="s">
        <v>25</v>
      </c>
      <c r="C601" s="58">
        <v>6</v>
      </c>
      <c r="D601" s="57">
        <v>5.9</v>
      </c>
      <c r="E601" s="51">
        <v>7</v>
      </c>
      <c r="F601" s="4" t="s">
        <v>92</v>
      </c>
      <c r="G601" s="4" t="s">
        <v>151</v>
      </c>
      <c r="H601" s="48">
        <f>IF(G601&gt;0,VLOOKUP(G601,Apoio!$H$2:$I$24,2,0),"")</f>
        <v>8</v>
      </c>
      <c r="I601" s="44">
        <f t="shared" si="43"/>
        <v>56.949152542372879</v>
      </c>
      <c r="J601" s="98"/>
      <c r="K601" s="103"/>
    </row>
    <row r="602" spans="1:11" x14ac:dyDescent="0.3">
      <c r="A602" s="58" t="s">
        <v>213</v>
      </c>
      <c r="B602" s="4" t="s">
        <v>32</v>
      </c>
      <c r="C602" s="58">
        <v>5</v>
      </c>
      <c r="D602" s="51">
        <v>7.3</v>
      </c>
      <c r="E602" s="51">
        <v>7</v>
      </c>
      <c r="F602" s="4" t="s">
        <v>71</v>
      </c>
      <c r="G602" s="4" t="s">
        <v>70</v>
      </c>
      <c r="H602" s="48">
        <f>IF(G602&gt;0,VLOOKUP(G602,Apoio!$H$2:$I$24,2,0),"")</f>
        <v>7</v>
      </c>
      <c r="I602" s="44">
        <f t="shared" ref="I602:I633" si="44">IF(D602&gt;0,(((H602*E602)*C602)/D602),"")</f>
        <v>33.561643835616437</v>
      </c>
      <c r="J602" s="98">
        <f t="shared" ref="J602:J623" si="45">I602*33%</f>
        <v>11.075342465753424</v>
      </c>
      <c r="K602" s="103"/>
    </row>
    <row r="603" spans="1:11" x14ac:dyDescent="0.3">
      <c r="A603" s="58" t="s">
        <v>213</v>
      </c>
      <c r="B603" s="4" t="s">
        <v>32</v>
      </c>
      <c r="C603" s="58">
        <v>6</v>
      </c>
      <c r="D603" s="51">
        <v>7.3</v>
      </c>
      <c r="E603" s="51">
        <v>7</v>
      </c>
      <c r="F603" s="4" t="s">
        <v>71</v>
      </c>
      <c r="G603" s="4" t="s">
        <v>77</v>
      </c>
      <c r="H603" s="48">
        <f>IF(G603&gt;0,VLOOKUP(G603,Apoio!$H$2:$I$24,2,0),"")</f>
        <v>8</v>
      </c>
      <c r="I603" s="44">
        <f t="shared" si="44"/>
        <v>46.027397260273972</v>
      </c>
      <c r="J603" s="98">
        <f t="shared" si="45"/>
        <v>15.189041095890412</v>
      </c>
      <c r="K603" s="103"/>
    </row>
    <row r="604" spans="1:11" x14ac:dyDescent="0.3">
      <c r="A604" s="58" t="s">
        <v>213</v>
      </c>
      <c r="B604" s="4" t="s">
        <v>32</v>
      </c>
      <c r="C604" s="58">
        <v>6</v>
      </c>
      <c r="D604" s="51">
        <v>7.3</v>
      </c>
      <c r="E604" s="51">
        <v>7</v>
      </c>
      <c r="F604" s="4" t="s">
        <v>71</v>
      </c>
      <c r="G604" s="4" t="s">
        <v>84</v>
      </c>
      <c r="H604" s="48">
        <f>IF(G604&gt;0,VLOOKUP(G604,Apoio!$H$2:$I$24,2,0),"")</f>
        <v>8</v>
      </c>
      <c r="I604" s="44">
        <f t="shared" si="44"/>
        <v>46.027397260273972</v>
      </c>
      <c r="J604" s="98">
        <f t="shared" si="45"/>
        <v>15.189041095890412</v>
      </c>
      <c r="K604" s="103"/>
    </row>
    <row r="605" spans="1:11" x14ac:dyDescent="0.3">
      <c r="A605" s="58" t="s">
        <v>213</v>
      </c>
      <c r="B605" s="4" t="s">
        <v>32</v>
      </c>
      <c r="C605" s="58">
        <v>6</v>
      </c>
      <c r="D605" s="51">
        <v>7.3</v>
      </c>
      <c r="E605" s="51">
        <v>7</v>
      </c>
      <c r="F605" s="4" t="s">
        <v>71</v>
      </c>
      <c r="G605" s="4" t="s">
        <v>91</v>
      </c>
      <c r="H605" s="48">
        <f>IF(G605&gt;0,VLOOKUP(G605,Apoio!$H$2:$I$24,2,0),"")</f>
        <v>6</v>
      </c>
      <c r="I605" s="44">
        <f t="shared" si="44"/>
        <v>34.520547945205479</v>
      </c>
      <c r="J605" s="98">
        <f t="shared" si="45"/>
        <v>11.391780821917809</v>
      </c>
      <c r="K605" s="103"/>
    </row>
    <row r="606" spans="1:11" x14ac:dyDescent="0.3">
      <c r="A606" s="58" t="s">
        <v>213</v>
      </c>
      <c r="B606" s="4" t="s">
        <v>32</v>
      </c>
      <c r="C606" s="58">
        <v>6</v>
      </c>
      <c r="D606" s="51">
        <v>7.3</v>
      </c>
      <c r="E606" s="51">
        <v>7</v>
      </c>
      <c r="F606" s="4" t="s">
        <v>71</v>
      </c>
      <c r="G606" s="4" t="s">
        <v>97</v>
      </c>
      <c r="H606" s="48">
        <f>IF(G606&gt;0,VLOOKUP(G606,Apoio!$H$2:$I$24,2,0),"")</f>
        <v>8</v>
      </c>
      <c r="I606" s="44">
        <f t="shared" si="44"/>
        <v>46.027397260273972</v>
      </c>
      <c r="J606" s="98">
        <f t="shared" si="45"/>
        <v>15.189041095890412</v>
      </c>
      <c r="K606" s="103"/>
    </row>
    <row r="607" spans="1:11" x14ac:dyDescent="0.3">
      <c r="A607" s="58" t="s">
        <v>213</v>
      </c>
      <c r="B607" s="4" t="s">
        <v>32</v>
      </c>
      <c r="C607" s="58">
        <v>6</v>
      </c>
      <c r="D607" s="51">
        <v>7.3</v>
      </c>
      <c r="E607" s="51">
        <v>7</v>
      </c>
      <c r="F607" s="4" t="s">
        <v>71</v>
      </c>
      <c r="G607" s="4" t="s">
        <v>100</v>
      </c>
      <c r="H607" s="48">
        <f>IF(G607&gt;0,VLOOKUP(G607,Apoio!$H$2:$I$24,2,0),"")</f>
        <v>3</v>
      </c>
      <c r="I607" s="44">
        <f t="shared" si="44"/>
        <v>17.260273972602739</v>
      </c>
      <c r="J607" s="98">
        <f t="shared" si="45"/>
        <v>5.6958904109589046</v>
      </c>
      <c r="K607" s="103"/>
    </row>
    <row r="608" spans="1:11" x14ac:dyDescent="0.3">
      <c r="A608" s="58" t="s">
        <v>213</v>
      </c>
      <c r="B608" s="4" t="s">
        <v>32</v>
      </c>
      <c r="C608" s="58">
        <v>5</v>
      </c>
      <c r="D608" s="51">
        <v>7.4</v>
      </c>
      <c r="E608" s="51">
        <v>7</v>
      </c>
      <c r="F608" s="4" t="s">
        <v>78</v>
      </c>
      <c r="G608" s="4" t="s">
        <v>103</v>
      </c>
      <c r="H608" s="48">
        <f>IF(G608&gt;0,VLOOKUP(G608,Apoio!$H$2:$I$24,2,0),"")</f>
        <v>6</v>
      </c>
      <c r="I608" s="44">
        <f t="shared" si="44"/>
        <v>28.378378378378375</v>
      </c>
      <c r="J608" s="98">
        <f t="shared" si="45"/>
        <v>9.3648648648648649</v>
      </c>
      <c r="K608" s="103"/>
    </row>
    <row r="609" spans="1:11" x14ac:dyDescent="0.3">
      <c r="A609" s="58" t="s">
        <v>213</v>
      </c>
      <c r="B609" s="4" t="s">
        <v>32</v>
      </c>
      <c r="C609" s="58">
        <v>5</v>
      </c>
      <c r="D609" s="51">
        <v>7.4</v>
      </c>
      <c r="E609" s="51">
        <v>7</v>
      </c>
      <c r="F609" s="4" t="s">
        <v>78</v>
      </c>
      <c r="G609" s="4" t="s">
        <v>106</v>
      </c>
      <c r="H609" s="48">
        <f>IF(G609&gt;0,VLOOKUP(G609,Apoio!$H$2:$I$24,2,0),"")</f>
        <v>7</v>
      </c>
      <c r="I609" s="44">
        <f t="shared" si="44"/>
        <v>33.108108108108105</v>
      </c>
      <c r="J609" s="98">
        <f t="shared" si="45"/>
        <v>10.925675675675675</v>
      </c>
      <c r="K609" s="103"/>
    </row>
    <row r="610" spans="1:11" x14ac:dyDescent="0.3">
      <c r="A610" s="58" t="s">
        <v>213</v>
      </c>
      <c r="B610" s="4" t="s">
        <v>32</v>
      </c>
      <c r="C610" s="58">
        <v>5</v>
      </c>
      <c r="D610" s="51">
        <v>7.4</v>
      </c>
      <c r="E610" s="51">
        <v>7</v>
      </c>
      <c r="F610" s="4" t="s">
        <v>78</v>
      </c>
      <c r="G610" s="4" t="s">
        <v>109</v>
      </c>
      <c r="H610" s="48">
        <f>IF(G610&gt;0,VLOOKUP(G610,Apoio!$H$2:$I$24,2,0),"")</f>
        <v>8</v>
      </c>
      <c r="I610" s="44">
        <f t="shared" si="44"/>
        <v>37.837837837837839</v>
      </c>
      <c r="J610" s="98">
        <f t="shared" si="45"/>
        <v>12.486486486486488</v>
      </c>
      <c r="K610" s="103"/>
    </row>
    <row r="611" spans="1:11" x14ac:dyDescent="0.3">
      <c r="A611" s="58" t="s">
        <v>213</v>
      </c>
      <c r="B611" s="4" t="s">
        <v>32</v>
      </c>
      <c r="C611" s="58">
        <v>5</v>
      </c>
      <c r="D611" s="51">
        <v>7.4</v>
      </c>
      <c r="E611" s="51">
        <v>7</v>
      </c>
      <c r="F611" s="4" t="s">
        <v>78</v>
      </c>
      <c r="G611" s="4" t="s">
        <v>112</v>
      </c>
      <c r="H611" s="48">
        <f>IF(G611&gt;0,VLOOKUP(G611,Apoio!$H$2:$I$24,2,0),"")</f>
        <v>8</v>
      </c>
      <c r="I611" s="44">
        <f t="shared" si="44"/>
        <v>37.837837837837839</v>
      </c>
      <c r="J611" s="98">
        <f t="shared" si="45"/>
        <v>12.486486486486488</v>
      </c>
      <c r="K611" s="103"/>
    </row>
    <row r="612" spans="1:11" x14ac:dyDescent="0.3">
      <c r="A612" s="58" t="s">
        <v>213</v>
      </c>
      <c r="B612" s="4" t="s">
        <v>32</v>
      </c>
      <c r="C612" s="58">
        <v>5</v>
      </c>
      <c r="D612" s="51">
        <v>7.4</v>
      </c>
      <c r="E612" s="51">
        <v>7</v>
      </c>
      <c r="F612" s="4" t="s">
        <v>78</v>
      </c>
      <c r="G612" s="4" t="s">
        <v>115</v>
      </c>
      <c r="H612" s="48">
        <f>IF(G612&gt;0,VLOOKUP(G612,Apoio!$H$2:$I$24,2,0),"")</f>
        <v>7</v>
      </c>
      <c r="I612" s="44">
        <f t="shared" si="44"/>
        <v>33.108108108108105</v>
      </c>
      <c r="J612" s="98">
        <f t="shared" si="45"/>
        <v>10.925675675675675</v>
      </c>
      <c r="K612" s="103"/>
    </row>
    <row r="613" spans="1:11" x14ac:dyDescent="0.3">
      <c r="A613" s="58" t="s">
        <v>213</v>
      </c>
      <c r="B613" s="4" t="s">
        <v>32</v>
      </c>
      <c r="C613" s="58">
        <v>5</v>
      </c>
      <c r="D613" s="51">
        <v>7.4</v>
      </c>
      <c r="E613" s="51">
        <v>7</v>
      </c>
      <c r="F613" s="4" t="s">
        <v>78</v>
      </c>
      <c r="G613" s="4" t="s">
        <v>118</v>
      </c>
      <c r="H613" s="48">
        <f>IF(G613&gt;0,VLOOKUP(G613,Apoio!$H$2:$I$24,2,0),"")</f>
        <v>3</v>
      </c>
      <c r="I613" s="44">
        <f t="shared" si="44"/>
        <v>14.189189189189188</v>
      </c>
      <c r="J613" s="98">
        <f t="shared" si="45"/>
        <v>4.6824324324324325</v>
      </c>
      <c r="K613" s="103"/>
    </row>
    <row r="614" spans="1:11" x14ac:dyDescent="0.3">
      <c r="A614" s="58" t="s">
        <v>213</v>
      </c>
      <c r="B614" s="4" t="s">
        <v>32</v>
      </c>
      <c r="C614" s="58">
        <v>4</v>
      </c>
      <c r="D614" s="51">
        <v>6.6</v>
      </c>
      <c r="E614" s="51">
        <v>7</v>
      </c>
      <c r="F614" s="4" t="s">
        <v>85</v>
      </c>
      <c r="G614" s="4" t="s">
        <v>121</v>
      </c>
      <c r="H614" s="48">
        <f>IF(G614&gt;0,VLOOKUP(G614,Apoio!$H$2:$I$24,2,0),"")</f>
        <v>7</v>
      </c>
      <c r="I614" s="44">
        <f t="shared" si="44"/>
        <v>29.696969696969699</v>
      </c>
      <c r="J614" s="98">
        <f t="shared" si="45"/>
        <v>9.8000000000000007</v>
      </c>
      <c r="K614" s="103"/>
    </row>
    <row r="615" spans="1:11" x14ac:dyDescent="0.3">
      <c r="A615" s="58" t="s">
        <v>213</v>
      </c>
      <c r="B615" s="4" t="s">
        <v>32</v>
      </c>
      <c r="C615" s="58">
        <v>4</v>
      </c>
      <c r="D615" s="51">
        <v>6.6</v>
      </c>
      <c r="E615" s="51">
        <v>7</v>
      </c>
      <c r="F615" s="4" t="s">
        <v>85</v>
      </c>
      <c r="G615" s="4" t="s">
        <v>124</v>
      </c>
      <c r="H615" s="48">
        <f>IF(G615&gt;0,VLOOKUP(G615,Apoio!$H$2:$I$24,2,0),"")</f>
        <v>8</v>
      </c>
      <c r="I615" s="44">
        <f t="shared" si="44"/>
        <v>33.939393939393938</v>
      </c>
      <c r="J615" s="98">
        <f t="shared" si="45"/>
        <v>11.2</v>
      </c>
      <c r="K615" s="103"/>
    </row>
    <row r="616" spans="1:11" x14ac:dyDescent="0.3">
      <c r="A616" s="58" t="s">
        <v>213</v>
      </c>
      <c r="B616" s="4" t="s">
        <v>32</v>
      </c>
      <c r="C616" s="58">
        <v>4</v>
      </c>
      <c r="D616" s="51">
        <v>6.6</v>
      </c>
      <c r="E616" s="51">
        <v>7</v>
      </c>
      <c r="F616" s="4" t="s">
        <v>85</v>
      </c>
      <c r="G616" s="4" t="s">
        <v>127</v>
      </c>
      <c r="H616" s="48">
        <f>IF(G616&gt;0,VLOOKUP(G616,Apoio!$H$2:$I$24,2,0),"")</f>
        <v>8</v>
      </c>
      <c r="I616" s="44">
        <f t="shared" si="44"/>
        <v>33.939393939393938</v>
      </c>
      <c r="J616" s="98">
        <f t="shared" si="45"/>
        <v>11.2</v>
      </c>
      <c r="K616" s="103"/>
    </row>
    <row r="617" spans="1:11" x14ac:dyDescent="0.3">
      <c r="A617" s="58" t="s">
        <v>213</v>
      </c>
      <c r="B617" s="4" t="s">
        <v>32</v>
      </c>
      <c r="C617" s="58">
        <v>4</v>
      </c>
      <c r="D617" s="51">
        <v>6.6</v>
      </c>
      <c r="E617" s="51">
        <v>7</v>
      </c>
      <c r="F617" s="4" t="s">
        <v>85</v>
      </c>
      <c r="G617" s="4" t="s">
        <v>130</v>
      </c>
      <c r="H617" s="48">
        <f>IF(G617&gt;0,VLOOKUP(G617,Apoio!$H$2:$I$24,2,0),"")</f>
        <v>13</v>
      </c>
      <c r="I617" s="44">
        <f t="shared" si="44"/>
        <v>55.151515151515156</v>
      </c>
      <c r="J617" s="98">
        <f t="shared" si="45"/>
        <v>18.200000000000003</v>
      </c>
      <c r="K617" s="103"/>
    </row>
    <row r="618" spans="1:11" x14ac:dyDescent="0.3">
      <c r="A618" s="58" t="s">
        <v>213</v>
      </c>
      <c r="B618" s="4" t="s">
        <v>32</v>
      </c>
      <c r="C618" s="58">
        <v>4</v>
      </c>
      <c r="D618" s="51">
        <v>6.6</v>
      </c>
      <c r="E618" s="51">
        <v>7</v>
      </c>
      <c r="F618" s="4" t="s">
        <v>85</v>
      </c>
      <c r="G618" s="4" t="s">
        <v>133</v>
      </c>
      <c r="H618" s="48">
        <f>IF(G618&gt;0,VLOOKUP(G618,Apoio!$H$2:$I$24,2,0),"")</f>
        <v>3</v>
      </c>
      <c r="I618" s="44">
        <f t="shared" si="44"/>
        <v>12.727272727272728</v>
      </c>
      <c r="J618" s="98">
        <f t="shared" si="45"/>
        <v>4.2</v>
      </c>
      <c r="K618" s="103"/>
    </row>
    <row r="619" spans="1:11" x14ac:dyDescent="0.3">
      <c r="A619" s="58" t="s">
        <v>213</v>
      </c>
      <c r="B619" s="4" t="s">
        <v>32</v>
      </c>
      <c r="C619" s="58">
        <v>5</v>
      </c>
      <c r="D619" s="51">
        <v>7</v>
      </c>
      <c r="E619" s="51">
        <v>7</v>
      </c>
      <c r="F619" s="4" t="s">
        <v>92</v>
      </c>
      <c r="G619" s="4" t="s">
        <v>136</v>
      </c>
      <c r="H619" s="48">
        <f>IF(G619&gt;0,VLOOKUP(G619,Apoio!$H$2:$I$24,2,0),"")</f>
        <v>13</v>
      </c>
      <c r="I619" s="44">
        <f t="shared" si="44"/>
        <v>65</v>
      </c>
      <c r="J619" s="98">
        <f t="shared" si="45"/>
        <v>21.45</v>
      </c>
      <c r="K619" s="103"/>
    </row>
    <row r="620" spans="1:11" x14ac:dyDescent="0.3">
      <c r="A620" s="58" t="s">
        <v>213</v>
      </c>
      <c r="B620" s="4" t="s">
        <v>32</v>
      </c>
      <c r="C620" s="58">
        <v>5</v>
      </c>
      <c r="D620" s="51">
        <v>7</v>
      </c>
      <c r="E620" s="51">
        <v>7</v>
      </c>
      <c r="F620" s="4" t="s">
        <v>92</v>
      </c>
      <c r="G620" s="4" t="s">
        <v>139</v>
      </c>
      <c r="H620" s="48">
        <f>IF(G620&gt;0,VLOOKUP(G620,Apoio!$H$2:$I$24,2,0),"")</f>
        <v>8</v>
      </c>
      <c r="I620" s="44">
        <f t="shared" si="44"/>
        <v>40</v>
      </c>
      <c r="J620" s="98">
        <f t="shared" si="45"/>
        <v>13.200000000000001</v>
      </c>
      <c r="K620" s="103"/>
    </row>
    <row r="621" spans="1:11" x14ac:dyDescent="0.3">
      <c r="A621" s="58" t="s">
        <v>213</v>
      </c>
      <c r="B621" s="4" t="s">
        <v>32</v>
      </c>
      <c r="C621" s="58">
        <v>5</v>
      </c>
      <c r="D621" s="51">
        <v>7</v>
      </c>
      <c r="E621" s="51">
        <v>7</v>
      </c>
      <c r="F621" s="4" t="s">
        <v>92</v>
      </c>
      <c r="G621" s="4" t="s">
        <v>142</v>
      </c>
      <c r="H621" s="48">
        <f>IF(G621&gt;0,VLOOKUP(G621,Apoio!$H$2:$I$24,2,0),"")</f>
        <v>8</v>
      </c>
      <c r="I621" s="44">
        <f t="shared" si="44"/>
        <v>40</v>
      </c>
      <c r="J621" s="98">
        <f t="shared" si="45"/>
        <v>13.200000000000001</v>
      </c>
      <c r="K621" s="103"/>
    </row>
    <row r="622" spans="1:11" x14ac:dyDescent="0.3">
      <c r="A622" s="58" t="s">
        <v>213</v>
      </c>
      <c r="B622" s="4" t="s">
        <v>32</v>
      </c>
      <c r="C622" s="58">
        <v>5</v>
      </c>
      <c r="D622" s="51">
        <v>7</v>
      </c>
      <c r="E622" s="51">
        <v>7</v>
      </c>
      <c r="F622" s="4" t="s">
        <v>92</v>
      </c>
      <c r="G622" s="4" t="s">
        <v>145</v>
      </c>
      <c r="H622" s="48">
        <f>IF(G622&gt;0,VLOOKUP(G622,Apoio!$H$2:$I$24,2,0),"")</f>
        <v>7</v>
      </c>
      <c r="I622" s="44">
        <f t="shared" si="44"/>
        <v>35</v>
      </c>
      <c r="J622" s="98">
        <f t="shared" si="45"/>
        <v>11.55</v>
      </c>
      <c r="K622" s="103"/>
    </row>
    <row r="623" spans="1:11" x14ac:dyDescent="0.3">
      <c r="A623" s="58" t="s">
        <v>213</v>
      </c>
      <c r="B623" s="4" t="s">
        <v>32</v>
      </c>
      <c r="C623" s="58">
        <v>5</v>
      </c>
      <c r="D623" s="51">
        <v>7</v>
      </c>
      <c r="E623" s="51">
        <v>7</v>
      </c>
      <c r="F623" s="4" t="s">
        <v>92</v>
      </c>
      <c r="G623" s="4" t="s">
        <v>148</v>
      </c>
      <c r="H623" s="48">
        <f>IF(G623&gt;0,VLOOKUP(G623,Apoio!$H$2:$I$24,2,0),"")</f>
        <v>8</v>
      </c>
      <c r="I623" s="44">
        <f t="shared" si="44"/>
        <v>40</v>
      </c>
      <c r="J623" s="98">
        <f t="shared" si="45"/>
        <v>13.200000000000001</v>
      </c>
      <c r="K623" s="103"/>
    </row>
    <row r="624" spans="1:11" x14ac:dyDescent="0.3">
      <c r="A624" s="58" t="s">
        <v>213</v>
      </c>
      <c r="B624" s="4" t="s">
        <v>32</v>
      </c>
      <c r="C624" s="58">
        <v>5</v>
      </c>
      <c r="D624" s="51">
        <v>7</v>
      </c>
      <c r="E624" s="51">
        <v>7</v>
      </c>
      <c r="F624" s="4" t="s">
        <v>92</v>
      </c>
      <c r="G624" s="4" t="s">
        <v>151</v>
      </c>
      <c r="H624" s="48">
        <f>IF(G624&gt;0,VLOOKUP(G624,Apoio!$H$2:$I$24,2,0),"")</f>
        <v>8</v>
      </c>
      <c r="I624" s="44">
        <f t="shared" si="44"/>
        <v>40</v>
      </c>
      <c r="J624" s="98">
        <v>6</v>
      </c>
      <c r="K624" s="103"/>
    </row>
    <row r="625" spans="1:11" x14ac:dyDescent="0.3">
      <c r="A625" s="58" t="s">
        <v>213</v>
      </c>
      <c r="B625" s="58" t="s">
        <v>33</v>
      </c>
      <c r="C625" s="58">
        <v>3</v>
      </c>
      <c r="D625" s="58">
        <v>4.5999999999999996</v>
      </c>
      <c r="E625" s="51">
        <v>7</v>
      </c>
      <c r="F625" s="4" t="s">
        <v>71</v>
      </c>
      <c r="G625" s="4" t="s">
        <v>70</v>
      </c>
      <c r="H625" s="48">
        <f>IF(G625&gt;0,VLOOKUP(G625,Apoio!$H$2:$I$24,2,0),"")</f>
        <v>7</v>
      </c>
      <c r="I625" s="44">
        <f t="shared" si="44"/>
        <v>31.956521739130437</v>
      </c>
      <c r="J625" s="98">
        <f t="shared" ref="J625:J645" si="46">I625*22%</f>
        <v>7.0304347826086966</v>
      </c>
      <c r="K625" s="103"/>
    </row>
    <row r="626" spans="1:11" x14ac:dyDescent="0.3">
      <c r="A626" s="58" t="s">
        <v>213</v>
      </c>
      <c r="B626" s="58" t="s">
        <v>33</v>
      </c>
      <c r="C626" s="58">
        <v>4</v>
      </c>
      <c r="D626" s="58">
        <v>4.5999999999999996</v>
      </c>
      <c r="E626" s="51">
        <v>7</v>
      </c>
      <c r="F626" s="4" t="s">
        <v>71</v>
      </c>
      <c r="G626" s="4" t="s">
        <v>77</v>
      </c>
      <c r="H626" s="48">
        <f>IF(G626&gt;0,VLOOKUP(G626,Apoio!$H$2:$I$24,2,0),"")</f>
        <v>8</v>
      </c>
      <c r="I626" s="44">
        <f t="shared" si="44"/>
        <v>48.695652173913047</v>
      </c>
      <c r="J626" s="98">
        <f t="shared" si="46"/>
        <v>10.71304347826087</v>
      </c>
      <c r="K626" s="103"/>
    </row>
    <row r="627" spans="1:11" x14ac:dyDescent="0.3">
      <c r="A627" s="58" t="s">
        <v>213</v>
      </c>
      <c r="B627" s="58" t="s">
        <v>33</v>
      </c>
      <c r="C627" s="58">
        <v>4</v>
      </c>
      <c r="D627" s="58">
        <v>4.5999999999999996</v>
      </c>
      <c r="E627" s="51">
        <v>7</v>
      </c>
      <c r="F627" s="4" t="s">
        <v>71</v>
      </c>
      <c r="G627" s="4" t="s">
        <v>84</v>
      </c>
      <c r="H627" s="48">
        <f>IF(G627&gt;0,VLOOKUP(G627,Apoio!$H$2:$I$24,2,0),"")</f>
        <v>8</v>
      </c>
      <c r="I627" s="44">
        <f t="shared" si="44"/>
        <v>48.695652173913047</v>
      </c>
      <c r="J627" s="98">
        <f t="shared" si="46"/>
        <v>10.71304347826087</v>
      </c>
      <c r="K627" s="103"/>
    </row>
    <row r="628" spans="1:11" x14ac:dyDescent="0.3">
      <c r="A628" s="58" t="s">
        <v>213</v>
      </c>
      <c r="B628" s="58" t="s">
        <v>33</v>
      </c>
      <c r="C628" s="58">
        <v>4</v>
      </c>
      <c r="D628" s="58">
        <v>4.5999999999999996</v>
      </c>
      <c r="E628" s="51">
        <v>7</v>
      </c>
      <c r="F628" s="4" t="s">
        <v>71</v>
      </c>
      <c r="G628" s="4" t="s">
        <v>91</v>
      </c>
      <c r="H628" s="48">
        <f>IF(G628&gt;0,VLOOKUP(G628,Apoio!$H$2:$I$24,2,0),"")</f>
        <v>6</v>
      </c>
      <c r="I628" s="44">
        <f t="shared" si="44"/>
        <v>36.521739130434788</v>
      </c>
      <c r="J628" s="98">
        <f t="shared" si="46"/>
        <v>8.0347826086956537</v>
      </c>
      <c r="K628" s="103"/>
    </row>
    <row r="629" spans="1:11" x14ac:dyDescent="0.3">
      <c r="A629" s="58" t="s">
        <v>213</v>
      </c>
      <c r="B629" s="58" t="s">
        <v>33</v>
      </c>
      <c r="C629" s="58">
        <v>4</v>
      </c>
      <c r="D629" s="58">
        <v>4.5999999999999996</v>
      </c>
      <c r="E629" s="51">
        <v>7</v>
      </c>
      <c r="F629" s="4" t="s">
        <v>71</v>
      </c>
      <c r="G629" s="4" t="s">
        <v>97</v>
      </c>
      <c r="H629" s="48">
        <f>IF(G629&gt;0,VLOOKUP(G629,Apoio!$H$2:$I$24,2,0),"")</f>
        <v>8</v>
      </c>
      <c r="I629" s="44">
        <f t="shared" si="44"/>
        <v>48.695652173913047</v>
      </c>
      <c r="J629" s="98">
        <f t="shared" si="46"/>
        <v>10.71304347826087</v>
      </c>
      <c r="K629" s="103"/>
    </row>
    <row r="630" spans="1:11" x14ac:dyDescent="0.3">
      <c r="A630" s="58" t="s">
        <v>213</v>
      </c>
      <c r="B630" s="58" t="s">
        <v>33</v>
      </c>
      <c r="C630" s="58">
        <v>3</v>
      </c>
      <c r="D630" s="58">
        <v>4.5999999999999996</v>
      </c>
      <c r="E630" s="51">
        <v>7</v>
      </c>
      <c r="F630" s="4" t="s">
        <v>71</v>
      </c>
      <c r="G630" s="4" t="s">
        <v>100</v>
      </c>
      <c r="H630" s="48">
        <f>IF(G630&gt;0,VLOOKUP(G630,Apoio!$H$2:$I$24,2,0),"")</f>
        <v>3</v>
      </c>
      <c r="I630" s="44">
        <f t="shared" si="44"/>
        <v>13.695652173913045</v>
      </c>
      <c r="J630" s="98">
        <f t="shared" si="46"/>
        <v>3.0130434782608697</v>
      </c>
      <c r="K630" s="103"/>
    </row>
    <row r="631" spans="1:11" x14ac:dyDescent="0.3">
      <c r="A631" s="58" t="s">
        <v>213</v>
      </c>
      <c r="B631" s="58" t="s">
        <v>33</v>
      </c>
      <c r="C631" s="58">
        <v>3</v>
      </c>
      <c r="D631" s="58">
        <v>5.4</v>
      </c>
      <c r="E631" s="51">
        <v>7</v>
      </c>
      <c r="F631" s="4" t="s">
        <v>78</v>
      </c>
      <c r="G631" s="4" t="s">
        <v>103</v>
      </c>
      <c r="H631" s="48">
        <f>IF(G631&gt;0,VLOOKUP(G631,Apoio!$H$2:$I$24,2,0),"")</f>
        <v>6</v>
      </c>
      <c r="I631" s="44">
        <f t="shared" si="44"/>
        <v>23.333333333333332</v>
      </c>
      <c r="J631" s="98">
        <f t="shared" si="46"/>
        <v>5.1333333333333329</v>
      </c>
      <c r="K631" s="103"/>
    </row>
    <row r="632" spans="1:11" x14ac:dyDescent="0.3">
      <c r="A632" s="58" t="s">
        <v>213</v>
      </c>
      <c r="B632" s="58" t="s">
        <v>33</v>
      </c>
      <c r="C632" s="58">
        <v>3</v>
      </c>
      <c r="D632" s="58">
        <v>5.4</v>
      </c>
      <c r="E632" s="51">
        <v>7</v>
      </c>
      <c r="F632" s="4" t="s">
        <v>78</v>
      </c>
      <c r="G632" s="4" t="s">
        <v>106</v>
      </c>
      <c r="H632" s="48">
        <f>IF(G632&gt;0,VLOOKUP(G632,Apoio!$H$2:$I$24,2,0),"")</f>
        <v>7</v>
      </c>
      <c r="I632" s="44">
        <f t="shared" si="44"/>
        <v>27.222222222222221</v>
      </c>
      <c r="J632" s="98">
        <f t="shared" si="46"/>
        <v>5.9888888888888889</v>
      </c>
      <c r="K632" s="103"/>
    </row>
    <row r="633" spans="1:11" x14ac:dyDescent="0.3">
      <c r="A633" s="58" t="s">
        <v>213</v>
      </c>
      <c r="B633" s="58" t="s">
        <v>33</v>
      </c>
      <c r="C633" s="58">
        <v>3</v>
      </c>
      <c r="D633" s="58">
        <v>5.4</v>
      </c>
      <c r="E633" s="51">
        <v>7</v>
      </c>
      <c r="F633" s="4" t="s">
        <v>78</v>
      </c>
      <c r="G633" s="4" t="s">
        <v>109</v>
      </c>
      <c r="H633" s="48">
        <f>IF(G633&gt;0,VLOOKUP(G633,Apoio!$H$2:$I$24,2,0),"")</f>
        <v>8</v>
      </c>
      <c r="I633" s="44">
        <f t="shared" si="44"/>
        <v>31.111111111111111</v>
      </c>
      <c r="J633" s="98">
        <f t="shared" si="46"/>
        <v>6.8444444444444441</v>
      </c>
      <c r="K633" s="103"/>
    </row>
    <row r="634" spans="1:11" x14ac:dyDescent="0.3">
      <c r="A634" s="58" t="s">
        <v>213</v>
      </c>
      <c r="B634" s="58" t="s">
        <v>33</v>
      </c>
      <c r="C634" s="58">
        <v>3</v>
      </c>
      <c r="D634" s="58">
        <v>5.4</v>
      </c>
      <c r="E634" s="51">
        <v>7</v>
      </c>
      <c r="F634" s="4" t="s">
        <v>78</v>
      </c>
      <c r="G634" s="4" t="s">
        <v>112</v>
      </c>
      <c r="H634" s="48">
        <f>IF(G634&gt;0,VLOOKUP(G634,Apoio!$H$2:$I$24,2,0),"")</f>
        <v>8</v>
      </c>
      <c r="I634" s="44">
        <f t="shared" ref="I634:I647" si="47">IF(D634&gt;0,(((H634*E634)*C634)/D634),"")</f>
        <v>31.111111111111111</v>
      </c>
      <c r="J634" s="98">
        <f t="shared" si="46"/>
        <v>6.8444444444444441</v>
      </c>
      <c r="K634" s="103"/>
    </row>
    <row r="635" spans="1:11" x14ac:dyDescent="0.3">
      <c r="A635" s="58" t="s">
        <v>213</v>
      </c>
      <c r="B635" s="58" t="s">
        <v>33</v>
      </c>
      <c r="C635" s="58">
        <v>3</v>
      </c>
      <c r="D635" s="58">
        <v>5.4</v>
      </c>
      <c r="E635" s="51">
        <v>7</v>
      </c>
      <c r="F635" s="4" t="s">
        <v>78</v>
      </c>
      <c r="G635" s="4" t="s">
        <v>115</v>
      </c>
      <c r="H635" s="48">
        <f>IF(G635&gt;0,VLOOKUP(G635,Apoio!$H$2:$I$24,2,0),"")</f>
        <v>7</v>
      </c>
      <c r="I635" s="44">
        <f t="shared" si="47"/>
        <v>27.222222222222221</v>
      </c>
      <c r="J635" s="98">
        <f t="shared" si="46"/>
        <v>5.9888888888888889</v>
      </c>
      <c r="K635" s="103"/>
    </row>
    <row r="636" spans="1:11" x14ac:dyDescent="0.3">
      <c r="A636" s="58" t="s">
        <v>213</v>
      </c>
      <c r="B636" s="58" t="s">
        <v>33</v>
      </c>
      <c r="C636" s="58">
        <v>3</v>
      </c>
      <c r="D636" s="58">
        <v>5.4</v>
      </c>
      <c r="E636" s="51">
        <v>7</v>
      </c>
      <c r="F636" s="4" t="s">
        <v>78</v>
      </c>
      <c r="G636" s="4" t="s">
        <v>118</v>
      </c>
      <c r="H636" s="48">
        <f>IF(G636&gt;0,VLOOKUP(G636,Apoio!$H$2:$I$24,2,0),"")</f>
        <v>3</v>
      </c>
      <c r="I636" s="44">
        <f t="shared" si="47"/>
        <v>11.666666666666666</v>
      </c>
      <c r="J636" s="98">
        <f t="shared" si="46"/>
        <v>2.5666666666666664</v>
      </c>
      <c r="K636" s="103"/>
    </row>
    <row r="637" spans="1:11" x14ac:dyDescent="0.3">
      <c r="A637" s="58" t="s">
        <v>213</v>
      </c>
      <c r="B637" s="58" t="s">
        <v>33</v>
      </c>
      <c r="C637" s="58">
        <v>3</v>
      </c>
      <c r="D637" s="58">
        <v>5.4</v>
      </c>
      <c r="E637" s="51">
        <v>7</v>
      </c>
      <c r="F637" s="4" t="s">
        <v>85</v>
      </c>
      <c r="G637" s="4" t="s">
        <v>121</v>
      </c>
      <c r="H637" s="48">
        <f>IF(G637&gt;0,VLOOKUP(G637,Apoio!$H$2:$I$24,2,0),"")</f>
        <v>7</v>
      </c>
      <c r="I637" s="44">
        <f t="shared" si="47"/>
        <v>27.222222222222221</v>
      </c>
      <c r="J637" s="98">
        <f t="shared" si="46"/>
        <v>5.9888888888888889</v>
      </c>
      <c r="K637" s="103"/>
    </row>
    <row r="638" spans="1:11" x14ac:dyDescent="0.3">
      <c r="A638" s="58" t="s">
        <v>213</v>
      </c>
      <c r="B638" s="58" t="s">
        <v>33</v>
      </c>
      <c r="C638" s="58">
        <v>3</v>
      </c>
      <c r="D638" s="58">
        <v>5.4</v>
      </c>
      <c r="E638" s="51">
        <v>7</v>
      </c>
      <c r="F638" s="4" t="s">
        <v>85</v>
      </c>
      <c r="G638" s="4" t="s">
        <v>124</v>
      </c>
      <c r="H638" s="48">
        <f>IF(G638&gt;0,VLOOKUP(G638,Apoio!$H$2:$I$24,2,0),"")</f>
        <v>8</v>
      </c>
      <c r="I638" s="44">
        <f t="shared" si="47"/>
        <v>31.111111111111111</v>
      </c>
      <c r="J638" s="98">
        <f t="shared" si="46"/>
        <v>6.8444444444444441</v>
      </c>
      <c r="K638" s="103"/>
    </row>
    <row r="639" spans="1:11" x14ac:dyDescent="0.3">
      <c r="A639" s="58" t="s">
        <v>213</v>
      </c>
      <c r="B639" s="58" t="s">
        <v>33</v>
      </c>
      <c r="C639" s="58">
        <v>3</v>
      </c>
      <c r="D639" s="58">
        <v>5.4</v>
      </c>
      <c r="E639" s="51">
        <v>7</v>
      </c>
      <c r="F639" s="4" t="s">
        <v>85</v>
      </c>
      <c r="G639" s="4" t="s">
        <v>127</v>
      </c>
      <c r="H639" s="48">
        <f>IF(G639&gt;0,VLOOKUP(G639,Apoio!$H$2:$I$24,2,0),"")</f>
        <v>8</v>
      </c>
      <c r="I639" s="44">
        <f t="shared" si="47"/>
        <v>31.111111111111111</v>
      </c>
      <c r="J639" s="98">
        <f t="shared" si="46"/>
        <v>6.8444444444444441</v>
      </c>
      <c r="K639" s="103"/>
    </row>
    <row r="640" spans="1:11" x14ac:dyDescent="0.3">
      <c r="A640" s="58" t="s">
        <v>213</v>
      </c>
      <c r="B640" s="58" t="s">
        <v>33</v>
      </c>
      <c r="C640" s="58">
        <v>3</v>
      </c>
      <c r="D640" s="58">
        <v>5.4</v>
      </c>
      <c r="E640" s="51">
        <v>7</v>
      </c>
      <c r="F640" s="4" t="s">
        <v>85</v>
      </c>
      <c r="G640" s="4" t="s">
        <v>130</v>
      </c>
      <c r="H640" s="48">
        <f>IF(G640&gt;0,VLOOKUP(G640,Apoio!$H$2:$I$24,2,0),"")</f>
        <v>13</v>
      </c>
      <c r="I640" s="44">
        <f t="shared" si="47"/>
        <v>50.55555555555555</v>
      </c>
      <c r="J640" s="98">
        <f t="shared" si="46"/>
        <v>11.122222222222222</v>
      </c>
      <c r="K640" s="103"/>
    </row>
    <row r="641" spans="1:11" x14ac:dyDescent="0.3">
      <c r="A641" s="58" t="s">
        <v>213</v>
      </c>
      <c r="B641" s="58" t="s">
        <v>33</v>
      </c>
      <c r="C641" s="58">
        <v>3</v>
      </c>
      <c r="D641" s="58">
        <v>5.4</v>
      </c>
      <c r="E641" s="51">
        <v>7</v>
      </c>
      <c r="F641" s="4" t="s">
        <v>85</v>
      </c>
      <c r="G641" s="4" t="s">
        <v>133</v>
      </c>
      <c r="H641" s="48">
        <f>IF(G641&gt;0,VLOOKUP(G641,Apoio!$H$2:$I$24,2,0),"")</f>
        <v>3</v>
      </c>
      <c r="I641" s="44">
        <f t="shared" si="47"/>
        <v>11.666666666666666</v>
      </c>
      <c r="J641" s="98">
        <f t="shared" si="46"/>
        <v>2.5666666666666664</v>
      </c>
      <c r="K641" s="103"/>
    </row>
    <row r="642" spans="1:11" x14ac:dyDescent="0.3">
      <c r="A642" s="58" t="s">
        <v>213</v>
      </c>
      <c r="B642" s="58" t="s">
        <v>33</v>
      </c>
      <c r="C642" s="58">
        <v>3</v>
      </c>
      <c r="D642" s="58">
        <v>4.9000000000000004</v>
      </c>
      <c r="E642" s="51">
        <v>7</v>
      </c>
      <c r="F642" s="4" t="s">
        <v>92</v>
      </c>
      <c r="G642" s="4" t="s">
        <v>136</v>
      </c>
      <c r="H642" s="48">
        <f>IF(G642&gt;0,VLOOKUP(G642,Apoio!$H$2:$I$24,2,0),"")</f>
        <v>13</v>
      </c>
      <c r="I642" s="44">
        <f t="shared" si="47"/>
        <v>55.714285714285708</v>
      </c>
      <c r="J642" s="98">
        <f t="shared" si="46"/>
        <v>12.257142857142856</v>
      </c>
      <c r="K642" s="103"/>
    </row>
    <row r="643" spans="1:11" x14ac:dyDescent="0.3">
      <c r="A643" s="58" t="s">
        <v>213</v>
      </c>
      <c r="B643" s="58" t="s">
        <v>33</v>
      </c>
      <c r="C643" s="58">
        <v>3</v>
      </c>
      <c r="D643" s="58">
        <v>4.9000000000000004</v>
      </c>
      <c r="E643" s="51">
        <v>7</v>
      </c>
      <c r="F643" s="4" t="s">
        <v>92</v>
      </c>
      <c r="G643" s="4" t="s">
        <v>139</v>
      </c>
      <c r="H643" s="48">
        <f>IF(G643&gt;0,VLOOKUP(G643,Apoio!$H$2:$I$24,2,0),"")</f>
        <v>8</v>
      </c>
      <c r="I643" s="44">
        <f t="shared" si="47"/>
        <v>34.285714285714285</v>
      </c>
      <c r="J643" s="98">
        <f t="shared" si="46"/>
        <v>7.5428571428571427</v>
      </c>
      <c r="K643" s="103"/>
    </row>
    <row r="644" spans="1:11" x14ac:dyDescent="0.3">
      <c r="A644" s="58" t="s">
        <v>213</v>
      </c>
      <c r="B644" s="58" t="s">
        <v>33</v>
      </c>
      <c r="C644" s="58">
        <v>3</v>
      </c>
      <c r="D644" s="58">
        <v>4.9000000000000004</v>
      </c>
      <c r="E644" s="51">
        <v>7</v>
      </c>
      <c r="F644" s="4" t="s">
        <v>92</v>
      </c>
      <c r="G644" s="4" t="s">
        <v>142</v>
      </c>
      <c r="H644" s="48">
        <f>IF(G644&gt;0,VLOOKUP(G644,Apoio!$H$2:$I$24,2,0),"")</f>
        <v>8</v>
      </c>
      <c r="I644" s="44">
        <f t="shared" si="47"/>
        <v>34.285714285714285</v>
      </c>
      <c r="J644" s="98">
        <f t="shared" si="46"/>
        <v>7.5428571428571427</v>
      </c>
      <c r="K644" s="103"/>
    </row>
    <row r="645" spans="1:11" x14ac:dyDescent="0.3">
      <c r="A645" s="58" t="s">
        <v>213</v>
      </c>
      <c r="B645" s="58" t="s">
        <v>33</v>
      </c>
      <c r="C645" s="58">
        <v>3</v>
      </c>
      <c r="D645" s="58">
        <v>4.9000000000000004</v>
      </c>
      <c r="E645" s="51">
        <v>7</v>
      </c>
      <c r="F645" s="4" t="s">
        <v>92</v>
      </c>
      <c r="G645" s="4" t="s">
        <v>145</v>
      </c>
      <c r="H645" s="48">
        <f>IF(G645&gt;0,VLOOKUP(G645,Apoio!$H$2:$I$24,2,0),"")</f>
        <v>7</v>
      </c>
      <c r="I645" s="44">
        <f t="shared" si="47"/>
        <v>29.999999999999996</v>
      </c>
      <c r="J645" s="98">
        <f t="shared" si="46"/>
        <v>6.6</v>
      </c>
      <c r="K645" s="103"/>
    </row>
    <row r="646" spans="1:11" x14ac:dyDescent="0.3">
      <c r="A646" s="58" t="s">
        <v>213</v>
      </c>
      <c r="B646" s="58" t="s">
        <v>33</v>
      </c>
      <c r="C646" s="58">
        <v>3</v>
      </c>
      <c r="D646" s="58">
        <v>4.9000000000000004</v>
      </c>
      <c r="E646" s="51">
        <v>7</v>
      </c>
      <c r="F646" s="4" t="s">
        <v>92</v>
      </c>
      <c r="G646" s="4" t="s">
        <v>148</v>
      </c>
      <c r="H646" s="48">
        <f>IF(G646&gt;0,VLOOKUP(G646,Apoio!$H$2:$I$24,2,0),"")</f>
        <v>8</v>
      </c>
      <c r="I646" s="44">
        <f t="shared" si="47"/>
        <v>34.285714285714285</v>
      </c>
      <c r="J646" s="98">
        <v>12</v>
      </c>
      <c r="K646" s="103"/>
    </row>
    <row r="647" spans="1:11" x14ac:dyDescent="0.3">
      <c r="A647" s="58" t="s">
        <v>213</v>
      </c>
      <c r="B647" s="58" t="s">
        <v>33</v>
      </c>
      <c r="C647" s="58">
        <v>3</v>
      </c>
      <c r="D647" s="58">
        <v>4.9000000000000004</v>
      </c>
      <c r="E647" s="51">
        <v>7</v>
      </c>
      <c r="F647" s="4" t="s">
        <v>92</v>
      </c>
      <c r="G647" s="4" t="s">
        <v>151</v>
      </c>
      <c r="H647" s="48">
        <f>IF(G647&gt;0,VLOOKUP(G647,Apoio!$H$2:$I$24,2,0),"")</f>
        <v>8</v>
      </c>
      <c r="I647" s="44">
        <f t="shared" si="47"/>
        <v>34.285714285714285</v>
      </c>
      <c r="J647" s="98">
        <v>11</v>
      </c>
      <c r="K647" s="103"/>
    </row>
    <row r="648" spans="1:11" x14ac:dyDescent="0.3">
      <c r="A648" s="58" t="s">
        <v>213</v>
      </c>
      <c r="B648" s="58" t="s">
        <v>35</v>
      </c>
      <c r="C648" s="58">
        <v>2</v>
      </c>
      <c r="D648" s="58">
        <v>5</v>
      </c>
      <c r="E648" s="51">
        <v>7</v>
      </c>
      <c r="F648" s="4" t="s">
        <v>71</v>
      </c>
      <c r="G648" s="4" t="s">
        <v>70</v>
      </c>
      <c r="H648" s="48">
        <f>IF(G648&gt;0,VLOOKUP(G648,Apoio!$H$2:$I$24,2,0),"")</f>
        <v>7</v>
      </c>
      <c r="I648" s="44">
        <f t="shared" ref="I648:I674" si="48">IF(D648&gt;0,(((H648*E648)*C648)/D648),"")</f>
        <v>19.600000000000001</v>
      </c>
      <c r="J648" s="98">
        <f t="shared" ref="J648:J669" si="49">I648*56%</f>
        <v>10.976000000000003</v>
      </c>
      <c r="K648" s="103"/>
    </row>
    <row r="649" spans="1:11" x14ac:dyDescent="0.3">
      <c r="A649" s="58" t="s">
        <v>213</v>
      </c>
      <c r="B649" s="58" t="s">
        <v>35</v>
      </c>
      <c r="C649" s="58">
        <v>2</v>
      </c>
      <c r="D649" s="58">
        <v>5</v>
      </c>
      <c r="E649" s="51">
        <v>7</v>
      </c>
      <c r="F649" s="4" t="s">
        <v>71</v>
      </c>
      <c r="G649" s="4" t="s">
        <v>77</v>
      </c>
      <c r="H649" s="48">
        <f>IF(G649&gt;0,VLOOKUP(G649,Apoio!$H$2:$I$24,2,0),"")</f>
        <v>8</v>
      </c>
      <c r="I649" s="44">
        <f t="shared" si="48"/>
        <v>22.4</v>
      </c>
      <c r="J649" s="98">
        <f t="shared" si="49"/>
        <v>12.544</v>
      </c>
      <c r="K649" s="103"/>
    </row>
    <row r="650" spans="1:11" x14ac:dyDescent="0.3">
      <c r="A650" s="58" t="s">
        <v>213</v>
      </c>
      <c r="B650" s="58" t="s">
        <v>35</v>
      </c>
      <c r="C650" s="58">
        <v>2</v>
      </c>
      <c r="D650" s="58">
        <v>5</v>
      </c>
      <c r="E650" s="51">
        <v>7</v>
      </c>
      <c r="F650" s="4" t="s">
        <v>71</v>
      </c>
      <c r="G650" s="4" t="s">
        <v>84</v>
      </c>
      <c r="H650" s="48">
        <f>IF(G650&gt;0,VLOOKUP(G650,Apoio!$H$2:$I$24,2,0),"")</f>
        <v>8</v>
      </c>
      <c r="I650" s="44">
        <f t="shared" si="48"/>
        <v>22.4</v>
      </c>
      <c r="J650" s="98">
        <f t="shared" si="49"/>
        <v>12.544</v>
      </c>
      <c r="K650" s="103"/>
    </row>
    <row r="651" spans="1:11" x14ac:dyDescent="0.3">
      <c r="A651" s="58" t="s">
        <v>213</v>
      </c>
      <c r="B651" s="58" t="s">
        <v>35</v>
      </c>
      <c r="C651" s="58">
        <v>2</v>
      </c>
      <c r="D651" s="58">
        <v>5</v>
      </c>
      <c r="E651" s="51">
        <v>7</v>
      </c>
      <c r="F651" s="4" t="s">
        <v>71</v>
      </c>
      <c r="G651" s="4" t="s">
        <v>91</v>
      </c>
      <c r="H651" s="48">
        <f>IF(G651&gt;0,VLOOKUP(G651,Apoio!$H$2:$I$24,2,0),"")</f>
        <v>6</v>
      </c>
      <c r="I651" s="44">
        <f t="shared" si="48"/>
        <v>16.8</v>
      </c>
      <c r="J651" s="98">
        <f t="shared" si="49"/>
        <v>9.4080000000000013</v>
      </c>
      <c r="K651" s="103"/>
    </row>
    <row r="652" spans="1:11" x14ac:dyDescent="0.3">
      <c r="A652" s="58" t="s">
        <v>213</v>
      </c>
      <c r="B652" s="58" t="s">
        <v>35</v>
      </c>
      <c r="C652" s="58">
        <v>2</v>
      </c>
      <c r="D652" s="58">
        <v>5</v>
      </c>
      <c r="E652" s="51">
        <v>7</v>
      </c>
      <c r="F652" s="4" t="s">
        <v>71</v>
      </c>
      <c r="G652" s="4" t="s">
        <v>97</v>
      </c>
      <c r="H652" s="48">
        <f>IF(G652&gt;0,VLOOKUP(G652,Apoio!$H$2:$I$24,2,0),"")</f>
        <v>8</v>
      </c>
      <c r="I652" s="44">
        <f t="shared" si="48"/>
        <v>22.4</v>
      </c>
      <c r="J652" s="98">
        <f t="shared" si="49"/>
        <v>12.544</v>
      </c>
      <c r="K652" s="103"/>
    </row>
    <row r="653" spans="1:11" x14ac:dyDescent="0.3">
      <c r="A653" s="58" t="s">
        <v>213</v>
      </c>
      <c r="B653" s="58" t="s">
        <v>35</v>
      </c>
      <c r="C653" s="58">
        <v>2</v>
      </c>
      <c r="D653" s="58">
        <v>5</v>
      </c>
      <c r="E653" s="51">
        <v>7</v>
      </c>
      <c r="F653" s="4" t="s">
        <v>71</v>
      </c>
      <c r="G653" s="4" t="s">
        <v>100</v>
      </c>
      <c r="H653" s="48">
        <f>IF(G653&gt;0,VLOOKUP(G653,Apoio!$H$2:$I$24,2,0),"")</f>
        <v>3</v>
      </c>
      <c r="I653" s="44">
        <f t="shared" si="48"/>
        <v>8.4</v>
      </c>
      <c r="J653" s="98">
        <f t="shared" si="49"/>
        <v>4.7040000000000006</v>
      </c>
      <c r="K653" s="103"/>
    </row>
    <row r="654" spans="1:11" x14ac:dyDescent="0.3">
      <c r="A654" s="58" t="s">
        <v>213</v>
      </c>
      <c r="B654" s="58" t="s">
        <v>35</v>
      </c>
      <c r="C654" s="58">
        <v>2</v>
      </c>
      <c r="D654" s="58">
        <v>5.0999999999999996</v>
      </c>
      <c r="E654" s="51">
        <v>7</v>
      </c>
      <c r="F654" s="4" t="s">
        <v>78</v>
      </c>
      <c r="G654" s="4" t="s">
        <v>103</v>
      </c>
      <c r="H654" s="48">
        <f>IF(G654&gt;0,VLOOKUP(G654,Apoio!$H$2:$I$24,2,0),"")</f>
        <v>6</v>
      </c>
      <c r="I654" s="44">
        <f t="shared" si="48"/>
        <v>16.47058823529412</v>
      </c>
      <c r="J654" s="98">
        <f t="shared" si="49"/>
        <v>9.2235294117647086</v>
      </c>
      <c r="K654" s="103"/>
    </row>
    <row r="655" spans="1:11" x14ac:dyDescent="0.3">
      <c r="A655" s="58" t="s">
        <v>213</v>
      </c>
      <c r="B655" s="58" t="s">
        <v>35</v>
      </c>
      <c r="C655" s="58">
        <v>2</v>
      </c>
      <c r="D655" s="58">
        <v>5.0999999999999996</v>
      </c>
      <c r="E655" s="51">
        <v>7</v>
      </c>
      <c r="F655" s="4" t="s">
        <v>78</v>
      </c>
      <c r="G655" s="4" t="s">
        <v>106</v>
      </c>
      <c r="H655" s="48">
        <f>IF(G655&gt;0,VLOOKUP(G655,Apoio!$H$2:$I$24,2,0),"")</f>
        <v>7</v>
      </c>
      <c r="I655" s="44">
        <f t="shared" si="48"/>
        <v>19.215686274509807</v>
      </c>
      <c r="J655" s="98">
        <f t="shared" si="49"/>
        <v>10.760784313725493</v>
      </c>
      <c r="K655" s="103"/>
    </row>
    <row r="656" spans="1:11" x14ac:dyDescent="0.3">
      <c r="A656" s="58" t="s">
        <v>213</v>
      </c>
      <c r="B656" s="58" t="s">
        <v>35</v>
      </c>
      <c r="C656" s="58">
        <v>2</v>
      </c>
      <c r="D656" s="58">
        <v>5.0999999999999996</v>
      </c>
      <c r="E656" s="51">
        <v>7</v>
      </c>
      <c r="F656" s="4" t="s">
        <v>78</v>
      </c>
      <c r="G656" s="4" t="s">
        <v>109</v>
      </c>
      <c r="H656" s="48">
        <f>IF(G656&gt;0,VLOOKUP(G656,Apoio!$H$2:$I$24,2,0),"")</f>
        <v>8</v>
      </c>
      <c r="I656" s="44">
        <f t="shared" si="48"/>
        <v>21.96078431372549</v>
      </c>
      <c r="J656" s="98">
        <f t="shared" si="49"/>
        <v>12.298039215686275</v>
      </c>
      <c r="K656" s="103"/>
    </row>
    <row r="657" spans="1:11" x14ac:dyDescent="0.3">
      <c r="A657" s="58" t="s">
        <v>213</v>
      </c>
      <c r="B657" s="58" t="s">
        <v>35</v>
      </c>
      <c r="C657" s="58">
        <v>2</v>
      </c>
      <c r="D657" s="58">
        <v>5.0999999999999996</v>
      </c>
      <c r="E657" s="51">
        <v>7</v>
      </c>
      <c r="F657" s="4" t="s">
        <v>78</v>
      </c>
      <c r="G657" s="4" t="s">
        <v>112</v>
      </c>
      <c r="H657" s="48">
        <f>IF(G657&gt;0,VLOOKUP(G657,Apoio!$H$2:$I$24,2,0),"")</f>
        <v>8</v>
      </c>
      <c r="I657" s="44">
        <f t="shared" si="48"/>
        <v>21.96078431372549</v>
      </c>
      <c r="J657" s="98">
        <f t="shared" si="49"/>
        <v>12.298039215686275</v>
      </c>
      <c r="K657" s="103"/>
    </row>
    <row r="658" spans="1:11" x14ac:dyDescent="0.3">
      <c r="A658" s="58" t="s">
        <v>213</v>
      </c>
      <c r="B658" s="58" t="s">
        <v>35</v>
      </c>
      <c r="C658" s="58">
        <v>2</v>
      </c>
      <c r="D658" s="58">
        <v>5.0999999999999996</v>
      </c>
      <c r="E658" s="51">
        <v>7</v>
      </c>
      <c r="F658" s="4" t="s">
        <v>78</v>
      </c>
      <c r="G658" s="4" t="s">
        <v>115</v>
      </c>
      <c r="H658" s="48">
        <f>IF(G658&gt;0,VLOOKUP(G658,Apoio!$H$2:$I$24,2,0),"")</f>
        <v>7</v>
      </c>
      <c r="I658" s="44">
        <f t="shared" si="48"/>
        <v>19.215686274509807</v>
      </c>
      <c r="J658" s="98">
        <f t="shared" si="49"/>
        <v>10.760784313725493</v>
      </c>
      <c r="K658" s="103"/>
    </row>
    <row r="659" spans="1:11" x14ac:dyDescent="0.3">
      <c r="A659" s="58" t="s">
        <v>213</v>
      </c>
      <c r="B659" s="58" t="s">
        <v>35</v>
      </c>
      <c r="C659" s="58">
        <v>2</v>
      </c>
      <c r="D659" s="58">
        <v>5.0999999999999996</v>
      </c>
      <c r="E659" s="51">
        <v>7</v>
      </c>
      <c r="F659" s="4" t="s">
        <v>78</v>
      </c>
      <c r="G659" s="4" t="s">
        <v>118</v>
      </c>
      <c r="H659" s="48">
        <f>IF(G659&gt;0,VLOOKUP(G659,Apoio!$H$2:$I$24,2,0),"")</f>
        <v>3</v>
      </c>
      <c r="I659" s="44">
        <f t="shared" si="48"/>
        <v>8.2352941176470598</v>
      </c>
      <c r="J659" s="98">
        <f t="shared" si="49"/>
        <v>4.6117647058823543</v>
      </c>
      <c r="K659" s="103"/>
    </row>
    <row r="660" spans="1:11" x14ac:dyDescent="0.3">
      <c r="A660" s="58" t="s">
        <v>213</v>
      </c>
      <c r="B660" s="58" t="s">
        <v>35</v>
      </c>
      <c r="C660" s="58">
        <v>2</v>
      </c>
      <c r="D660" s="58">
        <v>4.2</v>
      </c>
      <c r="E660" s="51">
        <v>7</v>
      </c>
      <c r="F660" s="4" t="s">
        <v>85</v>
      </c>
      <c r="G660" s="4" t="s">
        <v>121</v>
      </c>
      <c r="H660" s="48">
        <f>IF(G660&gt;0,VLOOKUP(G660,Apoio!$H$2:$I$24,2,0),"")</f>
        <v>7</v>
      </c>
      <c r="I660" s="44">
        <f t="shared" si="48"/>
        <v>23.333333333333332</v>
      </c>
      <c r="J660" s="98">
        <f t="shared" si="49"/>
        <v>13.066666666666666</v>
      </c>
      <c r="K660" s="103"/>
    </row>
    <row r="661" spans="1:11" x14ac:dyDescent="0.3">
      <c r="A661" s="58" t="s">
        <v>213</v>
      </c>
      <c r="B661" s="58" t="s">
        <v>35</v>
      </c>
      <c r="C661" s="58">
        <v>2</v>
      </c>
      <c r="D661" s="58">
        <v>4.2</v>
      </c>
      <c r="E661" s="51">
        <v>7</v>
      </c>
      <c r="F661" s="4" t="s">
        <v>85</v>
      </c>
      <c r="G661" s="4" t="s">
        <v>124</v>
      </c>
      <c r="H661" s="48">
        <f>IF(G661&gt;0,VLOOKUP(G661,Apoio!$H$2:$I$24,2,0),"")</f>
        <v>8</v>
      </c>
      <c r="I661" s="44">
        <f t="shared" si="48"/>
        <v>26.666666666666664</v>
      </c>
      <c r="J661" s="98">
        <f t="shared" si="49"/>
        <v>14.933333333333334</v>
      </c>
      <c r="K661" s="103"/>
    </row>
    <row r="662" spans="1:11" x14ac:dyDescent="0.3">
      <c r="A662" s="58" t="s">
        <v>213</v>
      </c>
      <c r="B662" s="58" t="s">
        <v>35</v>
      </c>
      <c r="C662" s="58">
        <v>2</v>
      </c>
      <c r="D662" s="58">
        <v>4.2</v>
      </c>
      <c r="E662" s="51">
        <v>7</v>
      </c>
      <c r="F662" s="4" t="s">
        <v>85</v>
      </c>
      <c r="G662" s="4" t="s">
        <v>127</v>
      </c>
      <c r="H662" s="48">
        <f>IF(G662&gt;0,VLOOKUP(G662,Apoio!$H$2:$I$24,2,0),"")</f>
        <v>8</v>
      </c>
      <c r="I662" s="44">
        <f t="shared" si="48"/>
        <v>26.666666666666664</v>
      </c>
      <c r="J662" s="98">
        <f t="shared" si="49"/>
        <v>14.933333333333334</v>
      </c>
      <c r="K662" s="103"/>
    </row>
    <row r="663" spans="1:11" x14ac:dyDescent="0.3">
      <c r="A663" s="58" t="s">
        <v>213</v>
      </c>
      <c r="B663" s="58" t="s">
        <v>35</v>
      </c>
      <c r="C663" s="58">
        <v>2</v>
      </c>
      <c r="D663" s="58">
        <v>4.2</v>
      </c>
      <c r="E663" s="51">
        <v>7</v>
      </c>
      <c r="F663" s="4" t="s">
        <v>85</v>
      </c>
      <c r="G663" s="4" t="s">
        <v>130</v>
      </c>
      <c r="H663" s="48">
        <f>IF(G663&gt;0,VLOOKUP(G663,Apoio!$H$2:$I$24,2,0),"")</f>
        <v>13</v>
      </c>
      <c r="I663" s="44">
        <f t="shared" si="48"/>
        <v>43.333333333333329</v>
      </c>
      <c r="J663" s="98">
        <f t="shared" si="49"/>
        <v>24.266666666666666</v>
      </c>
      <c r="K663" s="103"/>
    </row>
    <row r="664" spans="1:11" x14ac:dyDescent="0.3">
      <c r="A664" s="58" t="s">
        <v>213</v>
      </c>
      <c r="B664" s="58" t="s">
        <v>35</v>
      </c>
      <c r="C664" s="58">
        <v>2</v>
      </c>
      <c r="D664" s="58">
        <v>4.2</v>
      </c>
      <c r="E664" s="51">
        <v>7</v>
      </c>
      <c r="F664" s="4" t="s">
        <v>85</v>
      </c>
      <c r="G664" s="4" t="s">
        <v>133</v>
      </c>
      <c r="H664" s="48">
        <f>IF(G664&gt;0,VLOOKUP(G664,Apoio!$H$2:$I$24,2,0),"")</f>
        <v>3</v>
      </c>
      <c r="I664" s="44">
        <f t="shared" si="48"/>
        <v>10</v>
      </c>
      <c r="J664" s="98">
        <f t="shared" si="49"/>
        <v>5.6000000000000005</v>
      </c>
      <c r="K664" s="103"/>
    </row>
    <row r="665" spans="1:11" x14ac:dyDescent="0.3">
      <c r="A665" s="58" t="s">
        <v>213</v>
      </c>
      <c r="B665" s="58" t="s">
        <v>35</v>
      </c>
      <c r="C665" s="58">
        <v>2</v>
      </c>
      <c r="D665" s="58">
        <v>5.2</v>
      </c>
      <c r="E665" s="51">
        <v>7</v>
      </c>
      <c r="F665" s="4" t="s">
        <v>92</v>
      </c>
      <c r="G665" s="4" t="s">
        <v>136</v>
      </c>
      <c r="H665" s="48">
        <f>IF(G665&gt;0,VLOOKUP(G665,Apoio!$H$2:$I$24,2,0),"")</f>
        <v>13</v>
      </c>
      <c r="I665" s="44">
        <f t="shared" si="48"/>
        <v>35</v>
      </c>
      <c r="J665" s="98">
        <f t="shared" si="49"/>
        <v>19.600000000000001</v>
      </c>
      <c r="K665" s="103"/>
    </row>
    <row r="666" spans="1:11" x14ac:dyDescent="0.3">
      <c r="A666" s="58" t="s">
        <v>213</v>
      </c>
      <c r="B666" s="58" t="s">
        <v>35</v>
      </c>
      <c r="C666" s="58">
        <v>2</v>
      </c>
      <c r="D666" s="58">
        <v>5.2</v>
      </c>
      <c r="E666" s="51">
        <v>7</v>
      </c>
      <c r="F666" s="4" t="s">
        <v>92</v>
      </c>
      <c r="G666" s="4" t="s">
        <v>139</v>
      </c>
      <c r="H666" s="48">
        <f>IF(G666&gt;0,VLOOKUP(G666,Apoio!$H$2:$I$24,2,0),"")</f>
        <v>8</v>
      </c>
      <c r="I666" s="44">
        <f t="shared" si="48"/>
        <v>21.538461538461537</v>
      </c>
      <c r="J666" s="98">
        <f t="shared" si="49"/>
        <v>12.061538461538461</v>
      </c>
      <c r="K666" s="103"/>
    </row>
    <row r="667" spans="1:11" x14ac:dyDescent="0.3">
      <c r="A667" s="58" t="s">
        <v>213</v>
      </c>
      <c r="B667" s="58" t="s">
        <v>35</v>
      </c>
      <c r="C667" s="58">
        <v>2</v>
      </c>
      <c r="D667" s="58">
        <v>5.2</v>
      </c>
      <c r="E667" s="51">
        <v>7</v>
      </c>
      <c r="F667" s="4" t="s">
        <v>92</v>
      </c>
      <c r="G667" s="4" t="s">
        <v>142</v>
      </c>
      <c r="H667" s="48">
        <f>IF(G667&gt;0,VLOOKUP(G667,Apoio!$H$2:$I$24,2,0),"")</f>
        <v>8</v>
      </c>
      <c r="I667" s="44">
        <f t="shared" si="48"/>
        <v>21.538461538461537</v>
      </c>
      <c r="J667" s="98">
        <f t="shared" si="49"/>
        <v>12.061538461538461</v>
      </c>
      <c r="K667" s="103"/>
    </row>
    <row r="668" spans="1:11" x14ac:dyDescent="0.3">
      <c r="A668" s="58" t="s">
        <v>213</v>
      </c>
      <c r="B668" s="58" t="s">
        <v>35</v>
      </c>
      <c r="C668" s="58">
        <v>2</v>
      </c>
      <c r="D668" s="58">
        <v>5.2</v>
      </c>
      <c r="E668" s="51">
        <v>7</v>
      </c>
      <c r="F668" s="4" t="s">
        <v>92</v>
      </c>
      <c r="G668" s="4" t="s">
        <v>145</v>
      </c>
      <c r="H668" s="48">
        <f>IF(G668&gt;0,VLOOKUP(G668,Apoio!$H$2:$I$24,2,0),"")</f>
        <v>7</v>
      </c>
      <c r="I668" s="44">
        <f t="shared" si="48"/>
        <v>18.846153846153847</v>
      </c>
      <c r="J668" s="98">
        <f t="shared" si="49"/>
        <v>10.553846153846155</v>
      </c>
      <c r="K668" s="103"/>
    </row>
    <row r="669" spans="1:11" x14ac:dyDescent="0.3">
      <c r="A669" s="58" t="s">
        <v>213</v>
      </c>
      <c r="B669" s="58" t="s">
        <v>35</v>
      </c>
      <c r="C669" s="58">
        <v>2</v>
      </c>
      <c r="D669" s="58">
        <v>5.2</v>
      </c>
      <c r="E669" s="51">
        <v>7</v>
      </c>
      <c r="F669" s="4" t="s">
        <v>92</v>
      </c>
      <c r="G669" s="4" t="s">
        <v>148</v>
      </c>
      <c r="H669" s="48">
        <f>IF(G669&gt;0,VLOOKUP(G669,Apoio!$H$2:$I$24,2,0),"")</f>
        <v>8</v>
      </c>
      <c r="I669" s="44">
        <f t="shared" si="48"/>
        <v>21.538461538461537</v>
      </c>
      <c r="J669" s="98">
        <f t="shared" si="49"/>
        <v>12.061538461538461</v>
      </c>
      <c r="K669" s="103"/>
    </row>
    <row r="670" spans="1:11" x14ac:dyDescent="0.3">
      <c r="A670" s="58" t="s">
        <v>213</v>
      </c>
      <c r="B670" s="58" t="s">
        <v>35</v>
      </c>
      <c r="C670" s="58">
        <v>2</v>
      </c>
      <c r="D670" s="58">
        <v>5.2</v>
      </c>
      <c r="E670" s="51">
        <v>7</v>
      </c>
      <c r="F670" s="4" t="s">
        <v>92</v>
      </c>
      <c r="G670" s="4" t="s">
        <v>151</v>
      </c>
      <c r="H670" s="48">
        <f>IF(G670&gt;0,VLOOKUP(G670,Apoio!$H$2:$I$24,2,0),"")</f>
        <v>8</v>
      </c>
      <c r="I670" s="44">
        <f t="shared" si="48"/>
        <v>21.538461538461537</v>
      </c>
      <c r="J670" s="98">
        <v>11</v>
      </c>
      <c r="K670" s="103"/>
    </row>
    <row r="671" spans="1:11" x14ac:dyDescent="0.3">
      <c r="A671" s="79" t="s">
        <v>36</v>
      </c>
      <c r="B671" s="4" t="s">
        <v>37</v>
      </c>
      <c r="C671" s="4">
        <v>6.8</v>
      </c>
      <c r="D671" s="70">
        <v>7.2</v>
      </c>
      <c r="E671" s="51">
        <v>7</v>
      </c>
      <c r="F671" s="4" t="s">
        <v>71</v>
      </c>
      <c r="G671" s="4" t="s">
        <v>70</v>
      </c>
      <c r="H671" s="48">
        <v>8</v>
      </c>
      <c r="I671" s="44">
        <f t="shared" si="48"/>
        <v>52.888888888888886</v>
      </c>
      <c r="J671" s="98"/>
      <c r="K671" s="103"/>
    </row>
    <row r="672" spans="1:11" x14ac:dyDescent="0.3">
      <c r="A672" s="4" t="s">
        <v>36</v>
      </c>
      <c r="B672" s="4" t="s">
        <v>37</v>
      </c>
      <c r="C672" s="4">
        <v>7</v>
      </c>
      <c r="D672" s="70">
        <v>7.2</v>
      </c>
      <c r="E672" s="51">
        <v>7</v>
      </c>
      <c r="F672" s="4" t="s">
        <v>71</v>
      </c>
      <c r="G672" s="4" t="s">
        <v>77</v>
      </c>
      <c r="H672" s="48">
        <f>IF(G672&gt;0,VLOOKUP(G672,Apoio!$H$2:$I$24,2,0),"")</f>
        <v>8</v>
      </c>
      <c r="I672" s="44">
        <f t="shared" si="48"/>
        <v>54.444444444444443</v>
      </c>
      <c r="J672" s="98"/>
      <c r="K672" s="103"/>
    </row>
    <row r="673" spans="1:11" x14ac:dyDescent="0.3">
      <c r="A673" s="4" t="s">
        <v>36</v>
      </c>
      <c r="B673" s="4" t="s">
        <v>37</v>
      </c>
      <c r="C673" s="4">
        <v>6</v>
      </c>
      <c r="D673" s="70">
        <v>7.2</v>
      </c>
      <c r="E673" s="51">
        <v>7</v>
      </c>
      <c r="F673" s="4" t="s">
        <v>71</v>
      </c>
      <c r="G673" s="4" t="s">
        <v>84</v>
      </c>
      <c r="H673" s="48">
        <f>IF(G673&gt;0,VLOOKUP(G673,Apoio!$H$2:$I$24,2,0),"")</f>
        <v>8</v>
      </c>
      <c r="I673" s="44">
        <f t="shared" si="48"/>
        <v>46.666666666666664</v>
      </c>
      <c r="J673" s="98"/>
      <c r="K673" s="103"/>
    </row>
    <row r="674" spans="1:11" x14ac:dyDescent="0.3">
      <c r="A674" s="4" t="s">
        <v>36</v>
      </c>
      <c r="B674" s="4" t="s">
        <v>37</v>
      </c>
      <c r="C674" s="4">
        <v>6</v>
      </c>
      <c r="D674" s="70">
        <v>7.2</v>
      </c>
      <c r="E674" s="51">
        <v>7</v>
      </c>
      <c r="F674" s="4" t="s">
        <v>71</v>
      </c>
      <c r="G674" s="4" t="s">
        <v>91</v>
      </c>
      <c r="H674" s="48">
        <f>IF(G674&gt;0,VLOOKUP(G674,Apoio!$H$2:$I$24,2,0),"")</f>
        <v>6</v>
      </c>
      <c r="I674" s="44">
        <f t="shared" si="48"/>
        <v>35</v>
      </c>
      <c r="J674" s="98"/>
      <c r="K674" s="103"/>
    </row>
    <row r="675" spans="1:11" x14ac:dyDescent="0.3">
      <c r="A675" s="4" t="s">
        <v>36</v>
      </c>
      <c r="B675" s="4" t="s">
        <v>37</v>
      </c>
      <c r="C675" s="4">
        <v>6</v>
      </c>
      <c r="D675" s="70">
        <v>7.2</v>
      </c>
      <c r="E675" s="51">
        <v>7</v>
      </c>
      <c r="F675" s="4" t="s">
        <v>71</v>
      </c>
      <c r="G675" s="4" t="s">
        <v>97</v>
      </c>
      <c r="H675" s="48">
        <f>IF(G675&gt;0,VLOOKUP(G675,Apoio!$H$2:$I$24,2,0),"")</f>
        <v>8</v>
      </c>
      <c r="I675" s="44">
        <f t="shared" ref="I675:I705" si="50">IF(D675&gt;0,(((H675*E675)*C675)/D675),"")</f>
        <v>46.666666666666664</v>
      </c>
      <c r="J675" s="98"/>
      <c r="K675" s="103"/>
    </row>
    <row r="676" spans="1:11" x14ac:dyDescent="0.3">
      <c r="A676" s="4" t="s">
        <v>36</v>
      </c>
      <c r="B676" s="4" t="s">
        <v>37</v>
      </c>
      <c r="C676" s="4">
        <v>6</v>
      </c>
      <c r="D676" s="70">
        <v>7.2</v>
      </c>
      <c r="E676" s="51">
        <v>7</v>
      </c>
      <c r="F676" s="4" t="s">
        <v>71</v>
      </c>
      <c r="G676" s="4" t="s">
        <v>100</v>
      </c>
      <c r="H676" s="48">
        <f>IF(G676&gt;0,VLOOKUP(G676,Apoio!$H$2:$I$24,2,0),"")</f>
        <v>3</v>
      </c>
      <c r="I676" s="44">
        <f t="shared" si="50"/>
        <v>17.5</v>
      </c>
      <c r="J676" s="98"/>
      <c r="K676" s="103"/>
    </row>
    <row r="677" spans="1:11" x14ac:dyDescent="0.3">
      <c r="A677" s="4" t="s">
        <v>36</v>
      </c>
      <c r="B677" s="4" t="s">
        <v>37</v>
      </c>
      <c r="C677" s="55">
        <v>5</v>
      </c>
      <c r="D677" s="70">
        <v>6.8</v>
      </c>
      <c r="E677" s="51">
        <v>7</v>
      </c>
      <c r="F677" s="4" t="s">
        <v>78</v>
      </c>
      <c r="G677" s="4" t="s">
        <v>103</v>
      </c>
      <c r="H677" s="48">
        <f>IF(G677&gt;0,VLOOKUP(G677,Apoio!$H$2:$I$24,2,0),"")</f>
        <v>6</v>
      </c>
      <c r="I677" s="44">
        <f t="shared" si="50"/>
        <v>30.882352941176471</v>
      </c>
      <c r="J677" s="98"/>
      <c r="K677" s="103"/>
    </row>
    <row r="678" spans="1:11" x14ac:dyDescent="0.3">
      <c r="A678" s="4" t="s">
        <v>36</v>
      </c>
      <c r="B678" s="4" t="s">
        <v>37</v>
      </c>
      <c r="C678" s="55">
        <v>5</v>
      </c>
      <c r="D678" s="70">
        <v>6.8</v>
      </c>
      <c r="E678" s="51">
        <v>7</v>
      </c>
      <c r="F678" s="4" t="s">
        <v>78</v>
      </c>
      <c r="G678" s="4" t="s">
        <v>106</v>
      </c>
      <c r="H678" s="48">
        <f>IF(G678&gt;0,VLOOKUP(G678,Apoio!$H$2:$I$24,2,0),"")</f>
        <v>7</v>
      </c>
      <c r="I678" s="44">
        <f t="shared" si="50"/>
        <v>36.029411764705884</v>
      </c>
      <c r="J678" s="98"/>
      <c r="K678" s="103"/>
    </row>
    <row r="679" spans="1:11" x14ac:dyDescent="0.3">
      <c r="A679" s="4" t="s">
        <v>36</v>
      </c>
      <c r="B679" s="4" t="s">
        <v>37</v>
      </c>
      <c r="C679" s="55">
        <v>4.5</v>
      </c>
      <c r="D679" s="70">
        <v>6.8</v>
      </c>
      <c r="E679" s="51">
        <v>7</v>
      </c>
      <c r="F679" s="4" t="s">
        <v>78</v>
      </c>
      <c r="G679" s="4" t="s">
        <v>109</v>
      </c>
      <c r="H679" s="48">
        <f>IF(G679&gt;0,VLOOKUP(G679,Apoio!$H$2:$I$24,2,0),"")</f>
        <v>8</v>
      </c>
      <c r="I679" s="44">
        <f t="shared" si="50"/>
        <v>37.058823529411768</v>
      </c>
      <c r="J679" s="98"/>
      <c r="K679" s="103"/>
    </row>
    <row r="680" spans="1:11" x14ac:dyDescent="0.3">
      <c r="A680" s="4" t="s">
        <v>36</v>
      </c>
      <c r="B680" s="4" t="s">
        <v>37</v>
      </c>
      <c r="C680" s="55">
        <v>5</v>
      </c>
      <c r="D680" s="70">
        <v>6.8</v>
      </c>
      <c r="E680" s="51">
        <v>7</v>
      </c>
      <c r="F680" s="4" t="s">
        <v>78</v>
      </c>
      <c r="G680" s="4" t="s">
        <v>112</v>
      </c>
      <c r="H680" s="48">
        <f>IF(G680&gt;0,VLOOKUP(G680,Apoio!$H$2:$I$24,2,0),"")</f>
        <v>8</v>
      </c>
      <c r="I680" s="44">
        <f t="shared" si="50"/>
        <v>41.176470588235297</v>
      </c>
      <c r="J680" s="98"/>
      <c r="K680" s="103"/>
    </row>
    <row r="681" spans="1:11" x14ac:dyDescent="0.3">
      <c r="A681" s="4" t="s">
        <v>36</v>
      </c>
      <c r="B681" s="4" t="s">
        <v>37</v>
      </c>
      <c r="C681" s="55">
        <v>4</v>
      </c>
      <c r="D681" s="70">
        <v>6.8</v>
      </c>
      <c r="E681" s="51">
        <v>7</v>
      </c>
      <c r="F681" s="4" t="s">
        <v>78</v>
      </c>
      <c r="G681" s="4" t="s">
        <v>115</v>
      </c>
      <c r="H681" s="48">
        <f>IF(G681&gt;0,VLOOKUP(G681,Apoio!$H$2:$I$24,2,0),"")</f>
        <v>7</v>
      </c>
      <c r="I681" s="44">
        <f t="shared" si="50"/>
        <v>28.823529411764707</v>
      </c>
      <c r="J681" s="98"/>
      <c r="K681" s="103"/>
    </row>
    <row r="682" spans="1:11" x14ac:dyDescent="0.3">
      <c r="A682" s="4" t="s">
        <v>36</v>
      </c>
      <c r="B682" s="4" t="s">
        <v>37</v>
      </c>
      <c r="C682" s="55">
        <v>4</v>
      </c>
      <c r="D682" s="70">
        <v>6.8</v>
      </c>
      <c r="E682" s="51">
        <v>7</v>
      </c>
      <c r="F682" s="4" t="s">
        <v>78</v>
      </c>
      <c r="G682" s="4" t="s">
        <v>118</v>
      </c>
      <c r="H682" s="48">
        <f>IF(G682&gt;0,VLOOKUP(G682,Apoio!$H$2:$I$24,2,0),"")</f>
        <v>3</v>
      </c>
      <c r="I682" s="44">
        <f t="shared" si="50"/>
        <v>12.352941176470589</v>
      </c>
      <c r="J682" s="98"/>
      <c r="K682" s="103"/>
    </row>
    <row r="683" spans="1:11" x14ac:dyDescent="0.3">
      <c r="A683" s="4" t="s">
        <v>36</v>
      </c>
      <c r="B683" s="4" t="s">
        <v>37</v>
      </c>
      <c r="C683" s="55">
        <v>5</v>
      </c>
      <c r="D683" s="70">
        <v>5.8</v>
      </c>
      <c r="E683" s="51">
        <v>7</v>
      </c>
      <c r="F683" s="4" t="s">
        <v>85</v>
      </c>
      <c r="G683" s="4" t="s">
        <v>121</v>
      </c>
      <c r="H683" s="48">
        <f>IF(G683&gt;0,VLOOKUP(G683,Apoio!$H$2:$I$24,2,0),"")</f>
        <v>7</v>
      </c>
      <c r="I683" s="44">
        <f t="shared" si="50"/>
        <v>42.241379310344826</v>
      </c>
      <c r="J683" s="98"/>
      <c r="K683" s="103"/>
    </row>
    <row r="684" spans="1:11" x14ac:dyDescent="0.3">
      <c r="A684" s="4" t="s">
        <v>36</v>
      </c>
      <c r="B684" s="4" t="s">
        <v>37</v>
      </c>
      <c r="C684" s="55">
        <v>5</v>
      </c>
      <c r="D684" s="70">
        <v>5.8</v>
      </c>
      <c r="E684" s="51">
        <v>7</v>
      </c>
      <c r="F684" s="4" t="s">
        <v>85</v>
      </c>
      <c r="G684" s="4" t="s">
        <v>124</v>
      </c>
      <c r="H684" s="48">
        <f>IF(G684&gt;0,VLOOKUP(G684,Apoio!$H$2:$I$24,2,0),"")</f>
        <v>8</v>
      </c>
      <c r="I684" s="44">
        <f t="shared" si="50"/>
        <v>48.275862068965516</v>
      </c>
      <c r="J684" s="98"/>
      <c r="K684" s="103"/>
    </row>
    <row r="685" spans="1:11" x14ac:dyDescent="0.3">
      <c r="A685" s="52" t="s">
        <v>36</v>
      </c>
      <c r="B685" s="4" t="s">
        <v>37</v>
      </c>
      <c r="C685" s="55">
        <v>5</v>
      </c>
      <c r="D685" s="70">
        <v>5.8</v>
      </c>
      <c r="E685" s="51">
        <v>7</v>
      </c>
      <c r="F685" s="4" t="s">
        <v>85</v>
      </c>
      <c r="G685" s="4" t="s">
        <v>127</v>
      </c>
      <c r="H685" s="48">
        <f>IF(G685&gt;0,VLOOKUP(G685,Apoio!$H$2:$I$24,2,0),"")</f>
        <v>8</v>
      </c>
      <c r="I685" s="44">
        <f t="shared" si="50"/>
        <v>48.275862068965516</v>
      </c>
      <c r="J685" s="98"/>
      <c r="K685" s="103"/>
    </row>
    <row r="686" spans="1:11" x14ac:dyDescent="0.3">
      <c r="A686" s="4" t="s">
        <v>36</v>
      </c>
      <c r="B686" s="4" t="s">
        <v>37</v>
      </c>
      <c r="C686" s="55">
        <v>5</v>
      </c>
      <c r="D686" s="70">
        <v>5.8</v>
      </c>
      <c r="E686" s="51">
        <v>7</v>
      </c>
      <c r="F686" s="4" t="s">
        <v>85</v>
      </c>
      <c r="G686" s="4" t="s">
        <v>130</v>
      </c>
      <c r="H686" s="48">
        <f>IF(G686&gt;0,VLOOKUP(G686,Apoio!$H$2:$I$24,2,0),"")</f>
        <v>13</v>
      </c>
      <c r="I686" s="44">
        <f t="shared" si="50"/>
        <v>78.448275862068968</v>
      </c>
      <c r="J686" s="98"/>
      <c r="K686" s="103"/>
    </row>
    <row r="687" spans="1:11" x14ac:dyDescent="0.3">
      <c r="A687" s="4" t="s">
        <v>36</v>
      </c>
      <c r="B687" s="4" t="s">
        <v>37</v>
      </c>
      <c r="C687" s="55">
        <v>5</v>
      </c>
      <c r="D687" s="70">
        <v>5.8</v>
      </c>
      <c r="E687" s="51">
        <v>7</v>
      </c>
      <c r="F687" s="4" t="s">
        <v>85</v>
      </c>
      <c r="G687" s="4" t="s">
        <v>133</v>
      </c>
      <c r="H687" s="48">
        <f>IF(G687&gt;0,VLOOKUP(G687,Apoio!$H$2:$I$24,2,0),"")</f>
        <v>3</v>
      </c>
      <c r="I687" s="44">
        <f t="shared" si="50"/>
        <v>18.103448275862071</v>
      </c>
      <c r="J687" s="98"/>
      <c r="K687" s="103"/>
    </row>
    <row r="688" spans="1:11" x14ac:dyDescent="0.3">
      <c r="A688" s="4" t="s">
        <v>36</v>
      </c>
      <c r="B688" s="4" t="s">
        <v>37</v>
      </c>
      <c r="C688" s="55">
        <v>6</v>
      </c>
      <c r="D688" s="70">
        <v>6.5</v>
      </c>
      <c r="E688" s="51">
        <v>7</v>
      </c>
      <c r="F688" s="4" t="s">
        <v>92</v>
      </c>
      <c r="G688" s="4" t="s">
        <v>136</v>
      </c>
      <c r="H688" s="48">
        <f>IF(G688&gt;0,VLOOKUP(G688,Apoio!$H$2:$I$24,2,0),"")</f>
        <v>13</v>
      </c>
      <c r="I688" s="44">
        <f t="shared" si="50"/>
        <v>84</v>
      </c>
      <c r="J688" s="98"/>
      <c r="K688" s="103"/>
    </row>
    <row r="689" spans="1:11" x14ac:dyDescent="0.3">
      <c r="A689" s="4" t="s">
        <v>36</v>
      </c>
      <c r="B689" s="4" t="s">
        <v>37</v>
      </c>
      <c r="C689" s="55">
        <v>6</v>
      </c>
      <c r="D689" s="70">
        <v>6.5</v>
      </c>
      <c r="E689" s="51">
        <v>7</v>
      </c>
      <c r="F689" s="4" t="s">
        <v>92</v>
      </c>
      <c r="G689" s="4" t="s">
        <v>139</v>
      </c>
      <c r="H689" s="48">
        <f>IF(G689&gt;0,VLOOKUP(G689,Apoio!$H$2:$I$24,2,0),"")</f>
        <v>8</v>
      </c>
      <c r="I689" s="44">
        <f t="shared" si="50"/>
        <v>51.692307692307693</v>
      </c>
      <c r="J689" s="98"/>
      <c r="K689" s="103"/>
    </row>
    <row r="690" spans="1:11" x14ac:dyDescent="0.3">
      <c r="A690" s="4" t="s">
        <v>36</v>
      </c>
      <c r="B690" s="4" t="s">
        <v>37</v>
      </c>
      <c r="C690" s="55">
        <v>6</v>
      </c>
      <c r="D690" s="70">
        <v>6.5</v>
      </c>
      <c r="E690" s="51">
        <v>7</v>
      </c>
      <c r="F690" s="4" t="s">
        <v>92</v>
      </c>
      <c r="G690" s="4" t="s">
        <v>142</v>
      </c>
      <c r="H690" s="48">
        <f>IF(G690&gt;0,VLOOKUP(G690,Apoio!$H$2:$I$24,2,0),"")</f>
        <v>8</v>
      </c>
      <c r="I690" s="44">
        <f t="shared" si="50"/>
        <v>51.692307692307693</v>
      </c>
      <c r="J690" s="98"/>
      <c r="K690" s="103"/>
    </row>
    <row r="691" spans="1:11" x14ac:dyDescent="0.3">
      <c r="A691" s="4" t="s">
        <v>36</v>
      </c>
      <c r="B691" s="4" t="s">
        <v>37</v>
      </c>
      <c r="C691" s="55">
        <v>6</v>
      </c>
      <c r="D691" s="70">
        <v>6.5</v>
      </c>
      <c r="E691" s="51">
        <v>7</v>
      </c>
      <c r="F691" s="4" t="s">
        <v>92</v>
      </c>
      <c r="G691" s="4" t="s">
        <v>145</v>
      </c>
      <c r="H691" s="48">
        <f>IF(G691&gt;0,VLOOKUP(G691,Apoio!$H$2:$I$24,2,0),"")</f>
        <v>7</v>
      </c>
      <c r="I691" s="44">
        <f t="shared" si="50"/>
        <v>45.230769230769234</v>
      </c>
      <c r="J691" s="98"/>
      <c r="K691" s="103"/>
    </row>
    <row r="692" spans="1:11" x14ac:dyDescent="0.3">
      <c r="A692" s="4" t="s">
        <v>36</v>
      </c>
      <c r="B692" s="4" t="s">
        <v>37</v>
      </c>
      <c r="C692" s="55">
        <v>6</v>
      </c>
      <c r="D692" s="70">
        <v>6.5</v>
      </c>
      <c r="E692" s="51">
        <v>7</v>
      </c>
      <c r="F692" s="4" t="s">
        <v>92</v>
      </c>
      <c r="G692" s="4" t="s">
        <v>148</v>
      </c>
      <c r="H692" s="48">
        <f>IF(G692&gt;0,VLOOKUP(G692,Apoio!$H$2:$I$24,2,0),"")</f>
        <v>8</v>
      </c>
      <c r="I692" s="44">
        <f t="shared" si="50"/>
        <v>51.692307692307693</v>
      </c>
      <c r="J692" s="98"/>
      <c r="K692" s="103"/>
    </row>
    <row r="693" spans="1:11" x14ac:dyDescent="0.3">
      <c r="A693" s="4" t="s">
        <v>36</v>
      </c>
      <c r="B693" s="4" t="s">
        <v>37</v>
      </c>
      <c r="C693" s="55">
        <v>6</v>
      </c>
      <c r="D693" s="70">
        <v>6.5</v>
      </c>
      <c r="E693" s="51">
        <v>7</v>
      </c>
      <c r="F693" s="4" t="s">
        <v>92</v>
      </c>
      <c r="G693" s="4" t="s">
        <v>151</v>
      </c>
      <c r="H693" s="48">
        <f>IF(G693&gt;0,VLOOKUP(G693,Apoio!$H$2:$I$24,2,0),"")</f>
        <v>8</v>
      </c>
      <c r="I693" s="44">
        <f t="shared" si="50"/>
        <v>51.692307692307693</v>
      </c>
      <c r="J693" s="98"/>
      <c r="K693" s="103"/>
    </row>
    <row r="694" spans="1:11" x14ac:dyDescent="0.3">
      <c r="A694" s="80" t="s">
        <v>26</v>
      </c>
      <c r="B694" s="68" t="s">
        <v>29</v>
      </c>
      <c r="C694" s="55">
        <v>7</v>
      </c>
      <c r="D694" s="70">
        <v>7.5</v>
      </c>
      <c r="E694" s="51">
        <v>7</v>
      </c>
      <c r="F694" s="4" t="s">
        <v>71</v>
      </c>
      <c r="G694" s="4" t="s">
        <v>70</v>
      </c>
      <c r="H694" s="48">
        <v>8</v>
      </c>
      <c r="I694" s="44">
        <f t="shared" si="50"/>
        <v>52.266666666666666</v>
      </c>
      <c r="J694" s="98"/>
      <c r="K694" s="103"/>
    </row>
    <row r="695" spans="1:11" x14ac:dyDescent="0.3">
      <c r="A695" s="80" t="s">
        <v>26</v>
      </c>
      <c r="B695" s="68" t="s">
        <v>29</v>
      </c>
      <c r="C695" s="55">
        <v>7</v>
      </c>
      <c r="D695" s="70">
        <v>7.5</v>
      </c>
      <c r="E695" s="51">
        <v>7</v>
      </c>
      <c r="F695" s="4" t="s">
        <v>71</v>
      </c>
      <c r="G695" s="4" t="s">
        <v>77</v>
      </c>
      <c r="H695" s="48">
        <f>IF(G695&gt;0,VLOOKUP(G695,Apoio!$H$2:$I$24,2,0),"")</f>
        <v>8</v>
      </c>
      <c r="I695" s="44">
        <f t="shared" si="50"/>
        <v>52.266666666666666</v>
      </c>
      <c r="J695" s="98"/>
      <c r="K695" s="103"/>
    </row>
    <row r="696" spans="1:11" x14ac:dyDescent="0.3">
      <c r="A696" s="80" t="s">
        <v>26</v>
      </c>
      <c r="B696" s="68" t="s">
        <v>29</v>
      </c>
      <c r="C696" s="55">
        <v>7</v>
      </c>
      <c r="D696" s="70">
        <v>7.5</v>
      </c>
      <c r="E696" s="51">
        <v>7</v>
      </c>
      <c r="F696" s="4" t="s">
        <v>71</v>
      </c>
      <c r="G696" s="4" t="s">
        <v>84</v>
      </c>
      <c r="H696" s="48">
        <f>IF(G696&gt;0,VLOOKUP(G696,Apoio!$H$2:$I$24,2,0),"")</f>
        <v>8</v>
      </c>
      <c r="I696" s="44">
        <f t="shared" si="50"/>
        <v>52.266666666666666</v>
      </c>
      <c r="J696" s="98"/>
      <c r="K696" s="103"/>
    </row>
    <row r="697" spans="1:11" x14ac:dyDescent="0.3">
      <c r="A697" s="80" t="s">
        <v>26</v>
      </c>
      <c r="B697" s="68" t="s">
        <v>29</v>
      </c>
      <c r="C697" s="55">
        <v>7</v>
      </c>
      <c r="D697" s="70">
        <v>7.5</v>
      </c>
      <c r="E697" s="51">
        <v>7</v>
      </c>
      <c r="F697" s="4" t="s">
        <v>71</v>
      </c>
      <c r="G697" s="4" t="s">
        <v>91</v>
      </c>
      <c r="H697" s="48">
        <f>IF(G697&gt;0,VLOOKUP(G697,Apoio!$H$2:$I$24,2,0),"")</f>
        <v>6</v>
      </c>
      <c r="I697" s="44">
        <f t="shared" si="50"/>
        <v>39.200000000000003</v>
      </c>
      <c r="J697" s="98"/>
      <c r="K697" s="103"/>
    </row>
    <row r="698" spans="1:11" x14ac:dyDescent="0.3">
      <c r="A698" s="80" t="s">
        <v>26</v>
      </c>
      <c r="B698" s="68" t="s">
        <v>29</v>
      </c>
      <c r="C698" s="55">
        <v>6.5</v>
      </c>
      <c r="D698" s="70">
        <v>7.5</v>
      </c>
      <c r="E698" s="51">
        <v>7</v>
      </c>
      <c r="F698" s="4" t="s">
        <v>71</v>
      </c>
      <c r="G698" s="4" t="s">
        <v>97</v>
      </c>
      <c r="H698" s="48">
        <f>IF(G698&gt;0,VLOOKUP(G698,Apoio!$H$2:$I$24,2,0),"")</f>
        <v>8</v>
      </c>
      <c r="I698" s="44">
        <f t="shared" si="50"/>
        <v>48.533333333333331</v>
      </c>
      <c r="J698" s="98"/>
      <c r="K698" s="103"/>
    </row>
    <row r="699" spans="1:11" x14ac:dyDescent="0.3">
      <c r="A699" s="80" t="s">
        <v>26</v>
      </c>
      <c r="B699" s="68" t="s">
        <v>29</v>
      </c>
      <c r="C699" s="55">
        <v>7</v>
      </c>
      <c r="D699" s="70">
        <v>7.5</v>
      </c>
      <c r="E699" s="51">
        <v>7</v>
      </c>
      <c r="F699" s="4" t="s">
        <v>71</v>
      </c>
      <c r="G699" s="4" t="s">
        <v>100</v>
      </c>
      <c r="H699" s="48">
        <f>IF(G699&gt;0,VLOOKUP(G699,Apoio!$H$2:$I$24,2,0),"")</f>
        <v>3</v>
      </c>
      <c r="I699" s="44">
        <f t="shared" si="50"/>
        <v>19.600000000000001</v>
      </c>
      <c r="J699" s="98"/>
      <c r="K699" s="103"/>
    </row>
    <row r="700" spans="1:11" x14ac:dyDescent="0.3">
      <c r="A700" s="80" t="s">
        <v>26</v>
      </c>
      <c r="B700" s="68" t="s">
        <v>29</v>
      </c>
      <c r="C700" s="55">
        <v>7.5</v>
      </c>
      <c r="D700" s="70">
        <v>7.4</v>
      </c>
      <c r="E700" s="51">
        <v>7</v>
      </c>
      <c r="F700" s="4" t="s">
        <v>78</v>
      </c>
      <c r="G700" s="4" t="s">
        <v>103</v>
      </c>
      <c r="H700" s="48">
        <f>IF(G700&gt;0,VLOOKUP(G700,Apoio!$H$2:$I$24,2,0),"")</f>
        <v>6</v>
      </c>
      <c r="I700" s="44">
        <f t="shared" si="50"/>
        <v>42.567567567567565</v>
      </c>
      <c r="J700" s="98"/>
      <c r="K700" s="103"/>
    </row>
    <row r="701" spans="1:11" x14ac:dyDescent="0.3">
      <c r="A701" s="80" t="s">
        <v>26</v>
      </c>
      <c r="B701" s="68" t="s">
        <v>29</v>
      </c>
      <c r="C701" s="55">
        <v>8</v>
      </c>
      <c r="D701" s="70">
        <v>7.4</v>
      </c>
      <c r="E701" s="51">
        <v>7</v>
      </c>
      <c r="F701" s="4" t="s">
        <v>78</v>
      </c>
      <c r="G701" s="4" t="s">
        <v>106</v>
      </c>
      <c r="H701" s="48">
        <f>IF(G701&gt;0,VLOOKUP(G701,Apoio!$H$2:$I$24,2,0),"")</f>
        <v>7</v>
      </c>
      <c r="I701" s="44">
        <f t="shared" si="50"/>
        <v>52.972972972972968</v>
      </c>
      <c r="J701" s="98"/>
      <c r="K701" s="103"/>
    </row>
    <row r="702" spans="1:11" x14ac:dyDescent="0.3">
      <c r="A702" s="80" t="s">
        <v>26</v>
      </c>
      <c r="B702" s="68" t="s">
        <v>29</v>
      </c>
      <c r="C702" s="55">
        <v>8</v>
      </c>
      <c r="D702" s="70">
        <v>7.4</v>
      </c>
      <c r="E702" s="51">
        <v>7</v>
      </c>
      <c r="F702" s="4" t="s">
        <v>78</v>
      </c>
      <c r="G702" s="4" t="s">
        <v>109</v>
      </c>
      <c r="H702" s="48">
        <f>IF(G702&gt;0,VLOOKUP(G702,Apoio!$H$2:$I$24,2,0),"")</f>
        <v>8</v>
      </c>
      <c r="I702" s="44">
        <f t="shared" si="50"/>
        <v>60.54054054054054</v>
      </c>
      <c r="J702" s="98"/>
      <c r="K702" s="103"/>
    </row>
    <row r="703" spans="1:11" x14ac:dyDescent="0.3">
      <c r="A703" s="80" t="s">
        <v>26</v>
      </c>
      <c r="B703" s="68" t="s">
        <v>29</v>
      </c>
      <c r="C703" s="55">
        <v>8</v>
      </c>
      <c r="D703" s="70">
        <v>7.4</v>
      </c>
      <c r="E703" s="51">
        <v>7</v>
      </c>
      <c r="F703" s="4" t="s">
        <v>78</v>
      </c>
      <c r="G703" s="4" t="s">
        <v>112</v>
      </c>
      <c r="H703" s="48">
        <f>IF(G703&gt;0,VLOOKUP(G703,Apoio!$H$2:$I$24,2,0),"")</f>
        <v>8</v>
      </c>
      <c r="I703" s="44">
        <f t="shared" si="50"/>
        <v>60.54054054054054</v>
      </c>
      <c r="J703" s="98"/>
      <c r="K703" s="103"/>
    </row>
    <row r="704" spans="1:11" x14ac:dyDescent="0.3">
      <c r="A704" s="80" t="s">
        <v>26</v>
      </c>
      <c r="B704" s="68" t="s">
        <v>29</v>
      </c>
      <c r="C704" s="55">
        <v>8</v>
      </c>
      <c r="D704" s="70">
        <v>7.4</v>
      </c>
      <c r="E704" s="51">
        <v>7</v>
      </c>
      <c r="F704" s="4" t="s">
        <v>78</v>
      </c>
      <c r="G704" s="4" t="s">
        <v>115</v>
      </c>
      <c r="H704" s="48">
        <f>IF(G704&gt;0,VLOOKUP(G704,Apoio!$H$2:$I$24,2,0),"")</f>
        <v>7</v>
      </c>
      <c r="I704" s="44">
        <f t="shared" si="50"/>
        <v>52.972972972972968</v>
      </c>
      <c r="J704" s="98"/>
      <c r="K704" s="103"/>
    </row>
    <row r="705" spans="1:11" x14ac:dyDescent="0.3">
      <c r="A705" s="80" t="s">
        <v>26</v>
      </c>
      <c r="B705" s="68" t="s">
        <v>29</v>
      </c>
      <c r="C705" s="55">
        <v>8</v>
      </c>
      <c r="D705" s="70">
        <v>7.4</v>
      </c>
      <c r="E705" s="51">
        <v>7</v>
      </c>
      <c r="F705" s="4" t="s">
        <v>78</v>
      </c>
      <c r="G705" s="4" t="s">
        <v>118</v>
      </c>
      <c r="H705" s="48">
        <f>IF(G705&gt;0,VLOOKUP(G705,Apoio!$H$2:$I$24,2,0),"")</f>
        <v>3</v>
      </c>
      <c r="I705" s="44">
        <f t="shared" si="50"/>
        <v>22.702702702702702</v>
      </c>
      <c r="J705" s="98"/>
      <c r="K705" s="103"/>
    </row>
    <row r="706" spans="1:11" x14ac:dyDescent="0.3">
      <c r="A706" s="80" t="s">
        <v>26</v>
      </c>
      <c r="B706" s="68" t="s">
        <v>29</v>
      </c>
      <c r="C706" s="55">
        <v>6.5</v>
      </c>
      <c r="D706" s="70">
        <v>6.9</v>
      </c>
      <c r="E706" s="51">
        <v>7</v>
      </c>
      <c r="F706" s="4" t="s">
        <v>85</v>
      </c>
      <c r="G706" s="4" t="s">
        <v>121</v>
      </c>
      <c r="H706" s="48">
        <f>IF(G706&gt;0,VLOOKUP(G706,Apoio!$H$2:$I$24,2,0),"")</f>
        <v>7</v>
      </c>
      <c r="I706" s="44">
        <f t="shared" ref="I706:I716" si="51">IF(D706&gt;0,(((H706*E706)*C706)/D706),"")</f>
        <v>46.159420289855071</v>
      </c>
      <c r="J706" s="98">
        <v>2</v>
      </c>
      <c r="K706" s="103"/>
    </row>
    <row r="707" spans="1:11" x14ac:dyDescent="0.3">
      <c r="A707" s="80" t="s">
        <v>26</v>
      </c>
      <c r="B707" s="68" t="s">
        <v>29</v>
      </c>
      <c r="C707" s="55">
        <v>7</v>
      </c>
      <c r="D707" s="70">
        <v>6.9</v>
      </c>
      <c r="E707" s="51">
        <v>7</v>
      </c>
      <c r="F707" s="4" t="s">
        <v>85</v>
      </c>
      <c r="G707" s="4" t="s">
        <v>124</v>
      </c>
      <c r="H707" s="48">
        <f>IF(G707&gt;0,VLOOKUP(G707,Apoio!$H$2:$I$24,2,0),"")</f>
        <v>8</v>
      </c>
      <c r="I707" s="44">
        <f t="shared" si="51"/>
        <v>56.811594202898547</v>
      </c>
      <c r="J707" s="98">
        <v>2</v>
      </c>
      <c r="K707" s="103"/>
    </row>
    <row r="708" spans="1:11" x14ac:dyDescent="0.3">
      <c r="A708" s="80" t="s">
        <v>26</v>
      </c>
      <c r="B708" s="68" t="s">
        <v>29</v>
      </c>
      <c r="C708" s="55">
        <v>6</v>
      </c>
      <c r="D708" s="70">
        <v>6.9</v>
      </c>
      <c r="E708" s="51">
        <v>7</v>
      </c>
      <c r="F708" s="4" t="s">
        <v>85</v>
      </c>
      <c r="G708" s="4" t="s">
        <v>127</v>
      </c>
      <c r="H708" s="48">
        <f>IF(G708&gt;0,VLOOKUP(G708,Apoio!$H$2:$I$24,2,0),"")</f>
        <v>8</v>
      </c>
      <c r="I708" s="44">
        <f t="shared" si="51"/>
        <v>48.695652173913039</v>
      </c>
      <c r="J708" s="98">
        <v>2</v>
      </c>
      <c r="K708" s="103"/>
    </row>
    <row r="709" spans="1:11" x14ac:dyDescent="0.3">
      <c r="A709" s="80" t="s">
        <v>26</v>
      </c>
      <c r="B709" s="68" t="s">
        <v>29</v>
      </c>
      <c r="C709" s="55">
        <v>7</v>
      </c>
      <c r="D709" s="70">
        <v>6.9</v>
      </c>
      <c r="E709" s="51">
        <v>7</v>
      </c>
      <c r="F709" s="4" t="s">
        <v>85</v>
      </c>
      <c r="G709" s="4" t="s">
        <v>130</v>
      </c>
      <c r="H709" s="48">
        <f>IF(G709&gt;0,VLOOKUP(G709,Apoio!$H$2:$I$24,2,0),"")</f>
        <v>13</v>
      </c>
      <c r="I709" s="44">
        <f t="shared" si="51"/>
        <v>92.318840579710141</v>
      </c>
      <c r="J709" s="98"/>
      <c r="K709" s="103"/>
    </row>
    <row r="710" spans="1:11" x14ac:dyDescent="0.3">
      <c r="A710" s="80" t="s">
        <v>26</v>
      </c>
      <c r="B710" s="68" t="s">
        <v>29</v>
      </c>
      <c r="C710" s="55">
        <v>8</v>
      </c>
      <c r="D710" s="70">
        <v>6.9</v>
      </c>
      <c r="E710" s="51">
        <v>7</v>
      </c>
      <c r="F710" s="4" t="s">
        <v>85</v>
      </c>
      <c r="G710" s="4" t="s">
        <v>133</v>
      </c>
      <c r="H710" s="48">
        <f>IF(G710&gt;0,VLOOKUP(G710,Apoio!$H$2:$I$24,2,0),"")</f>
        <v>3</v>
      </c>
      <c r="I710" s="44">
        <f t="shared" si="51"/>
        <v>24.34782608695652</v>
      </c>
      <c r="J710" s="98"/>
      <c r="K710" s="103"/>
    </row>
    <row r="711" spans="1:11" x14ac:dyDescent="0.3">
      <c r="A711" s="80" t="s">
        <v>26</v>
      </c>
      <c r="B711" s="68" t="s">
        <v>29</v>
      </c>
      <c r="C711" s="55">
        <v>8.5</v>
      </c>
      <c r="D711" s="70">
        <v>7</v>
      </c>
      <c r="E711" s="51">
        <v>7</v>
      </c>
      <c r="F711" s="4" t="s">
        <v>92</v>
      </c>
      <c r="G711" s="4" t="s">
        <v>136</v>
      </c>
      <c r="H711" s="48">
        <f>IF(G711&gt;0,VLOOKUP(G711,Apoio!$H$2:$I$24,2,0),"")</f>
        <v>13</v>
      </c>
      <c r="I711" s="44">
        <f t="shared" si="51"/>
        <v>110.5</v>
      </c>
      <c r="J711" s="98"/>
      <c r="K711" s="103"/>
    </row>
    <row r="712" spans="1:11" x14ac:dyDescent="0.3">
      <c r="A712" s="80" t="s">
        <v>26</v>
      </c>
      <c r="B712" s="68" t="s">
        <v>29</v>
      </c>
      <c r="C712" s="55">
        <v>8.5</v>
      </c>
      <c r="D712" s="70">
        <v>7</v>
      </c>
      <c r="E712" s="51">
        <v>7</v>
      </c>
      <c r="F712" s="4" t="s">
        <v>92</v>
      </c>
      <c r="G712" s="4" t="s">
        <v>139</v>
      </c>
      <c r="H712" s="48">
        <f>IF(G712&gt;0,VLOOKUP(G712,Apoio!$H$2:$I$24,2,0),"")</f>
        <v>8</v>
      </c>
      <c r="I712" s="44">
        <f t="shared" si="51"/>
        <v>68</v>
      </c>
      <c r="J712" s="98"/>
      <c r="K712" s="103"/>
    </row>
    <row r="713" spans="1:11" x14ac:dyDescent="0.3">
      <c r="A713" s="80" t="s">
        <v>26</v>
      </c>
      <c r="B713" s="68" t="s">
        <v>29</v>
      </c>
      <c r="C713" s="55">
        <v>8.5</v>
      </c>
      <c r="D713" s="70">
        <v>7</v>
      </c>
      <c r="E713" s="51">
        <v>7</v>
      </c>
      <c r="F713" s="4" t="s">
        <v>92</v>
      </c>
      <c r="G713" s="4" t="s">
        <v>142</v>
      </c>
      <c r="H713" s="48">
        <f>IF(G713&gt;0,VLOOKUP(G713,Apoio!$H$2:$I$24,2,0),"")</f>
        <v>8</v>
      </c>
      <c r="I713" s="44">
        <f t="shared" si="51"/>
        <v>68</v>
      </c>
      <c r="J713" s="98"/>
      <c r="K713" s="103"/>
    </row>
    <row r="714" spans="1:11" x14ac:dyDescent="0.3">
      <c r="A714" s="80" t="s">
        <v>26</v>
      </c>
      <c r="B714" s="68" t="s">
        <v>29</v>
      </c>
      <c r="C714" s="55">
        <v>8.5</v>
      </c>
      <c r="D714" s="70">
        <v>7</v>
      </c>
      <c r="E714" s="51">
        <v>7</v>
      </c>
      <c r="F714" s="4" t="s">
        <v>92</v>
      </c>
      <c r="G714" s="4" t="s">
        <v>145</v>
      </c>
      <c r="H714" s="48">
        <f>IF(G714&gt;0,VLOOKUP(G714,Apoio!$H$2:$I$24,2,0),"")</f>
        <v>7</v>
      </c>
      <c r="I714" s="44">
        <f t="shared" si="51"/>
        <v>59.5</v>
      </c>
      <c r="J714" s="98"/>
      <c r="K714" s="103"/>
    </row>
    <row r="715" spans="1:11" x14ac:dyDescent="0.3">
      <c r="A715" s="80" t="s">
        <v>26</v>
      </c>
      <c r="B715" s="68" t="s">
        <v>29</v>
      </c>
      <c r="C715" s="55">
        <v>8.5</v>
      </c>
      <c r="D715" s="70">
        <v>7</v>
      </c>
      <c r="E715" s="51">
        <v>7</v>
      </c>
      <c r="F715" s="4" t="s">
        <v>92</v>
      </c>
      <c r="G715" s="4" t="s">
        <v>148</v>
      </c>
      <c r="H715" s="48">
        <f>IF(G715&gt;0,VLOOKUP(G715,Apoio!$H$2:$I$24,2,0),"")</f>
        <v>8</v>
      </c>
      <c r="I715" s="44">
        <f t="shared" si="51"/>
        <v>68</v>
      </c>
      <c r="J715" s="98"/>
      <c r="K715" s="103"/>
    </row>
    <row r="716" spans="1:11" x14ac:dyDescent="0.3">
      <c r="A716" s="80" t="s">
        <v>26</v>
      </c>
      <c r="B716" s="68" t="s">
        <v>29</v>
      </c>
      <c r="C716" s="55">
        <v>8.5</v>
      </c>
      <c r="D716" s="70">
        <v>7</v>
      </c>
      <c r="E716" s="51">
        <v>7</v>
      </c>
      <c r="F716" s="4" t="s">
        <v>92</v>
      </c>
      <c r="G716" s="4" t="s">
        <v>151</v>
      </c>
      <c r="H716" s="48">
        <f>IF(G716&gt;0,VLOOKUP(G716,Apoio!$H$2:$I$24,2,0),"")</f>
        <v>8</v>
      </c>
      <c r="I716" s="44">
        <f t="shared" si="51"/>
        <v>68</v>
      </c>
      <c r="J716" s="98"/>
      <c r="K716" s="103"/>
    </row>
    <row r="717" spans="1:11" x14ac:dyDescent="0.3">
      <c r="A717" s="67" t="s">
        <v>36</v>
      </c>
      <c r="B717" s="68" t="s">
        <v>225</v>
      </c>
      <c r="C717" s="55">
        <v>6</v>
      </c>
      <c r="D717" s="70">
        <v>7.5</v>
      </c>
      <c r="E717" s="51">
        <v>7</v>
      </c>
      <c r="F717" s="4" t="s">
        <v>71</v>
      </c>
      <c r="G717" s="4" t="s">
        <v>70</v>
      </c>
      <c r="H717" s="48">
        <v>8</v>
      </c>
      <c r="I717" s="44">
        <f t="shared" ref="I717:I739" si="52">IF(D717&gt;0,(((H717*E717)*C717)/D717),"")</f>
        <v>44.8</v>
      </c>
      <c r="J717" s="98"/>
      <c r="K717" s="103"/>
    </row>
    <row r="718" spans="1:11" x14ac:dyDescent="0.3">
      <c r="A718" s="4" t="s">
        <v>36</v>
      </c>
      <c r="B718" s="68" t="s">
        <v>225</v>
      </c>
      <c r="C718" s="55">
        <v>6</v>
      </c>
      <c r="D718" s="70">
        <v>7.5</v>
      </c>
      <c r="E718" s="51">
        <v>7</v>
      </c>
      <c r="F718" s="4" t="s">
        <v>71</v>
      </c>
      <c r="G718" s="4" t="s">
        <v>77</v>
      </c>
      <c r="H718" s="48">
        <f>IF(G718&gt;0,VLOOKUP(G718,Apoio!$H$2:$I$24,2,0),"")</f>
        <v>8</v>
      </c>
      <c r="I718" s="44">
        <f t="shared" si="52"/>
        <v>44.8</v>
      </c>
      <c r="J718" s="98"/>
      <c r="K718" s="103"/>
    </row>
    <row r="719" spans="1:11" x14ac:dyDescent="0.3">
      <c r="A719" s="4" t="s">
        <v>36</v>
      </c>
      <c r="B719" s="68" t="s">
        <v>225</v>
      </c>
      <c r="C719" s="55">
        <v>6</v>
      </c>
      <c r="D719" s="70">
        <v>7.5</v>
      </c>
      <c r="E719" s="51">
        <v>7</v>
      </c>
      <c r="F719" s="4" t="s">
        <v>71</v>
      </c>
      <c r="G719" s="4" t="s">
        <v>84</v>
      </c>
      <c r="H719" s="48">
        <f>IF(G719&gt;0,VLOOKUP(G719,Apoio!$H$2:$I$24,2,0),"")</f>
        <v>8</v>
      </c>
      <c r="I719" s="44">
        <f t="shared" si="52"/>
        <v>44.8</v>
      </c>
      <c r="J719" s="98"/>
      <c r="K719" s="103"/>
    </row>
    <row r="720" spans="1:11" x14ac:dyDescent="0.3">
      <c r="A720" s="4" t="s">
        <v>36</v>
      </c>
      <c r="B720" s="68" t="s">
        <v>225</v>
      </c>
      <c r="C720" s="55">
        <v>6</v>
      </c>
      <c r="D720" s="70">
        <v>7.5</v>
      </c>
      <c r="E720" s="51">
        <v>7</v>
      </c>
      <c r="F720" s="4" t="s">
        <v>71</v>
      </c>
      <c r="G720" s="4" t="s">
        <v>91</v>
      </c>
      <c r="H720" s="48">
        <f>IF(G720&gt;0,VLOOKUP(G720,Apoio!$H$2:$I$24,2,0),"")</f>
        <v>6</v>
      </c>
      <c r="I720" s="44">
        <f t="shared" si="52"/>
        <v>33.6</v>
      </c>
      <c r="J720" s="98"/>
      <c r="K720" s="103"/>
    </row>
    <row r="721" spans="1:11" x14ac:dyDescent="0.3">
      <c r="A721" s="4" t="s">
        <v>36</v>
      </c>
      <c r="B721" s="68" t="s">
        <v>225</v>
      </c>
      <c r="C721" s="55">
        <v>6</v>
      </c>
      <c r="D721" s="70">
        <v>7.5</v>
      </c>
      <c r="E721" s="51">
        <v>7</v>
      </c>
      <c r="F721" s="4" t="s">
        <v>71</v>
      </c>
      <c r="G721" s="4" t="s">
        <v>97</v>
      </c>
      <c r="H721" s="48">
        <f>IF(G721&gt;0,VLOOKUP(G721,Apoio!$H$2:$I$24,2,0),"")</f>
        <v>8</v>
      </c>
      <c r="I721" s="44">
        <f t="shared" si="52"/>
        <v>44.8</v>
      </c>
      <c r="J721" s="98"/>
      <c r="K721" s="103"/>
    </row>
    <row r="722" spans="1:11" x14ac:dyDescent="0.3">
      <c r="A722" s="4" t="s">
        <v>36</v>
      </c>
      <c r="B722" s="68" t="s">
        <v>225</v>
      </c>
      <c r="C722" s="55">
        <v>6</v>
      </c>
      <c r="D722" s="70">
        <v>7.5</v>
      </c>
      <c r="E722" s="51">
        <v>7</v>
      </c>
      <c r="F722" s="4" t="s">
        <v>71</v>
      </c>
      <c r="G722" s="4" t="s">
        <v>100</v>
      </c>
      <c r="H722" s="48">
        <f>IF(G722&gt;0,VLOOKUP(G722,Apoio!$H$2:$I$24,2,0),"")</f>
        <v>3</v>
      </c>
      <c r="I722" s="44">
        <f t="shared" si="52"/>
        <v>16.8</v>
      </c>
      <c r="J722" s="98"/>
      <c r="K722" s="103"/>
    </row>
    <row r="723" spans="1:11" x14ac:dyDescent="0.3">
      <c r="A723" s="81" t="s">
        <v>36</v>
      </c>
      <c r="B723" s="82" t="s">
        <v>225</v>
      </c>
      <c r="C723" s="83">
        <v>0</v>
      </c>
      <c r="D723" s="84">
        <v>0</v>
      </c>
      <c r="E723" s="85">
        <v>7</v>
      </c>
      <c r="F723" s="86" t="s">
        <v>78</v>
      </c>
      <c r="G723" s="86" t="s">
        <v>103</v>
      </c>
      <c r="H723" s="87">
        <f>IF(G723&gt;0,VLOOKUP(G723,Apoio!$H$2:$I$24,2,0),"")</f>
        <v>6</v>
      </c>
      <c r="I723" s="44" t="str">
        <f t="shared" si="52"/>
        <v/>
      </c>
      <c r="J723" s="98"/>
      <c r="K723" s="105" t="s">
        <v>223</v>
      </c>
    </row>
    <row r="724" spans="1:11" x14ac:dyDescent="0.3">
      <c r="A724" s="86" t="s">
        <v>36</v>
      </c>
      <c r="B724" s="82" t="s">
        <v>225</v>
      </c>
      <c r="C724" s="83">
        <v>0</v>
      </c>
      <c r="D724" s="84">
        <v>0</v>
      </c>
      <c r="E724" s="85">
        <v>7</v>
      </c>
      <c r="F724" s="86" t="s">
        <v>78</v>
      </c>
      <c r="G724" s="86" t="s">
        <v>106</v>
      </c>
      <c r="H724" s="87">
        <f>IF(G724&gt;0,VLOOKUP(G724,Apoio!$H$2:$I$24,2,0),"")</f>
        <v>7</v>
      </c>
      <c r="I724" s="44" t="str">
        <f t="shared" si="52"/>
        <v/>
      </c>
      <c r="J724" s="98"/>
      <c r="K724" s="105" t="s">
        <v>223</v>
      </c>
    </row>
    <row r="725" spans="1:11" x14ac:dyDescent="0.3">
      <c r="A725" s="86" t="s">
        <v>36</v>
      </c>
      <c r="B725" s="82" t="s">
        <v>225</v>
      </c>
      <c r="C725" s="83">
        <v>0</v>
      </c>
      <c r="D725" s="84">
        <v>0</v>
      </c>
      <c r="E725" s="85">
        <v>7</v>
      </c>
      <c r="F725" s="86" t="s">
        <v>78</v>
      </c>
      <c r="G725" s="86" t="s">
        <v>109</v>
      </c>
      <c r="H725" s="87">
        <f>IF(G725&gt;0,VLOOKUP(G725,Apoio!$H$2:$I$24,2,0),"")</f>
        <v>8</v>
      </c>
      <c r="I725" s="44" t="str">
        <f t="shared" si="52"/>
        <v/>
      </c>
      <c r="J725" s="98"/>
      <c r="K725" s="105" t="s">
        <v>223</v>
      </c>
    </row>
    <row r="726" spans="1:11" x14ac:dyDescent="0.3">
      <c r="A726" s="86" t="s">
        <v>36</v>
      </c>
      <c r="B726" s="82" t="s">
        <v>225</v>
      </c>
      <c r="C726" s="83">
        <v>0</v>
      </c>
      <c r="D726" s="84">
        <v>0</v>
      </c>
      <c r="E726" s="85">
        <v>7</v>
      </c>
      <c r="F726" s="86" t="s">
        <v>78</v>
      </c>
      <c r="G726" s="86" t="s">
        <v>112</v>
      </c>
      <c r="H726" s="87">
        <f>IF(G726&gt;0,VLOOKUP(G726,Apoio!$H$2:$I$24,2,0),"")</f>
        <v>8</v>
      </c>
      <c r="I726" s="44" t="str">
        <f t="shared" si="52"/>
        <v/>
      </c>
      <c r="J726" s="98"/>
      <c r="K726" s="105" t="s">
        <v>223</v>
      </c>
    </row>
    <row r="727" spans="1:11" x14ac:dyDescent="0.3">
      <c r="A727" s="86" t="s">
        <v>36</v>
      </c>
      <c r="B727" s="82" t="s">
        <v>225</v>
      </c>
      <c r="C727" s="83">
        <v>0</v>
      </c>
      <c r="D727" s="84">
        <v>0</v>
      </c>
      <c r="E727" s="85">
        <v>7</v>
      </c>
      <c r="F727" s="86" t="s">
        <v>78</v>
      </c>
      <c r="G727" s="86" t="s">
        <v>115</v>
      </c>
      <c r="H727" s="87">
        <f>IF(G727&gt;0,VLOOKUP(G727,Apoio!$H$2:$I$24,2,0),"")</f>
        <v>7</v>
      </c>
      <c r="I727" s="44" t="str">
        <f t="shared" si="52"/>
        <v/>
      </c>
      <c r="J727" s="98"/>
      <c r="K727" s="105" t="s">
        <v>223</v>
      </c>
    </row>
    <row r="728" spans="1:11" x14ac:dyDescent="0.3">
      <c r="A728" s="86" t="s">
        <v>36</v>
      </c>
      <c r="B728" s="82" t="s">
        <v>225</v>
      </c>
      <c r="C728" s="83">
        <v>0</v>
      </c>
      <c r="D728" s="84">
        <v>0</v>
      </c>
      <c r="E728" s="85">
        <v>7</v>
      </c>
      <c r="F728" s="86" t="s">
        <v>78</v>
      </c>
      <c r="G728" s="86" t="s">
        <v>118</v>
      </c>
      <c r="H728" s="87">
        <f>IF(G728&gt;0,VLOOKUP(G728,Apoio!$H$2:$I$24,2,0),"")</f>
        <v>3</v>
      </c>
      <c r="I728" s="44" t="str">
        <f t="shared" si="52"/>
        <v/>
      </c>
      <c r="J728" s="98"/>
      <c r="K728" s="105" t="s">
        <v>223</v>
      </c>
    </row>
    <row r="729" spans="1:11" x14ac:dyDescent="0.3">
      <c r="A729" s="81" t="s">
        <v>36</v>
      </c>
      <c r="B729" s="82" t="s">
        <v>225</v>
      </c>
      <c r="C729" s="83">
        <v>0</v>
      </c>
      <c r="D729" s="84">
        <v>0</v>
      </c>
      <c r="E729" s="85">
        <v>7</v>
      </c>
      <c r="F729" s="86" t="s">
        <v>85</v>
      </c>
      <c r="G729" s="86" t="s">
        <v>121</v>
      </c>
      <c r="H729" s="87">
        <f>IF(G729&gt;0,VLOOKUP(G729,Apoio!$H$2:$I$24,2,0),"")</f>
        <v>7</v>
      </c>
      <c r="I729" s="44" t="str">
        <f t="shared" si="52"/>
        <v/>
      </c>
      <c r="J729" s="98"/>
      <c r="K729" s="105" t="s">
        <v>223</v>
      </c>
    </row>
    <row r="730" spans="1:11" x14ac:dyDescent="0.3">
      <c r="A730" s="86" t="s">
        <v>36</v>
      </c>
      <c r="B730" s="82" t="s">
        <v>225</v>
      </c>
      <c r="C730" s="83">
        <v>0</v>
      </c>
      <c r="D730" s="84">
        <v>0</v>
      </c>
      <c r="E730" s="85">
        <v>7</v>
      </c>
      <c r="F730" s="86" t="s">
        <v>85</v>
      </c>
      <c r="G730" s="86" t="s">
        <v>124</v>
      </c>
      <c r="H730" s="87">
        <f>IF(G730&gt;0,VLOOKUP(G730,Apoio!$H$2:$I$24,2,0),"")</f>
        <v>8</v>
      </c>
      <c r="I730" s="44" t="str">
        <f t="shared" si="52"/>
        <v/>
      </c>
      <c r="J730" s="98"/>
      <c r="K730" s="105" t="s">
        <v>223</v>
      </c>
    </row>
    <row r="731" spans="1:11" x14ac:dyDescent="0.3">
      <c r="A731" s="86" t="s">
        <v>36</v>
      </c>
      <c r="B731" s="82" t="s">
        <v>225</v>
      </c>
      <c r="C731" s="83">
        <v>0</v>
      </c>
      <c r="D731" s="84">
        <v>0</v>
      </c>
      <c r="E731" s="85">
        <v>7</v>
      </c>
      <c r="F731" s="86" t="s">
        <v>85</v>
      </c>
      <c r="G731" s="86" t="s">
        <v>127</v>
      </c>
      <c r="H731" s="87">
        <f>IF(G731&gt;0,VLOOKUP(G731,Apoio!$H$2:$I$24,2,0),"")</f>
        <v>8</v>
      </c>
      <c r="I731" s="44" t="str">
        <f t="shared" si="52"/>
        <v/>
      </c>
      <c r="J731" s="98"/>
      <c r="K731" s="105" t="s">
        <v>223</v>
      </c>
    </row>
    <row r="732" spans="1:11" x14ac:dyDescent="0.3">
      <c r="A732" s="86" t="s">
        <v>36</v>
      </c>
      <c r="B732" s="82" t="s">
        <v>225</v>
      </c>
      <c r="C732" s="83">
        <v>0</v>
      </c>
      <c r="D732" s="84">
        <v>0</v>
      </c>
      <c r="E732" s="85">
        <v>7</v>
      </c>
      <c r="F732" s="86" t="s">
        <v>85</v>
      </c>
      <c r="G732" s="86" t="s">
        <v>130</v>
      </c>
      <c r="H732" s="87">
        <f>IF(G732&gt;0,VLOOKUP(G732,Apoio!$H$2:$I$24,2,0),"")</f>
        <v>13</v>
      </c>
      <c r="I732" s="44" t="str">
        <f t="shared" si="52"/>
        <v/>
      </c>
      <c r="J732" s="98"/>
      <c r="K732" s="105" t="s">
        <v>223</v>
      </c>
    </row>
    <row r="733" spans="1:11" x14ac:dyDescent="0.3">
      <c r="A733" s="86" t="s">
        <v>36</v>
      </c>
      <c r="B733" s="82" t="s">
        <v>225</v>
      </c>
      <c r="C733" s="83">
        <v>0</v>
      </c>
      <c r="D733" s="84">
        <v>0</v>
      </c>
      <c r="E733" s="85">
        <v>7</v>
      </c>
      <c r="F733" s="86" t="s">
        <v>85</v>
      </c>
      <c r="G733" s="86" t="s">
        <v>133</v>
      </c>
      <c r="H733" s="87">
        <f>IF(G733&gt;0,VLOOKUP(G733,Apoio!$H$2:$I$24,2,0),"")</f>
        <v>3</v>
      </c>
      <c r="I733" s="44" t="str">
        <f t="shared" si="52"/>
        <v/>
      </c>
      <c r="J733" s="98"/>
      <c r="K733" s="105" t="s">
        <v>223</v>
      </c>
    </row>
    <row r="734" spans="1:11" x14ac:dyDescent="0.3">
      <c r="A734" s="86" t="s">
        <v>36</v>
      </c>
      <c r="B734" s="82" t="s">
        <v>225</v>
      </c>
      <c r="C734" s="83">
        <v>0</v>
      </c>
      <c r="D734" s="84">
        <v>0</v>
      </c>
      <c r="E734" s="85">
        <v>7</v>
      </c>
      <c r="F734" s="86" t="s">
        <v>92</v>
      </c>
      <c r="G734" s="86" t="s">
        <v>136</v>
      </c>
      <c r="H734" s="87">
        <f>IF(G734&gt;0,VLOOKUP(G734,Apoio!$H$2:$I$24,2,0),"")</f>
        <v>13</v>
      </c>
      <c r="I734" s="44" t="str">
        <f t="shared" si="52"/>
        <v/>
      </c>
      <c r="J734" s="98"/>
      <c r="K734" s="105" t="s">
        <v>223</v>
      </c>
    </row>
    <row r="735" spans="1:11" x14ac:dyDescent="0.3">
      <c r="A735" s="81" t="s">
        <v>36</v>
      </c>
      <c r="B735" s="82" t="s">
        <v>225</v>
      </c>
      <c r="C735" s="83">
        <v>0</v>
      </c>
      <c r="D735" s="84">
        <v>0</v>
      </c>
      <c r="E735" s="85">
        <v>7</v>
      </c>
      <c r="F735" s="86" t="s">
        <v>92</v>
      </c>
      <c r="G735" s="86" t="s">
        <v>139</v>
      </c>
      <c r="H735" s="87">
        <f>IF(G735&gt;0,VLOOKUP(G735,Apoio!$H$2:$I$24,2,0),"")</f>
        <v>8</v>
      </c>
      <c r="I735" s="44" t="str">
        <f t="shared" si="52"/>
        <v/>
      </c>
      <c r="J735" s="98"/>
      <c r="K735" s="105" t="s">
        <v>223</v>
      </c>
    </row>
    <row r="736" spans="1:11" x14ac:dyDescent="0.3">
      <c r="A736" s="86" t="s">
        <v>36</v>
      </c>
      <c r="B736" s="82" t="s">
        <v>225</v>
      </c>
      <c r="C736" s="83">
        <v>0</v>
      </c>
      <c r="D736" s="84">
        <v>0</v>
      </c>
      <c r="E736" s="85">
        <v>7</v>
      </c>
      <c r="F736" s="86" t="s">
        <v>92</v>
      </c>
      <c r="G736" s="86" t="s">
        <v>142</v>
      </c>
      <c r="H736" s="87">
        <f>IF(G736&gt;0,VLOOKUP(G736,Apoio!$H$2:$I$24,2,0),"")</f>
        <v>8</v>
      </c>
      <c r="I736" s="44" t="str">
        <f t="shared" si="52"/>
        <v/>
      </c>
      <c r="J736" s="98"/>
      <c r="K736" s="105" t="s">
        <v>223</v>
      </c>
    </row>
    <row r="737" spans="1:11" x14ac:dyDescent="0.3">
      <c r="A737" s="86" t="s">
        <v>36</v>
      </c>
      <c r="B737" s="82" t="s">
        <v>225</v>
      </c>
      <c r="C737" s="83">
        <v>0</v>
      </c>
      <c r="D737" s="84">
        <v>0</v>
      </c>
      <c r="E737" s="85">
        <v>7</v>
      </c>
      <c r="F737" s="86" t="s">
        <v>92</v>
      </c>
      <c r="G737" s="86" t="s">
        <v>145</v>
      </c>
      <c r="H737" s="87">
        <f>IF(G737&gt;0,VLOOKUP(G737,Apoio!$H$2:$I$24,2,0),"")</f>
        <v>7</v>
      </c>
      <c r="I737" s="44" t="str">
        <f t="shared" si="52"/>
        <v/>
      </c>
      <c r="J737" s="98"/>
      <c r="K737" s="105" t="s">
        <v>223</v>
      </c>
    </row>
    <row r="738" spans="1:11" x14ac:dyDescent="0.3">
      <c r="A738" s="86" t="s">
        <v>36</v>
      </c>
      <c r="B738" s="82" t="s">
        <v>225</v>
      </c>
      <c r="C738" s="83">
        <v>0</v>
      </c>
      <c r="D738" s="84">
        <v>0</v>
      </c>
      <c r="E738" s="85">
        <v>7</v>
      </c>
      <c r="F738" s="86" t="s">
        <v>92</v>
      </c>
      <c r="G738" s="86" t="s">
        <v>148</v>
      </c>
      <c r="H738" s="87">
        <f>IF(G738&gt;0,VLOOKUP(G738,Apoio!$H$2:$I$24,2,0),"")</f>
        <v>8</v>
      </c>
      <c r="I738" s="44" t="str">
        <f t="shared" si="52"/>
        <v/>
      </c>
      <c r="J738" s="98"/>
      <c r="K738" s="105" t="s">
        <v>223</v>
      </c>
    </row>
    <row r="739" spans="1:11" x14ac:dyDescent="0.3">
      <c r="A739" s="86" t="s">
        <v>36</v>
      </c>
      <c r="B739" s="82" t="s">
        <v>225</v>
      </c>
      <c r="C739" s="83">
        <v>0</v>
      </c>
      <c r="D739" s="84">
        <v>0</v>
      </c>
      <c r="E739" s="85">
        <v>7</v>
      </c>
      <c r="F739" s="86" t="s">
        <v>92</v>
      </c>
      <c r="G739" s="86" t="s">
        <v>151</v>
      </c>
      <c r="H739" s="87">
        <f>IF(G739&gt;0,VLOOKUP(G739,Apoio!$H$2:$I$24,2,0),"")</f>
        <v>8</v>
      </c>
      <c r="I739" s="44" t="str">
        <f t="shared" si="52"/>
        <v/>
      </c>
      <c r="J739" s="98"/>
      <c r="K739" s="105" t="s">
        <v>223</v>
      </c>
    </row>
    <row r="740" spans="1:11" x14ac:dyDescent="0.3">
      <c r="A740" s="4" t="s">
        <v>36</v>
      </c>
      <c r="B740" s="68" t="s">
        <v>38</v>
      </c>
      <c r="C740" s="58">
        <v>5</v>
      </c>
      <c r="D740" s="70">
        <v>5.3</v>
      </c>
      <c r="E740" s="51">
        <v>7</v>
      </c>
      <c r="F740" s="4" t="s">
        <v>71</v>
      </c>
      <c r="G740" s="4" t="s">
        <v>70</v>
      </c>
      <c r="H740" s="48">
        <v>8</v>
      </c>
      <c r="I740" s="44">
        <f t="shared" ref="I740:I757" si="53">IF(D740&gt;0,(((H740*E740)*C740)/D740),"")</f>
        <v>52.830188679245282</v>
      </c>
      <c r="J740" s="98"/>
      <c r="K740" s="103"/>
    </row>
    <row r="741" spans="1:11" x14ac:dyDescent="0.3">
      <c r="A741" s="4" t="s">
        <v>36</v>
      </c>
      <c r="B741" s="68" t="s">
        <v>38</v>
      </c>
      <c r="C741" s="58">
        <v>5</v>
      </c>
      <c r="D741" s="70">
        <v>5.3</v>
      </c>
      <c r="E741" s="51">
        <v>7</v>
      </c>
      <c r="F741" s="4" t="s">
        <v>71</v>
      </c>
      <c r="G741" s="4" t="s">
        <v>77</v>
      </c>
      <c r="H741" s="48">
        <f>IF(G741&gt;0,VLOOKUP(G741,Apoio!$H$2:$I$24,2,0),"")</f>
        <v>8</v>
      </c>
      <c r="I741" s="44">
        <f t="shared" si="53"/>
        <v>52.830188679245282</v>
      </c>
      <c r="J741" s="98"/>
      <c r="K741" s="103"/>
    </row>
    <row r="742" spans="1:11" x14ac:dyDescent="0.3">
      <c r="A742" s="4" t="s">
        <v>36</v>
      </c>
      <c r="B742" s="68" t="s">
        <v>38</v>
      </c>
      <c r="C742" s="58">
        <v>5</v>
      </c>
      <c r="D742" s="70">
        <v>5.3</v>
      </c>
      <c r="E742" s="51">
        <v>7</v>
      </c>
      <c r="F742" s="4" t="s">
        <v>71</v>
      </c>
      <c r="G742" s="4" t="s">
        <v>84</v>
      </c>
      <c r="H742" s="48">
        <f>IF(G742&gt;0,VLOOKUP(G742,Apoio!$H$2:$I$24,2,0),"")</f>
        <v>8</v>
      </c>
      <c r="I742" s="44">
        <f t="shared" si="53"/>
        <v>52.830188679245282</v>
      </c>
      <c r="J742" s="98"/>
      <c r="K742" s="103"/>
    </row>
    <row r="743" spans="1:11" x14ac:dyDescent="0.3">
      <c r="A743" s="4" t="s">
        <v>36</v>
      </c>
      <c r="B743" s="68" t="s">
        <v>38</v>
      </c>
      <c r="C743" s="58">
        <v>5</v>
      </c>
      <c r="D743" s="70">
        <v>5.3</v>
      </c>
      <c r="E743" s="51">
        <v>7</v>
      </c>
      <c r="F743" s="4" t="s">
        <v>71</v>
      </c>
      <c r="G743" s="4" t="s">
        <v>91</v>
      </c>
      <c r="H743" s="48">
        <f>IF(G743&gt;0,VLOOKUP(G743,Apoio!$H$2:$I$24,2,0),"")</f>
        <v>6</v>
      </c>
      <c r="I743" s="44">
        <f t="shared" si="53"/>
        <v>39.622641509433961</v>
      </c>
      <c r="J743" s="98"/>
      <c r="K743" s="103"/>
    </row>
    <row r="744" spans="1:11" x14ac:dyDescent="0.3">
      <c r="A744" s="4" t="s">
        <v>36</v>
      </c>
      <c r="B744" s="68" t="s">
        <v>38</v>
      </c>
      <c r="C744" s="58">
        <v>5</v>
      </c>
      <c r="D744" s="70">
        <v>5.3</v>
      </c>
      <c r="E744" s="51">
        <v>7</v>
      </c>
      <c r="F744" s="4" t="s">
        <v>71</v>
      </c>
      <c r="G744" s="4" t="s">
        <v>97</v>
      </c>
      <c r="H744" s="48">
        <f>IF(G744&gt;0,VLOOKUP(G744,Apoio!$H$2:$I$24,2,0),"")</f>
        <v>8</v>
      </c>
      <c r="I744" s="44">
        <f t="shared" si="53"/>
        <v>52.830188679245282</v>
      </c>
      <c r="J744" s="98"/>
      <c r="K744" s="103"/>
    </row>
    <row r="745" spans="1:11" x14ac:dyDescent="0.3">
      <c r="A745" s="4" t="s">
        <v>36</v>
      </c>
      <c r="B745" s="68" t="s">
        <v>38</v>
      </c>
      <c r="C745" s="58">
        <v>5</v>
      </c>
      <c r="D745" s="70">
        <v>5.3</v>
      </c>
      <c r="E745" s="51">
        <v>7</v>
      </c>
      <c r="F745" s="4" t="s">
        <v>71</v>
      </c>
      <c r="G745" s="4" t="s">
        <v>100</v>
      </c>
      <c r="H745" s="48">
        <f>IF(G745&gt;0,VLOOKUP(G745,Apoio!$H$2:$I$24,2,0),"")</f>
        <v>3</v>
      </c>
      <c r="I745" s="44">
        <f t="shared" si="53"/>
        <v>19.811320754716981</v>
      </c>
      <c r="J745" s="98"/>
      <c r="K745" s="103"/>
    </row>
    <row r="746" spans="1:11" x14ac:dyDescent="0.3">
      <c r="A746" s="4" t="s">
        <v>36</v>
      </c>
      <c r="B746" s="68" t="s">
        <v>38</v>
      </c>
      <c r="C746" s="58">
        <v>7.5</v>
      </c>
      <c r="D746" s="70">
        <v>7.8</v>
      </c>
      <c r="E746" s="51">
        <v>7</v>
      </c>
      <c r="F746" s="4" t="s">
        <v>78</v>
      </c>
      <c r="G746" s="4" t="s">
        <v>103</v>
      </c>
      <c r="H746" s="48">
        <f>IF(G746&gt;0,VLOOKUP(G746,Apoio!$H$2:$I$24,2,0),"")</f>
        <v>6</v>
      </c>
      <c r="I746" s="44">
        <f t="shared" si="53"/>
        <v>40.384615384615387</v>
      </c>
      <c r="J746" s="98"/>
      <c r="K746" s="103"/>
    </row>
    <row r="747" spans="1:11" x14ac:dyDescent="0.3">
      <c r="A747" s="4" t="s">
        <v>36</v>
      </c>
      <c r="B747" s="68" t="s">
        <v>38</v>
      </c>
      <c r="C747" s="58">
        <v>7.5</v>
      </c>
      <c r="D747" s="70">
        <v>7.8</v>
      </c>
      <c r="E747" s="51">
        <v>7</v>
      </c>
      <c r="F747" s="4" t="s">
        <v>78</v>
      </c>
      <c r="G747" s="4" t="s">
        <v>106</v>
      </c>
      <c r="H747" s="48">
        <f>IF(G747&gt;0,VLOOKUP(G747,Apoio!$H$2:$I$24,2,0),"")</f>
        <v>7</v>
      </c>
      <c r="I747" s="44">
        <f t="shared" si="53"/>
        <v>47.115384615384613</v>
      </c>
      <c r="J747" s="98"/>
      <c r="K747" s="103"/>
    </row>
    <row r="748" spans="1:11" x14ac:dyDescent="0.3">
      <c r="A748" s="4" t="s">
        <v>36</v>
      </c>
      <c r="B748" s="68" t="s">
        <v>38</v>
      </c>
      <c r="C748" s="58">
        <v>7.5</v>
      </c>
      <c r="D748" s="70">
        <v>7.8</v>
      </c>
      <c r="E748" s="51">
        <v>7</v>
      </c>
      <c r="F748" s="4" t="s">
        <v>78</v>
      </c>
      <c r="G748" s="4" t="s">
        <v>109</v>
      </c>
      <c r="H748" s="48">
        <f>IF(G748&gt;0,VLOOKUP(G748,Apoio!$H$2:$I$24,2,0),"")</f>
        <v>8</v>
      </c>
      <c r="I748" s="44">
        <f t="shared" si="53"/>
        <v>53.846153846153847</v>
      </c>
      <c r="J748" s="98"/>
      <c r="K748" s="103"/>
    </row>
    <row r="749" spans="1:11" x14ac:dyDescent="0.3">
      <c r="A749" s="4" t="s">
        <v>36</v>
      </c>
      <c r="B749" s="68" t="s">
        <v>38</v>
      </c>
      <c r="C749" s="58">
        <v>8</v>
      </c>
      <c r="D749" s="70">
        <v>7.8</v>
      </c>
      <c r="E749" s="51">
        <v>7</v>
      </c>
      <c r="F749" s="4" t="s">
        <v>78</v>
      </c>
      <c r="G749" s="4" t="s">
        <v>112</v>
      </c>
      <c r="H749" s="48">
        <f>IF(G749&gt;0,VLOOKUP(G749,Apoio!$H$2:$I$24,2,0),"")</f>
        <v>8</v>
      </c>
      <c r="I749" s="44">
        <f t="shared" si="53"/>
        <v>57.435897435897438</v>
      </c>
      <c r="J749" s="98"/>
      <c r="K749" s="103"/>
    </row>
    <row r="750" spans="1:11" x14ac:dyDescent="0.3">
      <c r="A750" s="4" t="s">
        <v>36</v>
      </c>
      <c r="B750" s="68" t="s">
        <v>38</v>
      </c>
      <c r="C750" s="58">
        <v>8</v>
      </c>
      <c r="D750" s="70">
        <v>7.8</v>
      </c>
      <c r="E750" s="51">
        <v>7</v>
      </c>
      <c r="F750" s="4" t="s">
        <v>78</v>
      </c>
      <c r="G750" s="4" t="s">
        <v>115</v>
      </c>
      <c r="H750" s="48">
        <f>IF(G750&gt;0,VLOOKUP(G750,Apoio!$H$2:$I$24,2,0),"")</f>
        <v>7</v>
      </c>
      <c r="I750" s="44">
        <f t="shared" si="53"/>
        <v>50.256410256410255</v>
      </c>
      <c r="J750" s="98"/>
      <c r="K750" s="103"/>
    </row>
    <row r="751" spans="1:11" x14ac:dyDescent="0.3">
      <c r="A751" s="4" t="s">
        <v>36</v>
      </c>
      <c r="B751" s="68" t="s">
        <v>38</v>
      </c>
      <c r="C751" s="58">
        <v>8</v>
      </c>
      <c r="D751" s="70">
        <v>7.8</v>
      </c>
      <c r="E751" s="51">
        <v>7</v>
      </c>
      <c r="F751" s="4" t="s">
        <v>78</v>
      </c>
      <c r="G751" s="4" t="s">
        <v>118</v>
      </c>
      <c r="H751" s="48">
        <f>IF(G751&gt;0,VLOOKUP(G751,Apoio!$H$2:$I$24,2,0),"")</f>
        <v>3</v>
      </c>
      <c r="I751" s="44">
        <f t="shared" si="53"/>
        <v>21.53846153846154</v>
      </c>
      <c r="J751" s="98"/>
      <c r="K751" s="103"/>
    </row>
    <row r="752" spans="1:11" x14ac:dyDescent="0.3">
      <c r="A752" s="4" t="s">
        <v>36</v>
      </c>
      <c r="B752" s="68" t="s">
        <v>38</v>
      </c>
      <c r="C752" s="58">
        <v>7</v>
      </c>
      <c r="D752" s="70">
        <v>7.3</v>
      </c>
      <c r="E752" s="51">
        <v>7</v>
      </c>
      <c r="F752" s="4" t="s">
        <v>85</v>
      </c>
      <c r="G752" s="4" t="s">
        <v>121</v>
      </c>
      <c r="H752" s="48">
        <f>IF(G752&gt;0,VLOOKUP(G752,Apoio!$H$2:$I$24,2,0),"")</f>
        <v>7</v>
      </c>
      <c r="I752" s="44">
        <f t="shared" si="53"/>
        <v>46.986301369863014</v>
      </c>
      <c r="J752" s="98"/>
      <c r="K752" s="103"/>
    </row>
    <row r="753" spans="1:11" x14ac:dyDescent="0.3">
      <c r="A753" s="4" t="s">
        <v>36</v>
      </c>
      <c r="B753" s="68" t="s">
        <v>38</v>
      </c>
      <c r="C753" s="58">
        <v>7</v>
      </c>
      <c r="D753" s="70">
        <v>7.3</v>
      </c>
      <c r="E753" s="51">
        <v>7</v>
      </c>
      <c r="F753" s="4" t="s">
        <v>85</v>
      </c>
      <c r="G753" s="4" t="s">
        <v>124</v>
      </c>
      <c r="H753" s="48">
        <f>IF(G753&gt;0,VLOOKUP(G753,Apoio!$H$2:$I$24,2,0),"")</f>
        <v>8</v>
      </c>
      <c r="I753" s="44">
        <f t="shared" si="53"/>
        <v>53.698630136986303</v>
      </c>
      <c r="J753" s="98"/>
      <c r="K753" s="103"/>
    </row>
    <row r="754" spans="1:11" x14ac:dyDescent="0.3">
      <c r="A754" s="4" t="s">
        <v>36</v>
      </c>
      <c r="B754" s="68" t="s">
        <v>38</v>
      </c>
      <c r="C754" s="58">
        <v>7</v>
      </c>
      <c r="D754" s="70">
        <v>7.3</v>
      </c>
      <c r="E754" s="51">
        <v>7</v>
      </c>
      <c r="F754" s="4" t="s">
        <v>85</v>
      </c>
      <c r="G754" s="4" t="s">
        <v>127</v>
      </c>
      <c r="H754" s="48">
        <f>IF(G754&gt;0,VLOOKUP(G754,Apoio!$H$2:$I$24,2,0),"")</f>
        <v>8</v>
      </c>
      <c r="I754" s="44">
        <f t="shared" si="53"/>
        <v>53.698630136986303</v>
      </c>
      <c r="J754" s="98"/>
      <c r="K754" s="103"/>
    </row>
    <row r="755" spans="1:11" x14ac:dyDescent="0.3">
      <c r="A755" s="4" t="s">
        <v>36</v>
      </c>
      <c r="B755" s="68" t="s">
        <v>38</v>
      </c>
      <c r="C755" s="58">
        <v>7</v>
      </c>
      <c r="D755" s="70">
        <v>7.3</v>
      </c>
      <c r="E755" s="51">
        <v>7</v>
      </c>
      <c r="F755" s="4" t="s">
        <v>85</v>
      </c>
      <c r="G755" s="4" t="s">
        <v>130</v>
      </c>
      <c r="H755" s="48">
        <f>IF(G755&gt;0,VLOOKUP(G755,Apoio!$H$2:$I$24,2,0),"")</f>
        <v>13</v>
      </c>
      <c r="I755" s="44">
        <f t="shared" si="53"/>
        <v>87.260273972602747</v>
      </c>
      <c r="J755" s="98"/>
      <c r="K755" s="103"/>
    </row>
    <row r="756" spans="1:11" x14ac:dyDescent="0.3">
      <c r="A756" s="4" t="s">
        <v>36</v>
      </c>
      <c r="B756" s="68" t="s">
        <v>38</v>
      </c>
      <c r="C756" s="58">
        <v>7</v>
      </c>
      <c r="D756" s="70">
        <v>7.3</v>
      </c>
      <c r="E756" s="51">
        <v>7</v>
      </c>
      <c r="F756" s="4" t="s">
        <v>85</v>
      </c>
      <c r="G756" s="4" t="s">
        <v>133</v>
      </c>
      <c r="H756" s="48">
        <f>IF(G756&gt;0,VLOOKUP(G756,Apoio!$H$2:$I$24,2,0),"")</f>
        <v>3</v>
      </c>
      <c r="I756" s="44">
        <f t="shared" si="53"/>
        <v>20.136986301369863</v>
      </c>
      <c r="J756" s="98"/>
      <c r="K756" s="103"/>
    </row>
    <row r="757" spans="1:11" x14ac:dyDescent="0.3">
      <c r="A757" s="4" t="s">
        <v>36</v>
      </c>
      <c r="B757" s="68" t="s">
        <v>38</v>
      </c>
      <c r="C757" s="58">
        <v>5</v>
      </c>
      <c r="D757" s="70">
        <v>7.1</v>
      </c>
      <c r="E757" s="51">
        <v>7</v>
      </c>
      <c r="F757" s="4" t="s">
        <v>92</v>
      </c>
      <c r="G757" s="4" t="s">
        <v>136</v>
      </c>
      <c r="H757" s="48">
        <f>IF(G757&gt;0,VLOOKUP(G757,Apoio!$H$2:$I$24,2,0),"")</f>
        <v>13</v>
      </c>
      <c r="I757" s="44">
        <f t="shared" si="53"/>
        <v>64.08450704225352</v>
      </c>
      <c r="J757" s="98"/>
      <c r="K757" s="103"/>
    </row>
    <row r="758" spans="1:11" x14ac:dyDescent="0.3">
      <c r="A758" s="4" t="s">
        <v>36</v>
      </c>
      <c r="B758" s="68" t="s">
        <v>38</v>
      </c>
      <c r="C758" s="58">
        <v>5</v>
      </c>
      <c r="D758" s="70">
        <v>7.1</v>
      </c>
      <c r="E758" s="51">
        <v>7</v>
      </c>
      <c r="F758" s="4" t="s">
        <v>92</v>
      </c>
      <c r="G758" s="4" t="s">
        <v>139</v>
      </c>
      <c r="H758" s="48">
        <f>IF(G758&gt;0,VLOOKUP(G758,Apoio!$H$2:$I$24,2,0),"")</f>
        <v>8</v>
      </c>
      <c r="I758" s="44">
        <f t="shared" ref="I758:I818" si="54">IF(D758&gt;0,(((H758*E758)*C758)/D758),"")</f>
        <v>39.436619718309863</v>
      </c>
      <c r="J758" s="98"/>
      <c r="K758" s="103"/>
    </row>
    <row r="759" spans="1:11" x14ac:dyDescent="0.3">
      <c r="A759" s="4" t="s">
        <v>36</v>
      </c>
      <c r="B759" s="68" t="s">
        <v>38</v>
      </c>
      <c r="C759" s="58">
        <v>5</v>
      </c>
      <c r="D759" s="70">
        <v>7.1</v>
      </c>
      <c r="E759" s="51">
        <v>7</v>
      </c>
      <c r="F759" s="4" t="s">
        <v>92</v>
      </c>
      <c r="G759" s="4" t="s">
        <v>142</v>
      </c>
      <c r="H759" s="48">
        <f>IF(G759&gt;0,VLOOKUP(G759,Apoio!$H$2:$I$24,2,0),"")</f>
        <v>8</v>
      </c>
      <c r="I759" s="44">
        <f t="shared" si="54"/>
        <v>39.436619718309863</v>
      </c>
      <c r="J759" s="98"/>
      <c r="K759" s="103"/>
    </row>
    <row r="760" spans="1:11" x14ac:dyDescent="0.3">
      <c r="A760" s="67" t="s">
        <v>36</v>
      </c>
      <c r="B760" s="68" t="s">
        <v>38</v>
      </c>
      <c r="C760" s="58">
        <v>5</v>
      </c>
      <c r="D760" s="70">
        <v>7.1</v>
      </c>
      <c r="E760" s="51">
        <v>7</v>
      </c>
      <c r="F760" s="4" t="s">
        <v>92</v>
      </c>
      <c r="G760" s="4" t="s">
        <v>145</v>
      </c>
      <c r="H760" s="48">
        <f>IF(G760&gt;0,VLOOKUP(G760,Apoio!$H$2:$I$24,2,0),"")</f>
        <v>7</v>
      </c>
      <c r="I760" s="44">
        <f t="shared" si="54"/>
        <v>34.507042253521128</v>
      </c>
      <c r="J760" s="98"/>
      <c r="K760" s="103"/>
    </row>
    <row r="761" spans="1:11" x14ac:dyDescent="0.3">
      <c r="A761" s="67" t="s">
        <v>36</v>
      </c>
      <c r="B761" s="68" t="s">
        <v>38</v>
      </c>
      <c r="C761" s="58">
        <v>5</v>
      </c>
      <c r="D761" s="70">
        <v>7.1</v>
      </c>
      <c r="E761" s="51">
        <v>7</v>
      </c>
      <c r="F761" s="4" t="s">
        <v>92</v>
      </c>
      <c r="G761" s="4" t="s">
        <v>148</v>
      </c>
      <c r="H761" s="48">
        <f>IF(G761&gt;0,VLOOKUP(G761,Apoio!$H$2:$I$24,2,0),"")</f>
        <v>8</v>
      </c>
      <c r="I761" s="44">
        <f t="shared" si="54"/>
        <v>39.436619718309863</v>
      </c>
      <c r="J761" s="98"/>
      <c r="K761" s="103"/>
    </row>
    <row r="762" spans="1:11" x14ac:dyDescent="0.3">
      <c r="A762" s="67" t="s">
        <v>36</v>
      </c>
      <c r="B762" s="68" t="s">
        <v>38</v>
      </c>
      <c r="C762" s="58">
        <v>5</v>
      </c>
      <c r="D762" s="70">
        <v>7.1</v>
      </c>
      <c r="E762" s="51">
        <v>7</v>
      </c>
      <c r="F762" s="4" t="s">
        <v>92</v>
      </c>
      <c r="G762" s="4" t="s">
        <v>151</v>
      </c>
      <c r="H762" s="48">
        <f>IF(G762&gt;0,VLOOKUP(G762,Apoio!$H$2:$I$24,2,0),"")</f>
        <v>8</v>
      </c>
      <c r="I762" s="44">
        <f t="shared" si="54"/>
        <v>39.436619718309863</v>
      </c>
      <c r="J762" s="98"/>
      <c r="K762" s="103"/>
    </row>
    <row r="763" spans="1:11" x14ac:dyDescent="0.3">
      <c r="A763" s="80" t="s">
        <v>26</v>
      </c>
      <c r="B763" s="68" t="s">
        <v>27</v>
      </c>
      <c r="C763" s="55">
        <v>4</v>
      </c>
      <c r="D763" s="70">
        <v>8</v>
      </c>
      <c r="E763" s="51">
        <v>7</v>
      </c>
      <c r="F763" s="4" t="s">
        <v>71</v>
      </c>
      <c r="G763" s="4" t="s">
        <v>70</v>
      </c>
      <c r="H763" s="48">
        <v>8</v>
      </c>
      <c r="I763" s="44">
        <f t="shared" si="54"/>
        <v>28</v>
      </c>
      <c r="J763" s="98"/>
      <c r="K763" s="103"/>
    </row>
    <row r="764" spans="1:11" x14ac:dyDescent="0.3">
      <c r="A764" s="80" t="s">
        <v>26</v>
      </c>
      <c r="B764" s="68" t="s">
        <v>27</v>
      </c>
      <c r="C764" s="55">
        <v>3</v>
      </c>
      <c r="D764" s="70">
        <v>8</v>
      </c>
      <c r="E764" s="51">
        <v>7</v>
      </c>
      <c r="F764" s="4" t="s">
        <v>71</v>
      </c>
      <c r="G764" s="4" t="s">
        <v>77</v>
      </c>
      <c r="H764" s="48">
        <f>IF(G764&gt;0,VLOOKUP(G764,Apoio!$H$2:$I$24,2,0),"")</f>
        <v>8</v>
      </c>
      <c r="I764" s="44">
        <f t="shared" si="54"/>
        <v>21</v>
      </c>
      <c r="J764" s="98"/>
      <c r="K764" s="103"/>
    </row>
    <row r="765" spans="1:11" x14ac:dyDescent="0.3">
      <c r="A765" s="80" t="s">
        <v>26</v>
      </c>
      <c r="B765" s="68" t="s">
        <v>27</v>
      </c>
      <c r="C765" s="55">
        <v>4</v>
      </c>
      <c r="D765" s="70">
        <v>8</v>
      </c>
      <c r="E765" s="51">
        <v>7</v>
      </c>
      <c r="F765" s="4" t="s">
        <v>71</v>
      </c>
      <c r="G765" s="4" t="s">
        <v>84</v>
      </c>
      <c r="H765" s="48">
        <f>IF(G765&gt;0,VLOOKUP(G765,Apoio!$H$2:$I$24,2,0),"")</f>
        <v>8</v>
      </c>
      <c r="I765" s="44">
        <f t="shared" si="54"/>
        <v>28</v>
      </c>
      <c r="J765" s="98"/>
      <c r="K765" s="103"/>
    </row>
    <row r="766" spans="1:11" x14ac:dyDescent="0.3">
      <c r="A766" s="80" t="s">
        <v>26</v>
      </c>
      <c r="B766" s="68" t="s">
        <v>27</v>
      </c>
      <c r="C766" s="55">
        <v>3.5</v>
      </c>
      <c r="D766" s="70">
        <v>8</v>
      </c>
      <c r="E766" s="51">
        <v>7</v>
      </c>
      <c r="F766" s="4" t="s">
        <v>71</v>
      </c>
      <c r="G766" s="4" t="s">
        <v>91</v>
      </c>
      <c r="H766" s="48">
        <f>IF(G766&gt;0,VLOOKUP(G766,Apoio!$H$2:$I$24,2,0),"")</f>
        <v>6</v>
      </c>
      <c r="I766" s="44">
        <f t="shared" si="54"/>
        <v>18.375</v>
      </c>
      <c r="J766" s="98"/>
      <c r="K766" s="103"/>
    </row>
    <row r="767" spans="1:11" x14ac:dyDescent="0.3">
      <c r="A767" s="80" t="s">
        <v>26</v>
      </c>
      <c r="B767" s="68" t="s">
        <v>27</v>
      </c>
      <c r="C767" s="55">
        <v>4</v>
      </c>
      <c r="D767" s="70">
        <v>8</v>
      </c>
      <c r="E767" s="51">
        <v>7</v>
      </c>
      <c r="F767" s="4" t="s">
        <v>71</v>
      </c>
      <c r="G767" s="4" t="s">
        <v>97</v>
      </c>
      <c r="H767" s="48">
        <f>IF(G767&gt;0,VLOOKUP(G767,Apoio!$H$2:$I$24,2,0),"")</f>
        <v>8</v>
      </c>
      <c r="I767" s="44">
        <f t="shared" si="54"/>
        <v>28</v>
      </c>
      <c r="J767" s="98"/>
      <c r="K767" s="103"/>
    </row>
    <row r="768" spans="1:11" x14ac:dyDescent="0.3">
      <c r="A768" s="80" t="s">
        <v>26</v>
      </c>
      <c r="B768" s="68" t="s">
        <v>27</v>
      </c>
      <c r="C768" s="55">
        <v>4</v>
      </c>
      <c r="D768" s="70">
        <v>8</v>
      </c>
      <c r="E768" s="51">
        <v>7</v>
      </c>
      <c r="F768" s="4" t="s">
        <v>71</v>
      </c>
      <c r="G768" s="4" t="s">
        <v>100</v>
      </c>
      <c r="H768" s="48">
        <f>IF(G768&gt;0,VLOOKUP(G768,Apoio!$H$2:$I$24,2,0),"")</f>
        <v>3</v>
      </c>
      <c r="I768" s="44">
        <f t="shared" si="54"/>
        <v>10.5</v>
      </c>
      <c r="J768" s="98"/>
      <c r="K768" s="103"/>
    </row>
    <row r="769" spans="1:11" x14ac:dyDescent="0.3">
      <c r="A769" s="80" t="s">
        <v>26</v>
      </c>
      <c r="B769" s="68" t="s">
        <v>27</v>
      </c>
      <c r="C769" s="55">
        <v>3.5</v>
      </c>
      <c r="D769" s="70">
        <v>7.1</v>
      </c>
      <c r="E769" s="51">
        <v>7</v>
      </c>
      <c r="F769" s="4" t="s">
        <v>78</v>
      </c>
      <c r="G769" s="4" t="s">
        <v>103</v>
      </c>
      <c r="H769" s="48">
        <f>IF(G769&gt;0,VLOOKUP(G769,Apoio!$H$2:$I$24,2,0),"")</f>
        <v>6</v>
      </c>
      <c r="I769" s="44">
        <f t="shared" si="54"/>
        <v>20.704225352112676</v>
      </c>
      <c r="J769" s="98"/>
      <c r="K769" s="103"/>
    </row>
    <row r="770" spans="1:11" x14ac:dyDescent="0.3">
      <c r="A770" s="80" t="s">
        <v>26</v>
      </c>
      <c r="B770" s="68" t="s">
        <v>27</v>
      </c>
      <c r="C770" s="55">
        <v>3.5</v>
      </c>
      <c r="D770" s="70">
        <v>7.1</v>
      </c>
      <c r="E770" s="51">
        <v>7</v>
      </c>
      <c r="F770" s="4" t="s">
        <v>78</v>
      </c>
      <c r="G770" s="4" t="s">
        <v>106</v>
      </c>
      <c r="H770" s="48">
        <f>IF(G770&gt;0,VLOOKUP(G770,Apoio!$H$2:$I$24,2,0),"")</f>
        <v>7</v>
      </c>
      <c r="I770" s="44">
        <f t="shared" si="54"/>
        <v>24.154929577464792</v>
      </c>
      <c r="J770" s="98"/>
      <c r="K770" s="103"/>
    </row>
    <row r="771" spans="1:11" x14ac:dyDescent="0.3">
      <c r="A771" s="80" t="s">
        <v>26</v>
      </c>
      <c r="B771" s="68" t="s">
        <v>27</v>
      </c>
      <c r="C771" s="55">
        <v>3.5</v>
      </c>
      <c r="D771" s="70">
        <v>7.1</v>
      </c>
      <c r="E771" s="51">
        <v>7</v>
      </c>
      <c r="F771" s="4" t="s">
        <v>78</v>
      </c>
      <c r="G771" s="4" t="s">
        <v>109</v>
      </c>
      <c r="H771" s="48">
        <f>IF(G771&gt;0,VLOOKUP(G771,Apoio!$H$2:$I$24,2,0),"")</f>
        <v>8</v>
      </c>
      <c r="I771" s="44">
        <f t="shared" si="54"/>
        <v>27.605633802816904</v>
      </c>
      <c r="J771" s="98"/>
      <c r="K771" s="103"/>
    </row>
    <row r="772" spans="1:11" x14ac:dyDescent="0.3">
      <c r="A772" s="80" t="s">
        <v>26</v>
      </c>
      <c r="B772" s="68" t="s">
        <v>27</v>
      </c>
      <c r="C772" s="55">
        <v>3.5</v>
      </c>
      <c r="D772" s="70">
        <v>7.1</v>
      </c>
      <c r="E772" s="51">
        <v>7</v>
      </c>
      <c r="F772" s="4" t="s">
        <v>78</v>
      </c>
      <c r="G772" s="4" t="s">
        <v>112</v>
      </c>
      <c r="H772" s="48">
        <f>IF(G772&gt;0,VLOOKUP(G772,Apoio!$H$2:$I$24,2,0),"")</f>
        <v>8</v>
      </c>
      <c r="I772" s="44">
        <f t="shared" si="54"/>
        <v>27.605633802816904</v>
      </c>
      <c r="J772" s="98"/>
      <c r="K772" s="103"/>
    </row>
    <row r="773" spans="1:11" x14ac:dyDescent="0.3">
      <c r="A773" s="80" t="s">
        <v>26</v>
      </c>
      <c r="B773" s="68" t="s">
        <v>27</v>
      </c>
      <c r="C773" s="55">
        <v>3.5</v>
      </c>
      <c r="D773" s="70">
        <v>7.1</v>
      </c>
      <c r="E773" s="51">
        <v>7</v>
      </c>
      <c r="F773" s="4" t="s">
        <v>78</v>
      </c>
      <c r="G773" s="4" t="s">
        <v>115</v>
      </c>
      <c r="H773" s="48">
        <f>IF(G773&gt;0,VLOOKUP(G773,Apoio!$H$2:$I$24,2,0),"")</f>
        <v>7</v>
      </c>
      <c r="I773" s="44">
        <f t="shared" si="54"/>
        <v>24.154929577464792</v>
      </c>
      <c r="J773" s="98"/>
      <c r="K773" s="103"/>
    </row>
    <row r="774" spans="1:11" x14ac:dyDescent="0.3">
      <c r="A774" s="80" t="s">
        <v>26</v>
      </c>
      <c r="B774" s="68" t="s">
        <v>27</v>
      </c>
      <c r="C774" s="55">
        <v>3.5</v>
      </c>
      <c r="D774" s="70">
        <v>7.1</v>
      </c>
      <c r="E774" s="51">
        <v>7</v>
      </c>
      <c r="F774" s="4" t="s">
        <v>78</v>
      </c>
      <c r="G774" s="4" t="s">
        <v>118</v>
      </c>
      <c r="H774" s="48">
        <f>IF(G774&gt;0,VLOOKUP(G774,Apoio!$H$2:$I$24,2,0),"")</f>
        <v>3</v>
      </c>
      <c r="I774" s="44">
        <f t="shared" si="54"/>
        <v>10.352112676056338</v>
      </c>
      <c r="J774" s="98"/>
      <c r="K774" s="103"/>
    </row>
    <row r="775" spans="1:11" x14ac:dyDescent="0.3">
      <c r="A775" s="80" t="s">
        <v>26</v>
      </c>
      <c r="B775" s="68" t="s">
        <v>27</v>
      </c>
      <c r="C775" s="55">
        <v>4</v>
      </c>
      <c r="D775" s="70">
        <v>7.8</v>
      </c>
      <c r="E775" s="51">
        <v>7</v>
      </c>
      <c r="F775" s="4" t="s">
        <v>85</v>
      </c>
      <c r="G775" s="4" t="s">
        <v>121</v>
      </c>
      <c r="H775" s="48">
        <f>IF(G775&gt;0,VLOOKUP(G775,Apoio!$H$2:$I$24,2,0),"")</f>
        <v>7</v>
      </c>
      <c r="I775" s="44">
        <f t="shared" si="54"/>
        <v>25.128205128205128</v>
      </c>
      <c r="J775" s="98">
        <v>1</v>
      </c>
      <c r="K775" s="103"/>
    </row>
    <row r="776" spans="1:11" x14ac:dyDescent="0.3">
      <c r="A776" s="80" t="s">
        <v>26</v>
      </c>
      <c r="B776" s="68" t="s">
        <v>27</v>
      </c>
      <c r="C776" s="55">
        <v>4</v>
      </c>
      <c r="D776" s="70">
        <v>7.8</v>
      </c>
      <c r="E776" s="51">
        <v>7</v>
      </c>
      <c r="F776" s="4" t="s">
        <v>85</v>
      </c>
      <c r="G776" s="4" t="s">
        <v>124</v>
      </c>
      <c r="H776" s="48">
        <f>IF(G776&gt;0,VLOOKUP(G776,Apoio!$H$2:$I$24,2,0),"")</f>
        <v>8</v>
      </c>
      <c r="I776" s="44">
        <f t="shared" si="54"/>
        <v>28.717948717948719</v>
      </c>
      <c r="J776" s="98">
        <v>1</v>
      </c>
      <c r="K776" s="103"/>
    </row>
    <row r="777" spans="1:11" x14ac:dyDescent="0.3">
      <c r="A777" s="80" t="s">
        <v>26</v>
      </c>
      <c r="B777" s="68" t="s">
        <v>27</v>
      </c>
      <c r="C777" s="55">
        <v>4</v>
      </c>
      <c r="D777" s="70">
        <v>7.8</v>
      </c>
      <c r="E777" s="51">
        <v>7</v>
      </c>
      <c r="F777" s="4" t="s">
        <v>85</v>
      </c>
      <c r="G777" s="4" t="s">
        <v>127</v>
      </c>
      <c r="H777" s="48">
        <f>IF(G777&gt;0,VLOOKUP(G777,Apoio!$H$2:$I$24,2,0),"")</f>
        <v>8</v>
      </c>
      <c r="I777" s="44">
        <f t="shared" si="54"/>
        <v>28.717948717948719</v>
      </c>
      <c r="J777" s="98">
        <v>1</v>
      </c>
      <c r="K777" s="103"/>
    </row>
    <row r="778" spans="1:11" x14ac:dyDescent="0.3">
      <c r="A778" s="80" t="s">
        <v>26</v>
      </c>
      <c r="B778" s="68" t="s">
        <v>27</v>
      </c>
      <c r="C778" s="55">
        <v>4</v>
      </c>
      <c r="D778" s="70">
        <v>7.8</v>
      </c>
      <c r="E778" s="51">
        <v>7</v>
      </c>
      <c r="F778" s="4" t="s">
        <v>85</v>
      </c>
      <c r="G778" s="4" t="s">
        <v>130</v>
      </c>
      <c r="H778" s="48">
        <f>IF(G778&gt;0,VLOOKUP(G778,Apoio!$H$2:$I$24,2,0),"")</f>
        <v>13</v>
      </c>
      <c r="I778" s="44">
        <f t="shared" si="54"/>
        <v>46.666666666666664</v>
      </c>
      <c r="J778" s="98"/>
      <c r="K778" s="103"/>
    </row>
    <row r="779" spans="1:11" x14ac:dyDescent="0.3">
      <c r="A779" s="80" t="s">
        <v>26</v>
      </c>
      <c r="B779" s="68" t="s">
        <v>27</v>
      </c>
      <c r="C779" s="55">
        <v>4</v>
      </c>
      <c r="D779" s="70">
        <v>7.8</v>
      </c>
      <c r="E779" s="51">
        <v>7</v>
      </c>
      <c r="F779" s="4" t="s">
        <v>85</v>
      </c>
      <c r="G779" s="4" t="s">
        <v>133</v>
      </c>
      <c r="H779" s="48">
        <f>IF(G779&gt;0,VLOOKUP(G779,Apoio!$H$2:$I$24,2,0),"")</f>
        <v>3</v>
      </c>
      <c r="I779" s="44">
        <f t="shared" si="54"/>
        <v>10.76923076923077</v>
      </c>
      <c r="J779" s="98"/>
      <c r="K779" s="103"/>
    </row>
    <row r="780" spans="1:11" x14ac:dyDescent="0.3">
      <c r="A780" s="80" t="s">
        <v>26</v>
      </c>
      <c r="B780" s="68" t="s">
        <v>27</v>
      </c>
      <c r="C780" s="55">
        <v>4</v>
      </c>
      <c r="D780" s="70">
        <v>7.5</v>
      </c>
      <c r="E780" s="51">
        <v>7</v>
      </c>
      <c r="F780" s="4" t="s">
        <v>92</v>
      </c>
      <c r="G780" s="4" t="s">
        <v>136</v>
      </c>
      <c r="H780" s="48">
        <f>IF(G780&gt;0,VLOOKUP(G780,Apoio!$H$2:$I$24,2,0),"")</f>
        <v>13</v>
      </c>
      <c r="I780" s="44">
        <f t="shared" si="54"/>
        <v>48.533333333333331</v>
      </c>
      <c r="J780" s="98"/>
      <c r="K780" s="103"/>
    </row>
    <row r="781" spans="1:11" x14ac:dyDescent="0.3">
      <c r="A781" s="80" t="s">
        <v>26</v>
      </c>
      <c r="B781" s="68" t="s">
        <v>27</v>
      </c>
      <c r="C781" s="55">
        <v>4</v>
      </c>
      <c r="D781" s="70">
        <v>7.5</v>
      </c>
      <c r="E781" s="51">
        <v>7</v>
      </c>
      <c r="F781" s="4" t="s">
        <v>92</v>
      </c>
      <c r="G781" s="4" t="s">
        <v>139</v>
      </c>
      <c r="H781" s="48">
        <f>IF(G781&gt;0,VLOOKUP(G781,Apoio!$H$2:$I$24,2,0),"")</f>
        <v>8</v>
      </c>
      <c r="I781" s="44">
        <f t="shared" si="54"/>
        <v>29.866666666666667</v>
      </c>
      <c r="J781" s="98"/>
      <c r="K781" s="103"/>
    </row>
    <row r="782" spans="1:11" x14ac:dyDescent="0.3">
      <c r="A782" s="80" t="s">
        <v>26</v>
      </c>
      <c r="B782" s="68" t="s">
        <v>27</v>
      </c>
      <c r="C782" s="55">
        <v>4</v>
      </c>
      <c r="D782" s="70">
        <v>7.5</v>
      </c>
      <c r="E782" s="51">
        <v>7</v>
      </c>
      <c r="F782" s="4" t="s">
        <v>92</v>
      </c>
      <c r="G782" s="4" t="s">
        <v>142</v>
      </c>
      <c r="H782" s="48">
        <f>IF(G782&gt;0,VLOOKUP(G782,Apoio!$H$2:$I$24,2,0),"")</f>
        <v>8</v>
      </c>
      <c r="I782" s="44">
        <f t="shared" si="54"/>
        <v>29.866666666666667</v>
      </c>
      <c r="J782" s="98"/>
      <c r="K782" s="103"/>
    </row>
    <row r="783" spans="1:11" x14ac:dyDescent="0.3">
      <c r="A783" s="80" t="s">
        <v>26</v>
      </c>
      <c r="B783" s="68" t="s">
        <v>27</v>
      </c>
      <c r="C783" s="55">
        <v>3</v>
      </c>
      <c r="D783" s="70">
        <v>7.5</v>
      </c>
      <c r="E783" s="51">
        <v>7</v>
      </c>
      <c r="F783" s="4" t="s">
        <v>92</v>
      </c>
      <c r="G783" s="4" t="s">
        <v>145</v>
      </c>
      <c r="H783" s="48">
        <f>IF(G783&gt;0,VLOOKUP(G783,Apoio!$H$2:$I$24,2,0),"")</f>
        <v>7</v>
      </c>
      <c r="I783" s="44">
        <f t="shared" si="54"/>
        <v>19.600000000000001</v>
      </c>
      <c r="J783" s="98"/>
      <c r="K783" s="103"/>
    </row>
    <row r="784" spans="1:11" x14ac:dyDescent="0.3">
      <c r="A784" s="80" t="s">
        <v>26</v>
      </c>
      <c r="B784" s="68" t="s">
        <v>27</v>
      </c>
      <c r="C784" s="55">
        <v>3.5</v>
      </c>
      <c r="D784" s="70">
        <v>7.5</v>
      </c>
      <c r="E784" s="51">
        <v>7</v>
      </c>
      <c r="F784" s="4" t="s">
        <v>92</v>
      </c>
      <c r="G784" s="4" t="s">
        <v>148</v>
      </c>
      <c r="H784" s="48">
        <f>IF(G784&gt;0,VLOOKUP(G784,Apoio!$H$2:$I$24,2,0),"")</f>
        <v>8</v>
      </c>
      <c r="I784" s="44">
        <f t="shared" si="54"/>
        <v>26.133333333333333</v>
      </c>
      <c r="J784" s="98"/>
      <c r="K784" s="103"/>
    </row>
    <row r="785" spans="1:11" x14ac:dyDescent="0.3">
      <c r="A785" s="80" t="s">
        <v>26</v>
      </c>
      <c r="B785" s="68" t="s">
        <v>28</v>
      </c>
      <c r="C785" s="55">
        <v>4</v>
      </c>
      <c r="D785" s="70">
        <v>7.5</v>
      </c>
      <c r="E785" s="51">
        <v>7</v>
      </c>
      <c r="F785" s="4" t="s">
        <v>92</v>
      </c>
      <c r="G785" s="4" t="s">
        <v>151</v>
      </c>
      <c r="H785" s="48">
        <f>IF(G785&gt;0,VLOOKUP(G785,Apoio!$H$2:$I$24,2,0),"")</f>
        <v>8</v>
      </c>
      <c r="I785" s="44">
        <f t="shared" si="54"/>
        <v>29.866666666666667</v>
      </c>
      <c r="J785" s="98"/>
      <c r="K785" s="103"/>
    </row>
    <row r="786" spans="1:11" x14ac:dyDescent="0.3">
      <c r="A786" s="67" t="s">
        <v>26</v>
      </c>
      <c r="B786" s="68" t="s">
        <v>30</v>
      </c>
      <c r="C786" s="68">
        <v>2.5</v>
      </c>
      <c r="D786" s="68">
        <v>7</v>
      </c>
      <c r="E786" s="51">
        <v>7</v>
      </c>
      <c r="F786" s="4" t="s">
        <v>92</v>
      </c>
      <c r="G786" s="4" t="s">
        <v>136</v>
      </c>
      <c r="H786" s="48">
        <v>13</v>
      </c>
      <c r="I786" s="44">
        <f>IF(D786&gt;0,(((H786*E786)*C786)/D786),"")</f>
        <v>32.5</v>
      </c>
      <c r="J786" s="98"/>
      <c r="K786" s="103"/>
    </row>
    <row r="787" spans="1:11" x14ac:dyDescent="0.3">
      <c r="A787" s="67" t="s">
        <v>26</v>
      </c>
      <c r="B787" s="68" t="s">
        <v>30</v>
      </c>
      <c r="C787" s="68">
        <v>2.5</v>
      </c>
      <c r="D787" s="68">
        <v>7</v>
      </c>
      <c r="E787" s="51">
        <v>7</v>
      </c>
      <c r="F787" s="4" t="s">
        <v>92</v>
      </c>
      <c r="G787" s="4" t="s">
        <v>139</v>
      </c>
      <c r="H787" s="48">
        <v>8</v>
      </c>
      <c r="I787" s="44">
        <f t="shared" ref="I787:I791" si="55">IF(D787&gt;0,(((H787*E787)*C787)/D787),"")</f>
        <v>20</v>
      </c>
      <c r="J787" s="98"/>
      <c r="K787" s="103"/>
    </row>
    <row r="788" spans="1:11" x14ac:dyDescent="0.3">
      <c r="A788" s="67" t="s">
        <v>26</v>
      </c>
      <c r="B788" s="68" t="s">
        <v>30</v>
      </c>
      <c r="C788" s="68">
        <v>2.5</v>
      </c>
      <c r="D788" s="68">
        <v>7</v>
      </c>
      <c r="E788" s="51">
        <v>7</v>
      </c>
      <c r="F788" s="4" t="s">
        <v>92</v>
      </c>
      <c r="G788" s="4" t="s">
        <v>142</v>
      </c>
      <c r="H788" s="48">
        <v>8</v>
      </c>
      <c r="I788" s="44">
        <f t="shared" si="55"/>
        <v>20</v>
      </c>
      <c r="J788" s="98"/>
      <c r="K788" s="103"/>
    </row>
    <row r="789" spans="1:11" x14ac:dyDescent="0.3">
      <c r="A789" s="67" t="s">
        <v>26</v>
      </c>
      <c r="B789" s="68" t="s">
        <v>30</v>
      </c>
      <c r="C789" s="68">
        <v>2.5</v>
      </c>
      <c r="D789" s="68">
        <v>7</v>
      </c>
      <c r="E789" s="51">
        <v>7</v>
      </c>
      <c r="F789" s="4" t="s">
        <v>92</v>
      </c>
      <c r="G789" s="4" t="s">
        <v>145</v>
      </c>
      <c r="H789" s="48">
        <v>7</v>
      </c>
      <c r="I789" s="44">
        <f t="shared" si="55"/>
        <v>17.5</v>
      </c>
      <c r="J789" s="98"/>
      <c r="K789" s="103"/>
    </row>
    <row r="790" spans="1:11" x14ac:dyDescent="0.3">
      <c r="A790" s="67" t="s">
        <v>26</v>
      </c>
      <c r="B790" s="68" t="s">
        <v>30</v>
      </c>
      <c r="C790" s="68">
        <v>2.5</v>
      </c>
      <c r="D790" s="68">
        <v>7</v>
      </c>
      <c r="E790" s="51">
        <v>7</v>
      </c>
      <c r="F790" s="4" t="s">
        <v>92</v>
      </c>
      <c r="G790" s="4" t="s">
        <v>148</v>
      </c>
      <c r="H790" s="48">
        <v>8</v>
      </c>
      <c r="I790" s="44">
        <f t="shared" si="55"/>
        <v>20</v>
      </c>
      <c r="J790" s="98"/>
      <c r="K790" s="103"/>
    </row>
    <row r="791" spans="1:11" x14ac:dyDescent="0.3">
      <c r="A791" s="67" t="s">
        <v>26</v>
      </c>
      <c r="B791" s="68" t="s">
        <v>30</v>
      </c>
      <c r="C791" s="68">
        <v>2.5</v>
      </c>
      <c r="D791" s="68">
        <v>7</v>
      </c>
      <c r="E791" s="51">
        <v>7</v>
      </c>
      <c r="F791" s="4" t="s">
        <v>92</v>
      </c>
      <c r="G791" s="4" t="s">
        <v>151</v>
      </c>
      <c r="H791" s="48">
        <v>8</v>
      </c>
      <c r="I791" s="44">
        <f t="shared" si="55"/>
        <v>20</v>
      </c>
      <c r="J791" s="98"/>
      <c r="K791" s="103"/>
    </row>
    <row r="792" spans="1:11" x14ac:dyDescent="0.3">
      <c r="A792" s="67" t="s">
        <v>39</v>
      </c>
      <c r="B792" s="68" t="s">
        <v>40</v>
      </c>
      <c r="C792" s="58">
        <v>5.4</v>
      </c>
      <c r="D792" s="107">
        <v>6.9</v>
      </c>
      <c r="E792" s="51">
        <v>7</v>
      </c>
      <c r="F792" s="4" t="s">
        <v>71</v>
      </c>
      <c r="G792" s="4" t="s">
        <v>70</v>
      </c>
      <c r="H792" s="48">
        <v>8</v>
      </c>
      <c r="I792" s="44">
        <f>IF(D792&gt;0,(((H792*E792)*C792)/D792),"")</f>
        <v>43.826086956521742</v>
      </c>
      <c r="J792" s="98">
        <f t="shared" ref="J792:J797" si="56">I792*0.2</f>
        <v>8.7652173913043487</v>
      </c>
      <c r="K792" s="103" t="s">
        <v>226</v>
      </c>
    </row>
    <row r="793" spans="1:11" x14ac:dyDescent="0.3">
      <c r="A793" s="67" t="s">
        <v>39</v>
      </c>
      <c r="B793" s="68" t="s">
        <v>40</v>
      </c>
      <c r="C793" s="58">
        <v>5.9</v>
      </c>
      <c r="D793" s="107">
        <v>6.9</v>
      </c>
      <c r="E793" s="51">
        <v>7</v>
      </c>
      <c r="F793" s="4" t="s">
        <v>71</v>
      </c>
      <c r="G793" s="4" t="s">
        <v>77</v>
      </c>
      <c r="H793" s="48">
        <f>IF(G793&gt;0,VLOOKUP(G793,Apoio!$H$2:$I$24,2,0),"")</f>
        <v>8</v>
      </c>
      <c r="I793" s="44">
        <f t="shared" si="54"/>
        <v>47.884057971014492</v>
      </c>
      <c r="J793" s="98">
        <f t="shared" si="56"/>
        <v>9.5768115942028995</v>
      </c>
      <c r="K793" s="103" t="s">
        <v>226</v>
      </c>
    </row>
    <row r="794" spans="1:11" x14ac:dyDescent="0.3">
      <c r="A794" s="67" t="s">
        <v>39</v>
      </c>
      <c r="B794" s="68" t="s">
        <v>40</v>
      </c>
      <c r="C794" s="58">
        <v>4.5</v>
      </c>
      <c r="D794" s="107">
        <v>6.9</v>
      </c>
      <c r="E794" s="51">
        <v>7</v>
      </c>
      <c r="F794" s="4" t="s">
        <v>71</v>
      </c>
      <c r="G794" s="4" t="s">
        <v>84</v>
      </c>
      <c r="H794" s="48">
        <f>IF(G794&gt;0,VLOOKUP(G794,Apoio!$H$2:$I$24,2,0),"")</f>
        <v>8</v>
      </c>
      <c r="I794" s="44">
        <f t="shared" si="54"/>
        <v>36.521739130434781</v>
      </c>
      <c r="J794" s="98">
        <f t="shared" si="56"/>
        <v>7.304347826086957</v>
      </c>
      <c r="K794" s="103" t="s">
        <v>226</v>
      </c>
    </row>
    <row r="795" spans="1:11" x14ac:dyDescent="0.3">
      <c r="A795" s="67" t="s">
        <v>39</v>
      </c>
      <c r="B795" s="68" t="s">
        <v>40</v>
      </c>
      <c r="C795" s="58">
        <v>6</v>
      </c>
      <c r="D795" s="107">
        <v>6.9</v>
      </c>
      <c r="E795" s="51">
        <v>7</v>
      </c>
      <c r="F795" s="4" t="s">
        <v>71</v>
      </c>
      <c r="G795" s="4" t="s">
        <v>91</v>
      </c>
      <c r="H795" s="48">
        <f>IF(G795&gt;0,VLOOKUP(G795,Apoio!$H$2:$I$24,2,0),"")</f>
        <v>6</v>
      </c>
      <c r="I795" s="44">
        <f t="shared" si="54"/>
        <v>36.521739130434781</v>
      </c>
      <c r="J795" s="98">
        <f t="shared" si="56"/>
        <v>7.304347826086957</v>
      </c>
      <c r="K795" s="103" t="s">
        <v>226</v>
      </c>
    </row>
    <row r="796" spans="1:11" x14ac:dyDescent="0.3">
      <c r="A796" s="67" t="s">
        <v>39</v>
      </c>
      <c r="B796" s="68" t="s">
        <v>40</v>
      </c>
      <c r="C796" s="58">
        <v>6</v>
      </c>
      <c r="D796" s="107">
        <v>6.9</v>
      </c>
      <c r="E796" s="51">
        <v>7</v>
      </c>
      <c r="F796" s="4" t="s">
        <v>71</v>
      </c>
      <c r="G796" s="4" t="s">
        <v>97</v>
      </c>
      <c r="H796" s="48">
        <f>IF(G796&gt;0,VLOOKUP(G796,Apoio!$H$2:$I$24,2,0),"")</f>
        <v>8</v>
      </c>
      <c r="I796" s="44">
        <f t="shared" si="54"/>
        <v>48.695652173913039</v>
      </c>
      <c r="J796" s="98">
        <f t="shared" si="56"/>
        <v>9.7391304347826093</v>
      </c>
      <c r="K796" s="103" t="s">
        <v>226</v>
      </c>
    </row>
    <row r="797" spans="1:11" x14ac:dyDescent="0.3">
      <c r="A797" s="67" t="s">
        <v>39</v>
      </c>
      <c r="B797" s="68" t="s">
        <v>40</v>
      </c>
      <c r="C797" s="58">
        <v>6</v>
      </c>
      <c r="D797" s="107">
        <v>6.9</v>
      </c>
      <c r="E797" s="51">
        <v>7</v>
      </c>
      <c r="F797" s="4" t="s">
        <v>71</v>
      </c>
      <c r="G797" s="4" t="s">
        <v>100</v>
      </c>
      <c r="H797" s="48">
        <f>IF(G797&gt;0,VLOOKUP(G797,Apoio!$H$2:$I$24,2,0),"")</f>
        <v>3</v>
      </c>
      <c r="I797" s="44">
        <f t="shared" si="54"/>
        <v>18.260869565217391</v>
      </c>
      <c r="J797" s="98">
        <f t="shared" si="56"/>
        <v>3.6521739130434785</v>
      </c>
      <c r="K797" s="103" t="s">
        <v>226</v>
      </c>
    </row>
    <row r="798" spans="1:11" x14ac:dyDescent="0.3">
      <c r="A798" s="67" t="s">
        <v>39</v>
      </c>
      <c r="B798" s="68" t="s">
        <v>40</v>
      </c>
      <c r="C798" s="58">
        <v>4</v>
      </c>
      <c r="D798" s="58">
        <v>5.3</v>
      </c>
      <c r="E798" s="51">
        <v>7</v>
      </c>
      <c r="F798" s="4" t="s">
        <v>78</v>
      </c>
      <c r="G798" s="4" t="s">
        <v>103</v>
      </c>
      <c r="H798" s="48">
        <f>IF(G798&gt;0,VLOOKUP(G798,Apoio!$H$2:$I$24,2,0),"")</f>
        <v>6</v>
      </c>
      <c r="I798" s="44">
        <f t="shared" si="54"/>
        <v>31.69811320754717</v>
      </c>
      <c r="J798" s="98">
        <f t="shared" ref="J798:J803" si="57">I798*0.2</f>
        <v>6.3396226415094343</v>
      </c>
      <c r="K798" s="103" t="s">
        <v>226</v>
      </c>
    </row>
    <row r="799" spans="1:11" x14ac:dyDescent="0.3">
      <c r="A799" s="4" t="s">
        <v>39</v>
      </c>
      <c r="B799" s="68" t="s">
        <v>40</v>
      </c>
      <c r="C799" s="58">
        <v>5</v>
      </c>
      <c r="D799" s="58">
        <v>5.3</v>
      </c>
      <c r="E799" s="51">
        <v>7</v>
      </c>
      <c r="F799" s="4" t="s">
        <v>78</v>
      </c>
      <c r="G799" s="4" t="s">
        <v>106</v>
      </c>
      <c r="H799" s="48">
        <f>IF(G799&gt;0,VLOOKUP(G799,Apoio!$H$2:$I$24,2,0),"")</f>
        <v>7</v>
      </c>
      <c r="I799" s="44">
        <f t="shared" si="54"/>
        <v>46.226415094339622</v>
      </c>
      <c r="J799" s="98">
        <f t="shared" si="57"/>
        <v>9.2452830188679247</v>
      </c>
      <c r="K799" s="103" t="s">
        <v>226</v>
      </c>
    </row>
    <row r="800" spans="1:11" x14ac:dyDescent="0.3">
      <c r="A800" s="4" t="s">
        <v>39</v>
      </c>
      <c r="B800" s="68" t="s">
        <v>40</v>
      </c>
      <c r="C800" s="58">
        <v>6</v>
      </c>
      <c r="D800" s="58">
        <v>5.3</v>
      </c>
      <c r="E800" s="51">
        <v>7</v>
      </c>
      <c r="F800" s="4" t="s">
        <v>78</v>
      </c>
      <c r="G800" s="4" t="s">
        <v>109</v>
      </c>
      <c r="H800" s="48">
        <f>IF(G800&gt;0,VLOOKUP(G800,Apoio!$H$2:$I$24,2,0),"")</f>
        <v>8</v>
      </c>
      <c r="I800" s="44">
        <f t="shared" si="54"/>
        <v>63.39622641509434</v>
      </c>
      <c r="J800" s="98">
        <f t="shared" si="57"/>
        <v>12.679245283018869</v>
      </c>
      <c r="K800" s="103" t="s">
        <v>226</v>
      </c>
    </row>
    <row r="801" spans="1:11" x14ac:dyDescent="0.3">
      <c r="A801" s="4" t="s">
        <v>39</v>
      </c>
      <c r="B801" s="68" t="s">
        <v>40</v>
      </c>
      <c r="C801" s="58">
        <v>6</v>
      </c>
      <c r="D801" s="58">
        <v>5.3</v>
      </c>
      <c r="E801" s="51">
        <v>7</v>
      </c>
      <c r="F801" s="4" t="s">
        <v>78</v>
      </c>
      <c r="G801" s="4" t="s">
        <v>112</v>
      </c>
      <c r="H801" s="48">
        <f>IF(G801&gt;0,VLOOKUP(G801,Apoio!$H$2:$I$24,2,0),"")</f>
        <v>8</v>
      </c>
      <c r="I801" s="44">
        <f t="shared" si="54"/>
        <v>63.39622641509434</v>
      </c>
      <c r="J801" s="98">
        <f>I801*0.2</f>
        <v>12.679245283018869</v>
      </c>
      <c r="K801" s="103" t="s">
        <v>226</v>
      </c>
    </row>
    <row r="802" spans="1:11" x14ac:dyDescent="0.3">
      <c r="A802" s="4" t="s">
        <v>39</v>
      </c>
      <c r="B802" s="68" t="s">
        <v>40</v>
      </c>
      <c r="C802" s="58">
        <v>6</v>
      </c>
      <c r="D802" s="58">
        <v>5.3</v>
      </c>
      <c r="E802" s="51">
        <v>7</v>
      </c>
      <c r="F802" s="4" t="s">
        <v>78</v>
      </c>
      <c r="G802" s="4" t="s">
        <v>115</v>
      </c>
      <c r="H802" s="48">
        <f>IF(G802&gt;0,VLOOKUP(G802,Apoio!$H$2:$I$24,2,0),"")</f>
        <v>7</v>
      </c>
      <c r="I802" s="44">
        <f t="shared" si="54"/>
        <v>55.471698113207552</v>
      </c>
      <c r="J802" s="98">
        <f t="shared" si="57"/>
        <v>11.094339622641511</v>
      </c>
      <c r="K802" s="103" t="s">
        <v>226</v>
      </c>
    </row>
    <row r="803" spans="1:11" x14ac:dyDescent="0.3">
      <c r="A803" s="4" t="s">
        <v>39</v>
      </c>
      <c r="B803" s="68" t="s">
        <v>40</v>
      </c>
      <c r="C803" s="58">
        <v>6</v>
      </c>
      <c r="D803" s="58">
        <v>5.7</v>
      </c>
      <c r="E803" s="51">
        <v>7</v>
      </c>
      <c r="F803" s="4" t="s">
        <v>78</v>
      </c>
      <c r="G803" s="4" t="s">
        <v>118</v>
      </c>
      <c r="H803" s="48">
        <f>IF(G803&gt;0,VLOOKUP(G803,Apoio!$H$2:$I$24,2,0),"")</f>
        <v>3</v>
      </c>
      <c r="I803" s="44">
        <f t="shared" si="54"/>
        <v>22.105263157894736</v>
      </c>
      <c r="J803" s="98">
        <f t="shared" si="57"/>
        <v>4.4210526315789478</v>
      </c>
      <c r="K803" s="103" t="s">
        <v>226</v>
      </c>
    </row>
    <row r="804" spans="1:11" x14ac:dyDescent="0.3">
      <c r="A804" s="4" t="s">
        <v>39</v>
      </c>
      <c r="B804" s="68" t="s">
        <v>40</v>
      </c>
      <c r="C804" s="58">
        <v>6</v>
      </c>
      <c r="D804" s="58">
        <v>5.6</v>
      </c>
      <c r="E804" s="51">
        <v>7</v>
      </c>
      <c r="F804" s="4" t="s">
        <v>85</v>
      </c>
      <c r="G804" s="4" t="s">
        <v>121</v>
      </c>
      <c r="H804" s="48">
        <f>IF(G804&gt;0,VLOOKUP(G804,Apoio!$H$2:$I$24,2,0),"")</f>
        <v>7</v>
      </c>
      <c r="I804" s="44">
        <f t="shared" si="54"/>
        <v>52.5</v>
      </c>
      <c r="J804" s="98">
        <f>I804*20%</f>
        <v>10.5</v>
      </c>
      <c r="K804" s="103" t="s">
        <v>226</v>
      </c>
    </row>
    <row r="805" spans="1:11" x14ac:dyDescent="0.3">
      <c r="A805" s="4" t="s">
        <v>39</v>
      </c>
      <c r="B805" s="68" t="s">
        <v>40</v>
      </c>
      <c r="C805" s="58">
        <v>7</v>
      </c>
      <c r="D805" s="58">
        <v>5.6</v>
      </c>
      <c r="E805" s="51">
        <v>7</v>
      </c>
      <c r="F805" s="4" t="s">
        <v>85</v>
      </c>
      <c r="G805" s="4" t="s">
        <v>124</v>
      </c>
      <c r="H805" s="48">
        <f>IF(G805&gt;0,VLOOKUP(G805,Apoio!$H$2:$I$24,2,0),"")</f>
        <v>8</v>
      </c>
      <c r="I805" s="44">
        <f t="shared" si="54"/>
        <v>70</v>
      </c>
      <c r="J805" s="98">
        <f>I805*25%</f>
        <v>17.5</v>
      </c>
      <c r="K805" s="103" t="s">
        <v>226</v>
      </c>
    </row>
    <row r="806" spans="1:11" x14ac:dyDescent="0.3">
      <c r="A806" s="4" t="s">
        <v>39</v>
      </c>
      <c r="B806" s="68" t="s">
        <v>40</v>
      </c>
      <c r="C806" s="58">
        <v>7</v>
      </c>
      <c r="D806" s="58">
        <v>5.6</v>
      </c>
      <c r="E806" s="51">
        <v>7</v>
      </c>
      <c r="F806" s="4" t="s">
        <v>85</v>
      </c>
      <c r="G806" s="4" t="s">
        <v>127</v>
      </c>
      <c r="H806" s="48">
        <f>IF(G806&gt;0,VLOOKUP(G806,Apoio!$H$2:$I$24,2,0),"")</f>
        <v>8</v>
      </c>
      <c r="I806" s="44">
        <f t="shared" si="54"/>
        <v>70</v>
      </c>
      <c r="J806" s="98">
        <f>I806*30%</f>
        <v>21</v>
      </c>
      <c r="K806" s="103" t="s">
        <v>226</v>
      </c>
    </row>
    <row r="807" spans="1:11" x14ac:dyDescent="0.3">
      <c r="A807" s="4" t="s">
        <v>39</v>
      </c>
      <c r="B807" s="68" t="s">
        <v>40</v>
      </c>
      <c r="C807" s="58">
        <v>7</v>
      </c>
      <c r="D807" s="58">
        <v>5.6</v>
      </c>
      <c r="E807" s="51">
        <v>7</v>
      </c>
      <c r="F807" s="4" t="s">
        <v>85</v>
      </c>
      <c r="G807" s="4" t="s">
        <v>130</v>
      </c>
      <c r="H807" s="48">
        <f>IF(G807&gt;0,VLOOKUP(G807,Apoio!$H$2:$I$24,2,0),"")</f>
        <v>13</v>
      </c>
      <c r="I807" s="44">
        <f t="shared" si="54"/>
        <v>113.75000000000001</v>
      </c>
      <c r="J807" s="98">
        <f>I807*25.5%</f>
        <v>29.006250000000005</v>
      </c>
      <c r="K807" s="103" t="s">
        <v>226</v>
      </c>
    </row>
    <row r="808" spans="1:11" x14ac:dyDescent="0.3">
      <c r="A808" s="4" t="s">
        <v>39</v>
      </c>
      <c r="B808" s="68" t="s">
        <v>40</v>
      </c>
      <c r="C808" s="58">
        <v>7</v>
      </c>
      <c r="D808" s="58">
        <v>5.6</v>
      </c>
      <c r="E808" s="51">
        <v>7</v>
      </c>
      <c r="F808" s="4" t="s">
        <v>85</v>
      </c>
      <c r="G808" s="4" t="s">
        <v>133</v>
      </c>
      <c r="H808" s="48">
        <f>IF(G808&gt;0,VLOOKUP(G808,Apoio!$H$2:$I$24,2,0),"")</f>
        <v>3</v>
      </c>
      <c r="I808" s="44">
        <f t="shared" si="54"/>
        <v>26.25</v>
      </c>
      <c r="J808" s="98">
        <f>I808*48%</f>
        <v>12.6</v>
      </c>
      <c r="K808" s="103" t="s">
        <v>226</v>
      </c>
    </row>
    <row r="809" spans="1:11" x14ac:dyDescent="0.3">
      <c r="A809" s="4" t="s">
        <v>39</v>
      </c>
      <c r="B809" s="68" t="s">
        <v>40</v>
      </c>
      <c r="C809" s="58">
        <v>6</v>
      </c>
      <c r="D809" s="58">
        <v>5.6</v>
      </c>
      <c r="E809" s="51">
        <v>7</v>
      </c>
      <c r="F809" s="4" t="s">
        <v>92</v>
      </c>
      <c r="G809" s="4" t="s">
        <v>136</v>
      </c>
      <c r="H809" s="48">
        <f>IF(G809&gt;0,VLOOKUP(G809,Apoio!$H$2:$I$24,2,0),"")</f>
        <v>13</v>
      </c>
      <c r="I809" s="44">
        <f t="shared" si="54"/>
        <v>97.5</v>
      </c>
      <c r="J809" s="98">
        <f>I809*0.15</f>
        <v>14.625</v>
      </c>
      <c r="K809" s="103" t="s">
        <v>226</v>
      </c>
    </row>
    <row r="810" spans="1:11" x14ac:dyDescent="0.3">
      <c r="A810" s="4" t="s">
        <v>39</v>
      </c>
      <c r="B810" s="68" t="s">
        <v>40</v>
      </c>
      <c r="C810" s="58">
        <v>6</v>
      </c>
      <c r="D810" s="58">
        <v>5.6</v>
      </c>
      <c r="E810" s="51">
        <v>7</v>
      </c>
      <c r="F810" s="4" t="s">
        <v>92</v>
      </c>
      <c r="G810" s="4" t="s">
        <v>139</v>
      </c>
      <c r="H810" s="48">
        <f>IF(G810&gt;0,VLOOKUP(G810,Apoio!$H$2:$I$24,2,0),"")</f>
        <v>8</v>
      </c>
      <c r="I810" s="44">
        <f t="shared" si="54"/>
        <v>60.000000000000007</v>
      </c>
      <c r="J810" s="98">
        <f t="shared" ref="J810:J814" si="58">I810*0.15</f>
        <v>9</v>
      </c>
      <c r="K810" s="103" t="s">
        <v>226</v>
      </c>
    </row>
    <row r="811" spans="1:11" x14ac:dyDescent="0.3">
      <c r="A811" s="4" t="s">
        <v>39</v>
      </c>
      <c r="B811" s="68" t="s">
        <v>40</v>
      </c>
      <c r="C811" s="58">
        <v>7</v>
      </c>
      <c r="D811" s="58">
        <v>5.6</v>
      </c>
      <c r="E811" s="51">
        <v>7</v>
      </c>
      <c r="F811" s="4" t="s">
        <v>92</v>
      </c>
      <c r="G811" s="4" t="s">
        <v>142</v>
      </c>
      <c r="H811" s="48">
        <f>IF(G811&gt;0,VLOOKUP(G811,Apoio!$H$2:$I$24,2,0),"")</f>
        <v>8</v>
      </c>
      <c r="I811" s="44">
        <f t="shared" si="54"/>
        <v>70</v>
      </c>
      <c r="J811" s="98">
        <f t="shared" si="58"/>
        <v>10.5</v>
      </c>
      <c r="K811" s="103" t="s">
        <v>226</v>
      </c>
    </row>
    <row r="812" spans="1:11" x14ac:dyDescent="0.3">
      <c r="A812" s="4" t="s">
        <v>39</v>
      </c>
      <c r="B812" s="68" t="s">
        <v>40</v>
      </c>
      <c r="C812" s="58">
        <v>7</v>
      </c>
      <c r="D812" s="58">
        <v>5.6</v>
      </c>
      <c r="E812" s="51">
        <v>7</v>
      </c>
      <c r="F812" s="4" t="s">
        <v>92</v>
      </c>
      <c r="G812" s="4" t="s">
        <v>145</v>
      </c>
      <c r="H812" s="48">
        <f>IF(G812&gt;0,VLOOKUP(G812,Apoio!$H$2:$I$24,2,0),"")</f>
        <v>7</v>
      </c>
      <c r="I812" s="44">
        <f t="shared" si="54"/>
        <v>61.250000000000007</v>
      </c>
      <c r="J812" s="98">
        <f t="shared" si="58"/>
        <v>9.1875</v>
      </c>
      <c r="K812" s="103" t="s">
        <v>226</v>
      </c>
    </row>
    <row r="813" spans="1:11" x14ac:dyDescent="0.3">
      <c r="A813" s="4" t="s">
        <v>39</v>
      </c>
      <c r="B813" s="68" t="s">
        <v>40</v>
      </c>
      <c r="C813" s="58">
        <v>7</v>
      </c>
      <c r="D813" s="58">
        <v>5.6</v>
      </c>
      <c r="E813" s="51">
        <v>7</v>
      </c>
      <c r="F813" s="4" t="s">
        <v>92</v>
      </c>
      <c r="G813" s="4" t="s">
        <v>148</v>
      </c>
      <c r="H813" s="48">
        <f>IF(G813&gt;0,VLOOKUP(G813,Apoio!$H$2:$I$24,2,0),"")</f>
        <v>8</v>
      </c>
      <c r="I813" s="44">
        <f t="shared" si="54"/>
        <v>70</v>
      </c>
      <c r="J813" s="98">
        <f t="shared" si="58"/>
        <v>10.5</v>
      </c>
      <c r="K813" s="103" t="s">
        <v>226</v>
      </c>
    </row>
    <row r="814" spans="1:11" x14ac:dyDescent="0.3">
      <c r="A814" s="4" t="s">
        <v>39</v>
      </c>
      <c r="B814" s="68" t="s">
        <v>40</v>
      </c>
      <c r="C814" s="58">
        <v>7</v>
      </c>
      <c r="D814" s="58">
        <v>5.6</v>
      </c>
      <c r="E814" s="51">
        <v>7</v>
      </c>
      <c r="F814" s="4" t="s">
        <v>92</v>
      </c>
      <c r="G814" s="4" t="s">
        <v>151</v>
      </c>
      <c r="H814" s="48">
        <f>IF(G814&gt;0,VLOOKUP(G814,Apoio!$H$2:$I$24,2,0),"")</f>
        <v>8</v>
      </c>
      <c r="I814" s="44">
        <f t="shared" si="54"/>
        <v>70</v>
      </c>
      <c r="J814" s="98">
        <f t="shared" si="58"/>
        <v>10.5</v>
      </c>
      <c r="K814" s="103" t="s">
        <v>226</v>
      </c>
    </row>
    <row r="815" spans="1:11" x14ac:dyDescent="0.3">
      <c r="A815" s="4" t="s">
        <v>39</v>
      </c>
      <c r="B815" s="68" t="s">
        <v>41</v>
      </c>
      <c r="C815" s="58">
        <v>5</v>
      </c>
      <c r="D815" s="58">
        <v>5.9</v>
      </c>
      <c r="E815" s="51">
        <v>7</v>
      </c>
      <c r="F815" s="4" t="s">
        <v>71</v>
      </c>
      <c r="G815" s="4" t="s">
        <v>70</v>
      </c>
      <c r="H815" s="48">
        <f>IF(G815&gt;0,VLOOKUP(G815,Apoio!$H$2:$I$24,2,0),"")</f>
        <v>7</v>
      </c>
      <c r="I815" s="44">
        <f t="shared" si="54"/>
        <v>41.525423728813557</v>
      </c>
      <c r="J815" s="106">
        <f>I815*0.1</f>
        <v>4.1525423728813555</v>
      </c>
      <c r="K815" s="103" t="s">
        <v>226</v>
      </c>
    </row>
    <row r="816" spans="1:11" x14ac:dyDescent="0.3">
      <c r="A816" s="4" t="s">
        <v>39</v>
      </c>
      <c r="B816" s="68" t="s">
        <v>41</v>
      </c>
      <c r="C816" s="58">
        <v>5</v>
      </c>
      <c r="D816" s="58">
        <v>5.9</v>
      </c>
      <c r="E816" s="51">
        <v>7</v>
      </c>
      <c r="F816" s="4" t="s">
        <v>71</v>
      </c>
      <c r="G816" s="4" t="s">
        <v>77</v>
      </c>
      <c r="H816" s="48">
        <f>IF(G816&gt;0,VLOOKUP(G816,Apoio!$H$2:$I$24,2,0),"")</f>
        <v>8</v>
      </c>
      <c r="I816" s="44">
        <f t="shared" si="54"/>
        <v>47.457627118644062</v>
      </c>
      <c r="J816" s="106">
        <f>I816*0.2</f>
        <v>9.4915254237288131</v>
      </c>
      <c r="K816" s="103" t="s">
        <v>226</v>
      </c>
    </row>
    <row r="817" spans="1:11" x14ac:dyDescent="0.3">
      <c r="A817" s="4" t="s">
        <v>39</v>
      </c>
      <c r="B817" s="68" t="s">
        <v>41</v>
      </c>
      <c r="C817" s="58">
        <v>5</v>
      </c>
      <c r="D817" s="58">
        <v>5.9</v>
      </c>
      <c r="E817" s="51">
        <v>7</v>
      </c>
      <c r="F817" s="4" t="s">
        <v>71</v>
      </c>
      <c r="G817" s="4" t="s">
        <v>84</v>
      </c>
      <c r="H817" s="48">
        <f>IF(G817&gt;0,VLOOKUP(G817,Apoio!$H$2:$I$24,2,0),"")</f>
        <v>8</v>
      </c>
      <c r="I817" s="44">
        <f t="shared" si="54"/>
        <v>47.457627118644062</v>
      </c>
      <c r="J817" s="106">
        <v>7</v>
      </c>
      <c r="K817" s="103" t="s">
        <v>226</v>
      </c>
    </row>
    <row r="818" spans="1:11" x14ac:dyDescent="0.3">
      <c r="A818" s="4" t="s">
        <v>39</v>
      </c>
      <c r="B818" s="68" t="s">
        <v>41</v>
      </c>
      <c r="C818" s="58">
        <v>5</v>
      </c>
      <c r="D818" s="58">
        <v>5.9</v>
      </c>
      <c r="E818" s="51">
        <v>7</v>
      </c>
      <c r="F818" s="4" t="s">
        <v>71</v>
      </c>
      <c r="G818" s="4" t="s">
        <v>91</v>
      </c>
      <c r="H818" s="48">
        <f>IF(G818&gt;0,VLOOKUP(G818,Apoio!$H$2:$I$24,2,0),"")</f>
        <v>6</v>
      </c>
      <c r="I818" s="44">
        <f t="shared" si="54"/>
        <v>35.593220338983052</v>
      </c>
      <c r="J818" s="106">
        <v>5.25</v>
      </c>
      <c r="K818" s="103" t="s">
        <v>226</v>
      </c>
    </row>
    <row r="819" spans="1:11" x14ac:dyDescent="0.3">
      <c r="A819" s="4" t="s">
        <v>39</v>
      </c>
      <c r="B819" s="68" t="s">
        <v>41</v>
      </c>
      <c r="C819" s="58">
        <v>5</v>
      </c>
      <c r="D819" s="58">
        <v>5.9</v>
      </c>
      <c r="E819" s="51">
        <v>7</v>
      </c>
      <c r="F819" s="4" t="s">
        <v>71</v>
      </c>
      <c r="G819" s="4" t="s">
        <v>97</v>
      </c>
      <c r="H819" s="48">
        <f>IF(G819&gt;0,VLOOKUP(G819,Apoio!$H$2:$I$24,2,0),"")</f>
        <v>8</v>
      </c>
      <c r="I819" s="44">
        <f t="shared" ref="I819:I850" si="59">IF(D819&gt;0,(((H819*E819)*C819)/D819),"")</f>
        <v>47.457627118644062</v>
      </c>
      <c r="J819" s="106">
        <v>6.9999999999999991</v>
      </c>
      <c r="K819" s="103" t="s">
        <v>226</v>
      </c>
    </row>
    <row r="820" spans="1:11" x14ac:dyDescent="0.3">
      <c r="A820" s="4" t="s">
        <v>39</v>
      </c>
      <c r="B820" s="68" t="s">
        <v>41</v>
      </c>
      <c r="C820" s="58">
        <v>5</v>
      </c>
      <c r="D820" s="58">
        <v>5.9</v>
      </c>
      <c r="E820" s="51">
        <v>7</v>
      </c>
      <c r="F820" s="4" t="s">
        <v>71</v>
      </c>
      <c r="G820" s="4" t="s">
        <v>100</v>
      </c>
      <c r="H820" s="48">
        <f>IF(G820&gt;0,VLOOKUP(G820,Apoio!$H$2:$I$24,2,0),"")</f>
        <v>3</v>
      </c>
      <c r="I820" s="44">
        <f t="shared" si="59"/>
        <v>17.796610169491526</v>
      </c>
      <c r="J820" s="106">
        <v>2.625</v>
      </c>
      <c r="K820" s="103" t="s">
        <v>226</v>
      </c>
    </row>
    <row r="821" spans="1:11" x14ac:dyDescent="0.3">
      <c r="A821" s="4" t="s">
        <v>39</v>
      </c>
      <c r="B821" s="68" t="s">
        <v>41</v>
      </c>
      <c r="C821" s="58">
        <v>5</v>
      </c>
      <c r="D821" s="58">
        <v>5.8</v>
      </c>
      <c r="E821" s="51">
        <v>7</v>
      </c>
      <c r="F821" s="4" t="s">
        <v>78</v>
      </c>
      <c r="G821" s="4" t="s">
        <v>103</v>
      </c>
      <c r="H821" s="48">
        <f>IF(G821&gt;0,VLOOKUP(G821,Apoio!$H$2:$I$24,2,0),"")</f>
        <v>6</v>
      </c>
      <c r="I821" s="44">
        <f t="shared" si="59"/>
        <v>36.206896551724142</v>
      </c>
      <c r="J821" s="98">
        <f t="shared" ref="J821:J826" si="60">I821*0.2</f>
        <v>7.2413793103448292</v>
      </c>
      <c r="K821" s="103" t="s">
        <v>226</v>
      </c>
    </row>
    <row r="822" spans="1:11" x14ac:dyDescent="0.3">
      <c r="A822" s="4" t="s">
        <v>39</v>
      </c>
      <c r="B822" s="68" t="s">
        <v>41</v>
      </c>
      <c r="C822" s="58">
        <v>5</v>
      </c>
      <c r="D822" s="58">
        <v>5.8</v>
      </c>
      <c r="E822" s="51">
        <v>7</v>
      </c>
      <c r="F822" s="4" t="s">
        <v>78</v>
      </c>
      <c r="G822" s="4" t="s">
        <v>106</v>
      </c>
      <c r="H822" s="48">
        <f>IF(G822&gt;0,VLOOKUP(G822,Apoio!$H$2:$I$24,2,0),"")</f>
        <v>7</v>
      </c>
      <c r="I822" s="44">
        <f t="shared" si="59"/>
        <v>42.241379310344826</v>
      </c>
      <c r="J822" s="98">
        <f t="shared" si="60"/>
        <v>8.4482758620689662</v>
      </c>
      <c r="K822" s="103" t="s">
        <v>226</v>
      </c>
    </row>
    <row r="823" spans="1:11" x14ac:dyDescent="0.3">
      <c r="A823" s="4" t="s">
        <v>39</v>
      </c>
      <c r="B823" s="68" t="s">
        <v>41</v>
      </c>
      <c r="C823" s="58">
        <v>5</v>
      </c>
      <c r="D823" s="58">
        <v>5.8</v>
      </c>
      <c r="E823" s="51">
        <v>7</v>
      </c>
      <c r="F823" s="4" t="s">
        <v>78</v>
      </c>
      <c r="G823" s="4" t="s">
        <v>109</v>
      </c>
      <c r="H823" s="48">
        <f>IF(G823&gt;0,VLOOKUP(G823,Apoio!$H$2:$I$24,2,0),"")</f>
        <v>8</v>
      </c>
      <c r="I823" s="44">
        <f t="shared" si="59"/>
        <v>48.275862068965516</v>
      </c>
      <c r="J823" s="98">
        <f t="shared" si="60"/>
        <v>9.6551724137931032</v>
      </c>
      <c r="K823" s="103" t="s">
        <v>226</v>
      </c>
    </row>
    <row r="824" spans="1:11" x14ac:dyDescent="0.3">
      <c r="A824" s="4" t="s">
        <v>39</v>
      </c>
      <c r="B824" s="68" t="s">
        <v>41</v>
      </c>
      <c r="C824" s="58">
        <v>5</v>
      </c>
      <c r="D824" s="58">
        <v>5.8</v>
      </c>
      <c r="E824" s="51">
        <v>7</v>
      </c>
      <c r="F824" s="4" t="s">
        <v>78</v>
      </c>
      <c r="G824" s="4" t="s">
        <v>112</v>
      </c>
      <c r="H824" s="48">
        <f>IF(G824&gt;0,VLOOKUP(G824,Apoio!$H$2:$I$24,2,0),"")</f>
        <v>8</v>
      </c>
      <c r="I824" s="44">
        <f t="shared" si="59"/>
        <v>48.275862068965516</v>
      </c>
      <c r="J824" s="98">
        <f t="shared" si="60"/>
        <v>9.6551724137931032</v>
      </c>
      <c r="K824" s="103" t="s">
        <v>226</v>
      </c>
    </row>
    <row r="825" spans="1:11" x14ac:dyDescent="0.3">
      <c r="A825" s="4" t="s">
        <v>39</v>
      </c>
      <c r="B825" s="68" t="s">
        <v>41</v>
      </c>
      <c r="C825" s="58">
        <v>4</v>
      </c>
      <c r="D825" s="58">
        <v>5.8</v>
      </c>
      <c r="E825" s="51">
        <v>7</v>
      </c>
      <c r="F825" s="4" t="s">
        <v>78</v>
      </c>
      <c r="G825" s="4" t="s">
        <v>115</v>
      </c>
      <c r="H825" s="48">
        <f>IF(G825&gt;0,VLOOKUP(G825,Apoio!$H$2:$I$24,2,0),"")</f>
        <v>7</v>
      </c>
      <c r="I825" s="44">
        <f t="shared" si="59"/>
        <v>33.793103448275865</v>
      </c>
      <c r="J825" s="98">
        <f t="shared" si="60"/>
        <v>6.7586206896551735</v>
      </c>
      <c r="K825" s="103" t="s">
        <v>226</v>
      </c>
    </row>
    <row r="826" spans="1:11" x14ac:dyDescent="0.3">
      <c r="A826" s="67" t="s">
        <v>39</v>
      </c>
      <c r="B826" s="68" t="s">
        <v>41</v>
      </c>
      <c r="C826" s="58">
        <v>4.5</v>
      </c>
      <c r="D826" s="58">
        <v>5.8</v>
      </c>
      <c r="E826" s="51">
        <v>7</v>
      </c>
      <c r="F826" s="4" t="s">
        <v>78</v>
      </c>
      <c r="G826" s="4" t="s">
        <v>118</v>
      </c>
      <c r="H826" s="48">
        <f>IF(G826&gt;0,VLOOKUP(G826,Apoio!$H$2:$I$24,2,0),"")</f>
        <v>3</v>
      </c>
      <c r="I826" s="44">
        <f t="shared" si="59"/>
        <v>16.293103448275861</v>
      </c>
      <c r="J826" s="98">
        <f t="shared" si="60"/>
        <v>3.2586206896551726</v>
      </c>
      <c r="K826" s="103" t="s">
        <v>226</v>
      </c>
    </row>
    <row r="827" spans="1:11" x14ac:dyDescent="0.3">
      <c r="A827" s="67" t="s">
        <v>39</v>
      </c>
      <c r="B827" s="68" t="s">
        <v>41</v>
      </c>
      <c r="C827" s="58">
        <v>6</v>
      </c>
      <c r="D827" s="58">
        <v>5.6</v>
      </c>
      <c r="E827" s="51">
        <v>7</v>
      </c>
      <c r="F827" s="4" t="s">
        <v>85</v>
      </c>
      <c r="G827" s="4" t="s">
        <v>121</v>
      </c>
      <c r="H827" s="48">
        <f>IF(G827&gt;0,VLOOKUP(G827,Apoio!$H$2:$I$24,2,0),"")</f>
        <v>7</v>
      </c>
      <c r="I827" s="44">
        <f t="shared" si="59"/>
        <v>52.5</v>
      </c>
      <c r="J827" s="98">
        <f>I827*25%</f>
        <v>13.125</v>
      </c>
      <c r="K827" s="103" t="s">
        <v>226</v>
      </c>
    </row>
    <row r="828" spans="1:11" x14ac:dyDescent="0.3">
      <c r="A828" s="67" t="s">
        <v>39</v>
      </c>
      <c r="B828" s="68" t="s">
        <v>41</v>
      </c>
      <c r="C828" s="58">
        <v>6</v>
      </c>
      <c r="D828" s="58">
        <v>5.6</v>
      </c>
      <c r="E828" s="51">
        <v>7</v>
      </c>
      <c r="F828" s="4" t="s">
        <v>85</v>
      </c>
      <c r="G828" s="4" t="s">
        <v>124</v>
      </c>
      <c r="H828" s="48">
        <f>IF(G828&gt;0,VLOOKUP(G828,Apoio!$H$2:$I$24,2,0),"")</f>
        <v>8</v>
      </c>
      <c r="I828" s="44">
        <f t="shared" si="59"/>
        <v>60.000000000000007</v>
      </c>
      <c r="J828" s="98">
        <f>I828*25%</f>
        <v>15.000000000000002</v>
      </c>
      <c r="K828" s="103" t="s">
        <v>226</v>
      </c>
    </row>
    <row r="829" spans="1:11" x14ac:dyDescent="0.3">
      <c r="A829" s="67" t="s">
        <v>39</v>
      </c>
      <c r="B829" s="68" t="s">
        <v>41</v>
      </c>
      <c r="C829" s="58">
        <v>5.5</v>
      </c>
      <c r="D829" s="58">
        <v>5.6</v>
      </c>
      <c r="E829" s="51">
        <v>7</v>
      </c>
      <c r="F829" s="4" t="s">
        <v>85</v>
      </c>
      <c r="G829" s="4" t="s">
        <v>127</v>
      </c>
      <c r="H829" s="48">
        <f>IF(G829&gt;0,VLOOKUP(G829,Apoio!$H$2:$I$24,2,0),"")</f>
        <v>8</v>
      </c>
      <c r="I829" s="44">
        <f t="shared" si="59"/>
        <v>55</v>
      </c>
      <c r="J829" s="98">
        <f>I829*25%</f>
        <v>13.75</v>
      </c>
      <c r="K829" s="103" t="s">
        <v>226</v>
      </c>
    </row>
    <row r="830" spans="1:11" x14ac:dyDescent="0.3">
      <c r="A830" s="67" t="s">
        <v>39</v>
      </c>
      <c r="B830" s="68" t="s">
        <v>41</v>
      </c>
      <c r="C830" s="58">
        <v>5</v>
      </c>
      <c r="D830" s="58">
        <v>5.6</v>
      </c>
      <c r="E830" s="51">
        <v>7</v>
      </c>
      <c r="F830" s="4" t="s">
        <v>85</v>
      </c>
      <c r="G830" s="4" t="s">
        <v>130</v>
      </c>
      <c r="H830" s="48">
        <f>IF(G830&gt;0,VLOOKUP(G830,Apoio!$H$2:$I$24,2,0),"")</f>
        <v>13</v>
      </c>
      <c r="I830" s="44">
        <f t="shared" si="59"/>
        <v>81.25</v>
      </c>
      <c r="J830" s="98">
        <f>I830*25%</f>
        <v>20.3125</v>
      </c>
      <c r="K830" s="103" t="s">
        <v>226</v>
      </c>
    </row>
    <row r="831" spans="1:11" x14ac:dyDescent="0.3">
      <c r="A831" s="67" t="s">
        <v>39</v>
      </c>
      <c r="B831" s="68" t="s">
        <v>41</v>
      </c>
      <c r="C831" s="58">
        <v>6</v>
      </c>
      <c r="D831" s="58">
        <v>5.6</v>
      </c>
      <c r="E831" s="51">
        <v>7</v>
      </c>
      <c r="F831" s="4" t="s">
        <v>85</v>
      </c>
      <c r="G831" s="4" t="s">
        <v>133</v>
      </c>
      <c r="H831" s="48">
        <f>IF(G831&gt;0,VLOOKUP(G831,Apoio!$H$2:$I$24,2,0),"")</f>
        <v>3</v>
      </c>
      <c r="I831" s="44">
        <f t="shared" si="59"/>
        <v>22.5</v>
      </c>
      <c r="J831" s="98">
        <f>I831*25%</f>
        <v>5.625</v>
      </c>
      <c r="K831" s="103" t="s">
        <v>226</v>
      </c>
    </row>
    <row r="832" spans="1:11" x14ac:dyDescent="0.3">
      <c r="A832" s="67" t="s">
        <v>39</v>
      </c>
      <c r="B832" s="68" t="s">
        <v>41</v>
      </c>
      <c r="C832" s="58">
        <v>6</v>
      </c>
      <c r="D832" s="58">
        <v>5.6</v>
      </c>
      <c r="E832" s="51">
        <v>7</v>
      </c>
      <c r="F832" s="4" t="s">
        <v>92</v>
      </c>
      <c r="G832" s="4" t="s">
        <v>136</v>
      </c>
      <c r="H832" s="48">
        <f>IF(G832&gt;0,VLOOKUP(G832,Apoio!$H$2:$I$24,2,0),"")</f>
        <v>13</v>
      </c>
      <c r="I832" s="44">
        <f t="shared" si="59"/>
        <v>97.5</v>
      </c>
      <c r="J832" s="98">
        <v>11.374999999999998</v>
      </c>
      <c r="K832" s="103" t="s">
        <v>226</v>
      </c>
    </row>
    <row r="833" spans="1:11" x14ac:dyDescent="0.3">
      <c r="A833" s="67" t="s">
        <v>39</v>
      </c>
      <c r="B833" s="68" t="s">
        <v>41</v>
      </c>
      <c r="C833" s="58">
        <v>6</v>
      </c>
      <c r="D833" s="58">
        <v>5.6</v>
      </c>
      <c r="E833" s="51">
        <v>7</v>
      </c>
      <c r="F833" s="4" t="s">
        <v>92</v>
      </c>
      <c r="G833" s="4" t="s">
        <v>139</v>
      </c>
      <c r="H833" s="48">
        <f>IF(G833&gt;0,VLOOKUP(G833,Apoio!$H$2:$I$24,2,0),"")</f>
        <v>8</v>
      </c>
      <c r="I833" s="44">
        <f t="shared" si="59"/>
        <v>60.000000000000007</v>
      </c>
      <c r="J833" s="98">
        <v>6.9999999999999991</v>
      </c>
      <c r="K833" s="103" t="s">
        <v>226</v>
      </c>
    </row>
    <row r="834" spans="1:11" x14ac:dyDescent="0.3">
      <c r="A834" s="67" t="s">
        <v>39</v>
      </c>
      <c r="B834" s="68" t="s">
        <v>41</v>
      </c>
      <c r="C834" s="58">
        <v>6</v>
      </c>
      <c r="D834" s="58">
        <v>5.6</v>
      </c>
      <c r="E834" s="51">
        <v>7</v>
      </c>
      <c r="F834" s="4" t="s">
        <v>92</v>
      </c>
      <c r="G834" s="4" t="s">
        <v>142</v>
      </c>
      <c r="H834" s="48">
        <f>IF(G834&gt;0,VLOOKUP(G834,Apoio!$H$2:$I$24,2,0),"")</f>
        <v>8</v>
      </c>
      <c r="I834" s="44">
        <f t="shared" si="59"/>
        <v>60.000000000000007</v>
      </c>
      <c r="J834" s="98">
        <v>6.9999999999999991</v>
      </c>
      <c r="K834" s="103" t="s">
        <v>226</v>
      </c>
    </row>
    <row r="835" spans="1:11" x14ac:dyDescent="0.3">
      <c r="A835" s="67" t="s">
        <v>39</v>
      </c>
      <c r="B835" s="68" t="s">
        <v>41</v>
      </c>
      <c r="C835" s="58">
        <v>6</v>
      </c>
      <c r="D835" s="58">
        <v>5.6</v>
      </c>
      <c r="E835" s="51">
        <v>7</v>
      </c>
      <c r="F835" s="4" t="s">
        <v>92</v>
      </c>
      <c r="G835" s="4" t="s">
        <v>145</v>
      </c>
      <c r="H835" s="48">
        <f>IF(G835&gt;0,VLOOKUP(G835,Apoio!$H$2:$I$24,2,0),"")</f>
        <v>7</v>
      </c>
      <c r="I835" s="44">
        <f t="shared" si="59"/>
        <v>52.5</v>
      </c>
      <c r="J835" s="98">
        <v>6.125</v>
      </c>
      <c r="K835" s="103" t="s">
        <v>226</v>
      </c>
    </row>
    <row r="836" spans="1:11" x14ac:dyDescent="0.3">
      <c r="A836" s="67" t="s">
        <v>39</v>
      </c>
      <c r="B836" s="68" t="s">
        <v>41</v>
      </c>
      <c r="C836" s="58">
        <v>6</v>
      </c>
      <c r="D836" s="58">
        <v>5.6</v>
      </c>
      <c r="E836" s="51">
        <v>7</v>
      </c>
      <c r="F836" s="4" t="s">
        <v>92</v>
      </c>
      <c r="G836" s="4" t="s">
        <v>148</v>
      </c>
      <c r="H836" s="48">
        <f>IF(G836&gt;0,VLOOKUP(G836,Apoio!$H$2:$I$24,2,0),"")</f>
        <v>8</v>
      </c>
      <c r="I836" s="44">
        <f t="shared" si="59"/>
        <v>60.000000000000007</v>
      </c>
      <c r="J836" s="98">
        <v>6.9999999999999991</v>
      </c>
      <c r="K836" s="103" t="s">
        <v>226</v>
      </c>
    </row>
    <row r="837" spans="1:11" x14ac:dyDescent="0.3">
      <c r="A837" s="67" t="s">
        <v>39</v>
      </c>
      <c r="B837" s="68" t="s">
        <v>41</v>
      </c>
      <c r="C837" s="58">
        <v>6</v>
      </c>
      <c r="D837" s="58">
        <v>5.6</v>
      </c>
      <c r="E837" s="51">
        <v>7</v>
      </c>
      <c r="F837" s="4" t="s">
        <v>92</v>
      </c>
      <c r="G837" s="4" t="s">
        <v>151</v>
      </c>
      <c r="H837" s="48">
        <f>IF(G837&gt;0,VLOOKUP(G837,Apoio!$H$2:$I$24,2,0),"")</f>
        <v>8</v>
      </c>
      <c r="I837" s="44">
        <f t="shared" si="59"/>
        <v>60.000000000000007</v>
      </c>
      <c r="J837" s="98">
        <v>6.9999999999999991</v>
      </c>
      <c r="K837" s="103" t="s">
        <v>226</v>
      </c>
    </row>
    <row r="838" spans="1:11" x14ac:dyDescent="0.3">
      <c r="A838" s="4" t="s">
        <v>39</v>
      </c>
      <c r="B838" s="68" t="s">
        <v>42</v>
      </c>
      <c r="C838" s="58">
        <v>6</v>
      </c>
      <c r="D838" s="58">
        <v>8.5</v>
      </c>
      <c r="E838" s="51">
        <v>7</v>
      </c>
      <c r="F838" s="4" t="s">
        <v>71</v>
      </c>
      <c r="G838" s="4" t="s">
        <v>70</v>
      </c>
      <c r="H838" s="48">
        <v>8</v>
      </c>
      <c r="I838" s="44">
        <f t="shared" si="59"/>
        <v>39.529411764705884</v>
      </c>
      <c r="J838" s="98">
        <v>7.8400000000000007</v>
      </c>
      <c r="K838" s="103" t="s">
        <v>226</v>
      </c>
    </row>
    <row r="839" spans="1:11" x14ac:dyDescent="0.3">
      <c r="A839" s="4" t="s">
        <v>39</v>
      </c>
      <c r="B839" s="68" t="s">
        <v>42</v>
      </c>
      <c r="C839" s="58">
        <v>6</v>
      </c>
      <c r="D839" s="58">
        <v>8.5</v>
      </c>
      <c r="E839" s="51">
        <v>7</v>
      </c>
      <c r="F839" s="4" t="s">
        <v>71</v>
      </c>
      <c r="G839" s="4" t="s">
        <v>77</v>
      </c>
      <c r="H839" s="48">
        <f>IF(G839&gt;0,VLOOKUP(G839,Apoio!$H$2:$I$24,2,0),"")</f>
        <v>8</v>
      </c>
      <c r="I839" s="44">
        <f t="shared" si="59"/>
        <v>39.529411764705884</v>
      </c>
      <c r="J839" s="98">
        <v>8.9599999999999991</v>
      </c>
      <c r="K839" s="103" t="s">
        <v>226</v>
      </c>
    </row>
    <row r="840" spans="1:11" x14ac:dyDescent="0.3">
      <c r="A840" s="4" t="s">
        <v>39</v>
      </c>
      <c r="B840" s="68" t="s">
        <v>42</v>
      </c>
      <c r="C840" s="58">
        <v>6</v>
      </c>
      <c r="D840" s="58">
        <v>8.5</v>
      </c>
      <c r="E840" s="51">
        <v>7</v>
      </c>
      <c r="F840" s="4" t="s">
        <v>71</v>
      </c>
      <c r="G840" s="4" t="s">
        <v>84</v>
      </c>
      <c r="H840" s="48">
        <f>IF(G840&gt;0,VLOOKUP(G840,Apoio!$H$2:$I$24,2,0),"")</f>
        <v>8</v>
      </c>
      <c r="I840" s="44">
        <f t="shared" si="59"/>
        <v>39.529411764705884</v>
      </c>
      <c r="J840" s="98">
        <v>8.9599999999999991</v>
      </c>
      <c r="K840" s="103" t="s">
        <v>226</v>
      </c>
    </row>
    <row r="841" spans="1:11" x14ac:dyDescent="0.3">
      <c r="A841" s="4" t="s">
        <v>39</v>
      </c>
      <c r="B841" s="68" t="s">
        <v>42</v>
      </c>
      <c r="C841" s="58">
        <v>6</v>
      </c>
      <c r="D841" s="58">
        <v>8.5</v>
      </c>
      <c r="E841" s="51">
        <v>7</v>
      </c>
      <c r="F841" s="4" t="s">
        <v>71</v>
      </c>
      <c r="G841" s="4" t="s">
        <v>91</v>
      </c>
      <c r="H841" s="48">
        <f>IF(G841&gt;0,VLOOKUP(G841,Apoio!$H$2:$I$24,2,0),"")</f>
        <v>6</v>
      </c>
      <c r="I841" s="44">
        <f t="shared" si="59"/>
        <v>29.647058823529413</v>
      </c>
      <c r="J841" s="98">
        <v>6.7200000000000006</v>
      </c>
      <c r="K841" s="103" t="s">
        <v>226</v>
      </c>
    </row>
    <row r="842" spans="1:11" x14ac:dyDescent="0.3">
      <c r="A842" s="4" t="s">
        <v>39</v>
      </c>
      <c r="B842" s="68" t="s">
        <v>42</v>
      </c>
      <c r="C842" s="58">
        <v>6</v>
      </c>
      <c r="D842" s="58">
        <v>8.5</v>
      </c>
      <c r="E842" s="51">
        <v>7</v>
      </c>
      <c r="F842" s="4" t="s">
        <v>71</v>
      </c>
      <c r="G842" s="4" t="s">
        <v>97</v>
      </c>
      <c r="H842" s="48">
        <f>IF(G842&gt;0,VLOOKUP(G842,Apoio!$H$2:$I$24,2,0),"")</f>
        <v>8</v>
      </c>
      <c r="I842" s="44">
        <f t="shared" si="59"/>
        <v>39.529411764705884</v>
      </c>
      <c r="J842" s="98">
        <v>8.9599999999999991</v>
      </c>
      <c r="K842" s="103" t="s">
        <v>226</v>
      </c>
    </row>
    <row r="843" spans="1:11" x14ac:dyDescent="0.3">
      <c r="A843" s="4" t="s">
        <v>39</v>
      </c>
      <c r="B843" s="4" t="s">
        <v>42</v>
      </c>
      <c r="C843" s="58">
        <v>6</v>
      </c>
      <c r="D843" s="58">
        <v>8.5</v>
      </c>
      <c r="E843" s="51">
        <v>7</v>
      </c>
      <c r="F843" s="4" t="s">
        <v>71</v>
      </c>
      <c r="G843" s="4" t="s">
        <v>100</v>
      </c>
      <c r="H843" s="48">
        <f>IF(G843&gt;0,VLOOKUP(G843,Apoio!$H$2:$I$24,2,0),"")</f>
        <v>3</v>
      </c>
      <c r="I843" s="44">
        <f t="shared" si="59"/>
        <v>14.823529411764707</v>
      </c>
      <c r="J843" s="98">
        <v>3.3600000000000003</v>
      </c>
      <c r="K843" s="103" t="s">
        <v>226</v>
      </c>
    </row>
    <row r="844" spans="1:11" x14ac:dyDescent="0.3">
      <c r="A844" s="4" t="s">
        <v>39</v>
      </c>
      <c r="B844" s="4" t="s">
        <v>42</v>
      </c>
      <c r="C844" s="58">
        <v>6</v>
      </c>
      <c r="D844" s="58">
        <v>8</v>
      </c>
      <c r="E844" s="51">
        <v>7</v>
      </c>
      <c r="F844" s="4" t="s">
        <v>78</v>
      </c>
      <c r="G844" s="4" t="s">
        <v>103</v>
      </c>
      <c r="H844" s="48">
        <f>IF(G844&gt;0,VLOOKUP(G844,Apoio!$H$2:$I$24,2,0),"")</f>
        <v>6</v>
      </c>
      <c r="I844" s="44">
        <f t="shared" si="59"/>
        <v>31.5</v>
      </c>
      <c r="J844" s="98">
        <f t="shared" ref="J844:J849" si="61">I844*0.2</f>
        <v>6.3000000000000007</v>
      </c>
      <c r="K844" s="103" t="s">
        <v>226</v>
      </c>
    </row>
    <row r="845" spans="1:11" x14ac:dyDescent="0.3">
      <c r="A845" s="4" t="s">
        <v>39</v>
      </c>
      <c r="B845" s="4" t="s">
        <v>42</v>
      </c>
      <c r="C845" s="58">
        <v>6</v>
      </c>
      <c r="D845" s="58">
        <v>8</v>
      </c>
      <c r="E845" s="51">
        <v>7</v>
      </c>
      <c r="F845" s="4" t="s">
        <v>78</v>
      </c>
      <c r="G845" s="4" t="s">
        <v>106</v>
      </c>
      <c r="H845" s="48">
        <f>IF(G845&gt;0,VLOOKUP(G845,Apoio!$H$2:$I$24,2,0),"")</f>
        <v>7</v>
      </c>
      <c r="I845" s="44">
        <f t="shared" si="59"/>
        <v>36.75</v>
      </c>
      <c r="J845" s="98">
        <f t="shared" si="61"/>
        <v>7.3500000000000005</v>
      </c>
      <c r="K845" s="103" t="s">
        <v>226</v>
      </c>
    </row>
    <row r="846" spans="1:11" x14ac:dyDescent="0.3">
      <c r="A846" s="4" t="s">
        <v>39</v>
      </c>
      <c r="B846" s="4" t="s">
        <v>42</v>
      </c>
      <c r="C846" s="58">
        <v>6</v>
      </c>
      <c r="D846" s="58">
        <v>8</v>
      </c>
      <c r="E846" s="51">
        <v>7</v>
      </c>
      <c r="F846" s="4" t="s">
        <v>78</v>
      </c>
      <c r="G846" s="4" t="s">
        <v>109</v>
      </c>
      <c r="H846" s="48">
        <f>IF(G846&gt;0,VLOOKUP(G846,Apoio!$H$2:$I$24,2,0),"")</f>
        <v>8</v>
      </c>
      <c r="I846" s="44">
        <f t="shared" si="59"/>
        <v>42</v>
      </c>
      <c r="J846" s="98">
        <f t="shared" si="61"/>
        <v>8.4</v>
      </c>
      <c r="K846" s="103" t="s">
        <v>226</v>
      </c>
    </row>
    <row r="847" spans="1:11" x14ac:dyDescent="0.3">
      <c r="A847" s="4" t="s">
        <v>39</v>
      </c>
      <c r="B847" s="4" t="s">
        <v>42</v>
      </c>
      <c r="C847" s="58">
        <v>6</v>
      </c>
      <c r="D847" s="58">
        <v>8</v>
      </c>
      <c r="E847" s="51">
        <v>7</v>
      </c>
      <c r="F847" s="4" t="s">
        <v>78</v>
      </c>
      <c r="G847" s="4" t="s">
        <v>112</v>
      </c>
      <c r="H847" s="48">
        <f>IF(G847&gt;0,VLOOKUP(G847,Apoio!$H$2:$I$24,2,0),"")</f>
        <v>8</v>
      </c>
      <c r="I847" s="44">
        <f t="shared" si="59"/>
        <v>42</v>
      </c>
      <c r="J847" s="98">
        <f t="shared" si="61"/>
        <v>8.4</v>
      </c>
      <c r="K847" s="103" t="s">
        <v>226</v>
      </c>
    </row>
    <row r="848" spans="1:11" x14ac:dyDescent="0.3">
      <c r="A848" s="4" t="s">
        <v>39</v>
      </c>
      <c r="B848" s="4" t="s">
        <v>42</v>
      </c>
      <c r="C848" s="58">
        <v>6</v>
      </c>
      <c r="D848" s="58">
        <v>8</v>
      </c>
      <c r="E848" s="51">
        <v>7</v>
      </c>
      <c r="F848" s="4" t="s">
        <v>78</v>
      </c>
      <c r="G848" s="4" t="s">
        <v>115</v>
      </c>
      <c r="H848" s="48">
        <f>IF(G848&gt;0,VLOOKUP(G848,Apoio!$H$2:$I$24,2,0),"")</f>
        <v>7</v>
      </c>
      <c r="I848" s="44">
        <f t="shared" si="59"/>
        <v>36.75</v>
      </c>
      <c r="J848" s="98">
        <f t="shared" si="61"/>
        <v>7.3500000000000005</v>
      </c>
      <c r="K848" s="103" t="s">
        <v>226</v>
      </c>
    </row>
    <row r="849" spans="1:11" x14ac:dyDescent="0.3">
      <c r="A849" s="4" t="s">
        <v>39</v>
      </c>
      <c r="B849" s="4" t="s">
        <v>42</v>
      </c>
      <c r="C849" s="58">
        <v>6</v>
      </c>
      <c r="D849" s="58">
        <v>8</v>
      </c>
      <c r="E849" s="51">
        <v>7</v>
      </c>
      <c r="F849" s="4" t="s">
        <v>78</v>
      </c>
      <c r="G849" s="4" t="s">
        <v>118</v>
      </c>
      <c r="H849" s="48">
        <f>IF(G849&gt;0,VLOOKUP(G849,Apoio!$H$2:$I$24,2,0),"")</f>
        <v>3</v>
      </c>
      <c r="I849" s="44">
        <f t="shared" si="59"/>
        <v>15.75</v>
      </c>
      <c r="J849" s="98">
        <f t="shared" si="61"/>
        <v>3.1500000000000004</v>
      </c>
      <c r="K849" s="103" t="s">
        <v>226</v>
      </c>
    </row>
    <row r="850" spans="1:11" x14ac:dyDescent="0.3">
      <c r="A850" s="4" t="s">
        <v>39</v>
      </c>
      <c r="B850" s="4" t="s">
        <v>42</v>
      </c>
      <c r="C850" s="94">
        <v>9</v>
      </c>
      <c r="D850" s="95">
        <v>7.5</v>
      </c>
      <c r="E850" s="51">
        <v>7</v>
      </c>
      <c r="F850" s="4" t="s">
        <v>85</v>
      </c>
      <c r="G850" s="4" t="s">
        <v>121</v>
      </c>
      <c r="H850" s="48">
        <f>IF(G850&gt;0,VLOOKUP(G850,Apoio!$H$2:$I$24,2,0),"")</f>
        <v>7</v>
      </c>
      <c r="I850" s="44">
        <f t="shared" si="59"/>
        <v>58.8</v>
      </c>
      <c r="J850" s="98">
        <f>I850*25%</f>
        <v>14.7</v>
      </c>
      <c r="K850" s="103" t="s">
        <v>226</v>
      </c>
    </row>
    <row r="851" spans="1:11" x14ac:dyDescent="0.3">
      <c r="A851" s="4" t="s">
        <v>39</v>
      </c>
      <c r="B851" s="4" t="s">
        <v>42</v>
      </c>
      <c r="C851" s="94">
        <v>9</v>
      </c>
      <c r="D851" s="95">
        <v>7.5</v>
      </c>
      <c r="E851" s="51">
        <v>7</v>
      </c>
      <c r="F851" s="4" t="s">
        <v>85</v>
      </c>
      <c r="G851" s="4" t="s">
        <v>124</v>
      </c>
      <c r="H851" s="48">
        <f>IF(G851&gt;0,VLOOKUP(G851,Apoio!$H$2:$I$24,2,0),"")</f>
        <v>8</v>
      </c>
      <c r="I851" s="44">
        <f t="shared" ref="I851:I860" si="62">IF(D851&gt;0,(((H851*E851)*C851)/D851),"")</f>
        <v>67.2</v>
      </c>
      <c r="J851" s="98">
        <f>I851*25%</f>
        <v>16.8</v>
      </c>
      <c r="K851" s="103" t="s">
        <v>226</v>
      </c>
    </row>
    <row r="852" spans="1:11" x14ac:dyDescent="0.3">
      <c r="A852" s="4" t="s">
        <v>39</v>
      </c>
      <c r="B852" s="4" t="s">
        <v>42</v>
      </c>
      <c r="C852" s="94">
        <v>9</v>
      </c>
      <c r="D852" s="95">
        <v>7.5</v>
      </c>
      <c r="E852" s="51">
        <v>7</v>
      </c>
      <c r="F852" s="4" t="s">
        <v>85</v>
      </c>
      <c r="G852" s="4" t="s">
        <v>127</v>
      </c>
      <c r="H852" s="48">
        <f>IF(G852&gt;0,VLOOKUP(G852,Apoio!$H$2:$I$24,2,0),"")</f>
        <v>8</v>
      </c>
      <c r="I852" s="44">
        <f t="shared" si="62"/>
        <v>67.2</v>
      </c>
      <c r="J852" s="98">
        <f>I852*25%</f>
        <v>16.8</v>
      </c>
      <c r="K852" s="103" t="s">
        <v>226</v>
      </c>
    </row>
    <row r="853" spans="1:11" x14ac:dyDescent="0.3">
      <c r="A853" s="9" t="s">
        <v>39</v>
      </c>
      <c r="B853" s="4" t="s">
        <v>42</v>
      </c>
      <c r="C853" s="94">
        <v>9</v>
      </c>
      <c r="D853" s="95">
        <v>7.5</v>
      </c>
      <c r="E853" s="51">
        <v>7</v>
      </c>
      <c r="F853" s="4" t="s">
        <v>85</v>
      </c>
      <c r="G853" s="4" t="s">
        <v>130</v>
      </c>
      <c r="H853" s="48">
        <f>IF(G853&gt;0,VLOOKUP(G853,Apoio!$H$2:$I$24,2,0),"")</f>
        <v>13</v>
      </c>
      <c r="I853" s="44">
        <f t="shared" si="62"/>
        <v>109.2</v>
      </c>
      <c r="J853" s="98">
        <f>I853*25%</f>
        <v>27.3</v>
      </c>
      <c r="K853" s="103" t="s">
        <v>226</v>
      </c>
    </row>
    <row r="854" spans="1:11" x14ac:dyDescent="0.3">
      <c r="A854" s="4" t="s">
        <v>39</v>
      </c>
      <c r="B854" s="65" t="s">
        <v>42</v>
      </c>
      <c r="C854" s="94">
        <v>9</v>
      </c>
      <c r="D854" s="95">
        <v>7.5</v>
      </c>
      <c r="E854" s="51">
        <v>7</v>
      </c>
      <c r="F854" s="4" t="s">
        <v>85</v>
      </c>
      <c r="G854" s="4" t="s">
        <v>133</v>
      </c>
      <c r="H854" s="48">
        <f>IF(G854&gt;0,VLOOKUP(G854,Apoio!$H$2:$I$24,2,0),"")</f>
        <v>3</v>
      </c>
      <c r="I854" s="44">
        <f t="shared" si="62"/>
        <v>25.2</v>
      </c>
      <c r="J854" s="98">
        <f>I854*25%</f>
        <v>6.3</v>
      </c>
      <c r="K854" s="103" t="s">
        <v>226</v>
      </c>
    </row>
    <row r="855" spans="1:11" x14ac:dyDescent="0.3">
      <c r="A855" s="4" t="s">
        <v>39</v>
      </c>
      <c r="B855" s="4" t="s">
        <v>42</v>
      </c>
      <c r="C855" s="94">
        <v>9</v>
      </c>
      <c r="D855" s="95">
        <v>7.5</v>
      </c>
      <c r="E855" s="51">
        <v>7</v>
      </c>
      <c r="F855" s="4" t="s">
        <v>92</v>
      </c>
      <c r="G855" s="4" t="s">
        <v>136</v>
      </c>
      <c r="H855" s="48">
        <f>IF(G855&gt;0,VLOOKUP(G855,Apoio!$H$2:$I$24,2,0),"")</f>
        <v>13</v>
      </c>
      <c r="I855" s="44">
        <f t="shared" si="62"/>
        <v>109.2</v>
      </c>
      <c r="J855" s="106">
        <v>14.56</v>
      </c>
      <c r="K855" s="103" t="s">
        <v>226</v>
      </c>
    </row>
    <row r="856" spans="1:11" x14ac:dyDescent="0.3">
      <c r="A856" s="4" t="s">
        <v>39</v>
      </c>
      <c r="B856" s="4" t="s">
        <v>42</v>
      </c>
      <c r="C856" s="94">
        <v>9</v>
      </c>
      <c r="D856" s="95">
        <v>7.5</v>
      </c>
      <c r="E856" s="51">
        <v>7</v>
      </c>
      <c r="F856" s="4" t="s">
        <v>92</v>
      </c>
      <c r="G856" s="4" t="s">
        <v>139</v>
      </c>
      <c r="H856" s="48">
        <f>IF(G856&gt;0,VLOOKUP(G856,Apoio!$H$2:$I$24,2,0),"")</f>
        <v>8</v>
      </c>
      <c r="I856" s="44">
        <f t="shared" si="62"/>
        <v>67.2</v>
      </c>
      <c r="J856" s="106">
        <v>8.9599999999999991</v>
      </c>
      <c r="K856" s="103" t="s">
        <v>226</v>
      </c>
    </row>
    <row r="857" spans="1:11" x14ac:dyDescent="0.3">
      <c r="A857" s="4" t="s">
        <v>39</v>
      </c>
      <c r="B857" s="4" t="s">
        <v>42</v>
      </c>
      <c r="C857" s="94">
        <v>9</v>
      </c>
      <c r="D857" s="95">
        <v>7.5</v>
      </c>
      <c r="E857" s="51">
        <v>7</v>
      </c>
      <c r="F857" s="4" t="s">
        <v>92</v>
      </c>
      <c r="G857" s="4" t="s">
        <v>142</v>
      </c>
      <c r="H857" s="48">
        <f>IF(G857&gt;0,VLOOKUP(G857,Apoio!$H$2:$I$24,2,0),"")</f>
        <v>8</v>
      </c>
      <c r="I857" s="44">
        <f t="shared" si="62"/>
        <v>67.2</v>
      </c>
      <c r="J857" s="106">
        <v>8.9599999999999991</v>
      </c>
      <c r="K857" s="103" t="s">
        <v>226</v>
      </c>
    </row>
    <row r="858" spans="1:11" x14ac:dyDescent="0.3">
      <c r="A858" s="4" t="s">
        <v>39</v>
      </c>
      <c r="B858" s="4" t="s">
        <v>42</v>
      </c>
      <c r="C858" s="94">
        <v>9</v>
      </c>
      <c r="D858" s="95">
        <v>7.5</v>
      </c>
      <c r="E858" s="51">
        <v>7</v>
      </c>
      <c r="F858" s="4" t="s">
        <v>92</v>
      </c>
      <c r="G858" s="4" t="s">
        <v>145</v>
      </c>
      <c r="H858" s="48">
        <f>IF(G858&gt;0,VLOOKUP(G858,Apoio!$H$2:$I$24,2,0),"")</f>
        <v>7</v>
      </c>
      <c r="I858" s="44">
        <f t="shared" si="62"/>
        <v>58.8</v>
      </c>
      <c r="J858" s="106">
        <v>7.8400000000000007</v>
      </c>
      <c r="K858" s="103" t="s">
        <v>226</v>
      </c>
    </row>
    <row r="859" spans="1:11" x14ac:dyDescent="0.3">
      <c r="A859" s="4" t="s">
        <v>39</v>
      </c>
      <c r="B859" s="4" t="s">
        <v>42</v>
      </c>
      <c r="C859" s="94">
        <v>9</v>
      </c>
      <c r="D859" s="95">
        <v>7.5</v>
      </c>
      <c r="E859" s="51">
        <v>7</v>
      </c>
      <c r="F859" s="4" t="s">
        <v>92</v>
      </c>
      <c r="G859" s="4" t="s">
        <v>148</v>
      </c>
      <c r="H859" s="48">
        <f>IF(G859&gt;0,VLOOKUP(G859,Apoio!$H$2:$I$24,2,0),"")</f>
        <v>8</v>
      </c>
      <c r="I859" s="44">
        <f t="shared" si="62"/>
        <v>67.2</v>
      </c>
      <c r="J859" s="106">
        <v>8.9599999999999991</v>
      </c>
      <c r="K859" s="103" t="s">
        <v>226</v>
      </c>
    </row>
    <row r="860" spans="1:11" x14ac:dyDescent="0.3">
      <c r="A860" s="4" t="s">
        <v>39</v>
      </c>
      <c r="B860" s="4" t="s">
        <v>42</v>
      </c>
      <c r="C860" s="94">
        <v>9</v>
      </c>
      <c r="D860" s="95">
        <v>7.5</v>
      </c>
      <c r="E860" s="51">
        <v>7</v>
      </c>
      <c r="F860" s="4" t="s">
        <v>92</v>
      </c>
      <c r="G860" s="4" t="s">
        <v>151</v>
      </c>
      <c r="H860" s="48">
        <f>IF(G860&gt;0,VLOOKUP(G860,Apoio!$H$2:$I$24,2,0),"")</f>
        <v>8</v>
      </c>
      <c r="I860" s="44">
        <f t="shared" si="62"/>
        <v>67.2</v>
      </c>
      <c r="J860" s="106">
        <v>8.9599999999999991</v>
      </c>
      <c r="K860" s="103" t="s">
        <v>226</v>
      </c>
    </row>
    <row r="861" spans="1:11" x14ac:dyDescent="0.3">
      <c r="A861" s="4" t="s">
        <v>49</v>
      </c>
      <c r="B861" s="4" t="s">
        <v>50</v>
      </c>
      <c r="C861" s="4">
        <v>4</v>
      </c>
      <c r="D861" s="4">
        <v>7</v>
      </c>
      <c r="E861" s="4">
        <v>7</v>
      </c>
      <c r="F861" s="4" t="s">
        <v>71</v>
      </c>
      <c r="G861" s="4" t="s">
        <v>70</v>
      </c>
      <c r="H861" s="48">
        <v>8</v>
      </c>
      <c r="I861" s="44">
        <f>IF(D861&gt;0,(((H861*E861)*C861)/D861),"")</f>
        <v>32</v>
      </c>
      <c r="J861" s="106"/>
      <c r="K861" s="103"/>
    </row>
    <row r="862" spans="1:11" x14ac:dyDescent="0.3">
      <c r="A862" s="4" t="s">
        <v>49</v>
      </c>
      <c r="B862" s="4" t="s">
        <v>50</v>
      </c>
      <c r="C862" s="4">
        <v>4</v>
      </c>
      <c r="D862" s="4">
        <v>7</v>
      </c>
      <c r="E862" s="4">
        <v>7</v>
      </c>
      <c r="F862" s="4" t="s">
        <v>71</v>
      </c>
      <c r="G862" s="4" t="s">
        <v>77</v>
      </c>
      <c r="H862" s="48">
        <v>8</v>
      </c>
      <c r="I862" s="44">
        <f t="shared" ref="I862:I925" si="63">IF(D862&gt;0,(((H862*E862)*C862)/D862),"")</f>
        <v>32</v>
      </c>
      <c r="J862" s="106"/>
      <c r="K862" s="103"/>
    </row>
    <row r="863" spans="1:11" x14ac:dyDescent="0.3">
      <c r="A863" s="4" t="s">
        <v>49</v>
      </c>
      <c r="B863" s="4" t="s">
        <v>50</v>
      </c>
      <c r="C863" s="4">
        <v>4</v>
      </c>
      <c r="D863" s="4">
        <v>7</v>
      </c>
      <c r="E863" s="4">
        <v>7</v>
      </c>
      <c r="F863" s="4" t="s">
        <v>71</v>
      </c>
      <c r="G863" s="4" t="s">
        <v>84</v>
      </c>
      <c r="H863" s="48">
        <v>8</v>
      </c>
      <c r="I863" s="44">
        <f t="shared" si="63"/>
        <v>32</v>
      </c>
      <c r="J863" s="106"/>
      <c r="K863" s="103"/>
    </row>
    <row r="864" spans="1:11" x14ac:dyDescent="0.3">
      <c r="A864" s="4" t="s">
        <v>49</v>
      </c>
      <c r="B864" s="4" t="s">
        <v>50</v>
      </c>
      <c r="C864" s="4">
        <v>4</v>
      </c>
      <c r="D864" s="4">
        <v>7</v>
      </c>
      <c r="E864" s="4">
        <v>7</v>
      </c>
      <c r="F864" s="4" t="s">
        <v>71</v>
      </c>
      <c r="G864" s="4" t="s">
        <v>91</v>
      </c>
      <c r="H864" s="48">
        <v>6</v>
      </c>
      <c r="I864" s="44">
        <f t="shared" si="63"/>
        <v>24</v>
      </c>
      <c r="J864" s="106"/>
      <c r="K864" s="103"/>
    </row>
    <row r="865" spans="1:11" x14ac:dyDescent="0.3">
      <c r="A865" s="4" t="s">
        <v>49</v>
      </c>
      <c r="B865" s="4" t="s">
        <v>50</v>
      </c>
      <c r="C865" s="4">
        <v>4</v>
      </c>
      <c r="D865" s="4">
        <v>7</v>
      </c>
      <c r="E865" s="4">
        <v>7</v>
      </c>
      <c r="F865" s="4" t="s">
        <v>71</v>
      </c>
      <c r="G865" s="4" t="s">
        <v>97</v>
      </c>
      <c r="H865" s="48">
        <v>8</v>
      </c>
      <c r="I865" s="44">
        <f t="shared" si="63"/>
        <v>32</v>
      </c>
      <c r="J865" s="106"/>
      <c r="K865" s="103"/>
    </row>
    <row r="866" spans="1:11" x14ac:dyDescent="0.3">
      <c r="A866" s="4" t="s">
        <v>49</v>
      </c>
      <c r="B866" s="4" t="s">
        <v>50</v>
      </c>
      <c r="C866" s="4">
        <v>4</v>
      </c>
      <c r="D866" s="4">
        <v>7</v>
      </c>
      <c r="E866" s="4">
        <v>7</v>
      </c>
      <c r="F866" s="4" t="s">
        <v>71</v>
      </c>
      <c r="G866" s="4" t="s">
        <v>100</v>
      </c>
      <c r="H866" s="48">
        <v>3</v>
      </c>
      <c r="I866" s="44">
        <f t="shared" si="63"/>
        <v>12</v>
      </c>
      <c r="J866" s="106"/>
      <c r="K866" s="103"/>
    </row>
    <row r="867" spans="1:11" x14ac:dyDescent="0.3">
      <c r="A867" s="4" t="s">
        <v>49</v>
      </c>
      <c r="B867" s="4" t="s">
        <v>50</v>
      </c>
      <c r="C867" s="4">
        <v>3</v>
      </c>
      <c r="D867" s="56">
        <v>7</v>
      </c>
      <c r="E867" s="4">
        <v>7</v>
      </c>
      <c r="F867" s="4" t="s">
        <v>78</v>
      </c>
      <c r="G867" s="4" t="s">
        <v>103</v>
      </c>
      <c r="H867" s="48">
        <v>6</v>
      </c>
      <c r="I867" s="44">
        <f t="shared" si="63"/>
        <v>18</v>
      </c>
      <c r="J867" s="106"/>
      <c r="K867" s="103"/>
    </row>
    <row r="868" spans="1:11" x14ac:dyDescent="0.3">
      <c r="A868" s="4" t="s">
        <v>49</v>
      </c>
      <c r="B868" s="4" t="s">
        <v>50</v>
      </c>
      <c r="C868" s="4">
        <v>4</v>
      </c>
      <c r="D868" s="56">
        <v>7</v>
      </c>
      <c r="E868" s="4">
        <v>7</v>
      </c>
      <c r="F868" s="4" t="s">
        <v>78</v>
      </c>
      <c r="G868" s="4" t="s">
        <v>106</v>
      </c>
      <c r="H868" s="48">
        <v>7</v>
      </c>
      <c r="I868" s="44">
        <f t="shared" si="63"/>
        <v>28</v>
      </c>
      <c r="J868" s="106"/>
      <c r="K868" s="103"/>
    </row>
    <row r="869" spans="1:11" x14ac:dyDescent="0.3">
      <c r="A869" s="4" t="s">
        <v>49</v>
      </c>
      <c r="B869" s="4" t="s">
        <v>50</v>
      </c>
      <c r="C869" s="4">
        <v>4</v>
      </c>
      <c r="D869" s="56">
        <v>7</v>
      </c>
      <c r="E869" s="4">
        <v>7</v>
      </c>
      <c r="F869" s="4" t="s">
        <v>78</v>
      </c>
      <c r="G869" s="4" t="s">
        <v>109</v>
      </c>
      <c r="H869" s="48">
        <v>8</v>
      </c>
      <c r="I869" s="44">
        <f t="shared" si="63"/>
        <v>32</v>
      </c>
      <c r="J869" s="106"/>
      <c r="K869" s="103"/>
    </row>
    <row r="870" spans="1:11" x14ac:dyDescent="0.3">
      <c r="A870" s="4" t="s">
        <v>49</v>
      </c>
      <c r="B870" s="4" t="s">
        <v>50</v>
      </c>
      <c r="C870" s="4">
        <v>4</v>
      </c>
      <c r="D870" s="56">
        <v>7</v>
      </c>
      <c r="E870" s="4">
        <v>7</v>
      </c>
      <c r="F870" s="4" t="s">
        <v>78</v>
      </c>
      <c r="G870" s="4" t="s">
        <v>112</v>
      </c>
      <c r="H870" s="48">
        <v>8</v>
      </c>
      <c r="I870" s="44">
        <f t="shared" si="63"/>
        <v>32</v>
      </c>
      <c r="J870" s="106"/>
      <c r="K870" s="103"/>
    </row>
    <row r="871" spans="1:11" x14ac:dyDescent="0.3">
      <c r="A871" s="4" t="s">
        <v>49</v>
      </c>
      <c r="B871" s="4" t="s">
        <v>50</v>
      </c>
      <c r="C871" s="4">
        <v>4</v>
      </c>
      <c r="D871" s="56">
        <v>7</v>
      </c>
      <c r="E871" s="4">
        <v>7</v>
      </c>
      <c r="F871" s="4" t="s">
        <v>78</v>
      </c>
      <c r="G871" s="4" t="s">
        <v>115</v>
      </c>
      <c r="H871" s="48">
        <v>7</v>
      </c>
      <c r="I871" s="44">
        <f t="shared" si="63"/>
        <v>28</v>
      </c>
      <c r="J871" s="106"/>
      <c r="K871" s="103"/>
    </row>
    <row r="872" spans="1:11" x14ac:dyDescent="0.3">
      <c r="A872" s="4" t="s">
        <v>49</v>
      </c>
      <c r="B872" s="4" t="s">
        <v>50</v>
      </c>
      <c r="C872" s="4">
        <v>4</v>
      </c>
      <c r="D872" s="56">
        <v>7</v>
      </c>
      <c r="E872" s="4">
        <v>7</v>
      </c>
      <c r="F872" s="4" t="s">
        <v>78</v>
      </c>
      <c r="G872" s="4" t="s">
        <v>118</v>
      </c>
      <c r="H872" s="48">
        <v>3</v>
      </c>
      <c r="I872" s="44">
        <f t="shared" si="63"/>
        <v>12</v>
      </c>
      <c r="J872" s="106"/>
      <c r="K872" s="103"/>
    </row>
    <row r="873" spans="1:11" x14ac:dyDescent="0.3">
      <c r="A873" s="4" t="s">
        <v>49</v>
      </c>
      <c r="B873" s="4" t="s">
        <v>50</v>
      </c>
      <c r="C873" s="4">
        <v>4</v>
      </c>
      <c r="D873" s="56">
        <v>6.8</v>
      </c>
      <c r="E873" s="4">
        <v>7</v>
      </c>
      <c r="F873" s="4" t="s">
        <v>85</v>
      </c>
      <c r="G873" s="4" t="s">
        <v>121</v>
      </c>
      <c r="H873" s="48">
        <v>7</v>
      </c>
      <c r="I873" s="44">
        <f t="shared" si="63"/>
        <v>28.823529411764707</v>
      </c>
      <c r="J873" s="106"/>
      <c r="K873" s="103"/>
    </row>
    <row r="874" spans="1:11" x14ac:dyDescent="0.3">
      <c r="A874" s="4" t="s">
        <v>49</v>
      </c>
      <c r="B874" s="4" t="s">
        <v>50</v>
      </c>
      <c r="C874" s="4">
        <v>4</v>
      </c>
      <c r="D874" s="56">
        <v>6.8</v>
      </c>
      <c r="E874" s="4">
        <v>7</v>
      </c>
      <c r="F874" s="4" t="s">
        <v>85</v>
      </c>
      <c r="G874" s="4" t="s">
        <v>124</v>
      </c>
      <c r="H874" s="48">
        <v>8</v>
      </c>
      <c r="I874" s="44">
        <f t="shared" si="63"/>
        <v>32.941176470588239</v>
      </c>
      <c r="J874" s="106"/>
      <c r="K874" s="103"/>
    </row>
    <row r="875" spans="1:11" x14ac:dyDescent="0.3">
      <c r="A875" s="4" t="s">
        <v>49</v>
      </c>
      <c r="B875" s="4" t="s">
        <v>50</v>
      </c>
      <c r="C875" s="4">
        <v>4</v>
      </c>
      <c r="D875" s="56">
        <v>6.8</v>
      </c>
      <c r="E875" s="4">
        <v>7</v>
      </c>
      <c r="F875" s="4" t="s">
        <v>85</v>
      </c>
      <c r="G875" s="4" t="s">
        <v>127</v>
      </c>
      <c r="H875" s="48">
        <v>8</v>
      </c>
      <c r="I875" s="44">
        <f t="shared" si="63"/>
        <v>32.941176470588239</v>
      </c>
      <c r="J875" s="106"/>
      <c r="K875" s="103"/>
    </row>
    <row r="876" spans="1:11" x14ac:dyDescent="0.3">
      <c r="A876" s="4" t="s">
        <v>49</v>
      </c>
      <c r="B876" s="4" t="s">
        <v>50</v>
      </c>
      <c r="C876" s="4">
        <v>4</v>
      </c>
      <c r="D876" s="56">
        <v>6.8</v>
      </c>
      <c r="E876" s="4">
        <v>7</v>
      </c>
      <c r="F876" s="4" t="s">
        <v>85</v>
      </c>
      <c r="G876" s="4" t="s">
        <v>130</v>
      </c>
      <c r="H876" s="48">
        <v>13</v>
      </c>
      <c r="I876" s="44">
        <f t="shared" si="63"/>
        <v>53.529411764705884</v>
      </c>
      <c r="J876" s="106"/>
      <c r="K876" s="103"/>
    </row>
    <row r="877" spans="1:11" x14ac:dyDescent="0.3">
      <c r="A877" s="4" t="s">
        <v>49</v>
      </c>
      <c r="B877" s="4" t="s">
        <v>50</v>
      </c>
      <c r="C877" s="4">
        <v>4</v>
      </c>
      <c r="D877" s="56">
        <v>6.8</v>
      </c>
      <c r="E877" s="4">
        <v>7</v>
      </c>
      <c r="F877" s="4" t="s">
        <v>85</v>
      </c>
      <c r="G877" s="4" t="s">
        <v>133</v>
      </c>
      <c r="H877" s="48">
        <v>3</v>
      </c>
      <c r="I877" s="44">
        <f t="shared" si="63"/>
        <v>12.352941176470589</v>
      </c>
      <c r="J877" s="106"/>
      <c r="K877" s="103"/>
    </row>
    <row r="878" spans="1:11" x14ac:dyDescent="0.3">
      <c r="A878" s="4" t="s">
        <v>49</v>
      </c>
      <c r="B878" s="4" t="s">
        <v>50</v>
      </c>
      <c r="C878" s="4">
        <v>5</v>
      </c>
      <c r="D878" s="56">
        <v>8.8000000000000007</v>
      </c>
      <c r="E878" s="4">
        <v>7</v>
      </c>
      <c r="F878" s="4" t="s">
        <v>92</v>
      </c>
      <c r="G878" s="4" t="s">
        <v>136</v>
      </c>
      <c r="H878" s="48">
        <v>13</v>
      </c>
      <c r="I878" s="44">
        <f t="shared" si="63"/>
        <v>51.704545454545453</v>
      </c>
      <c r="J878" s="106"/>
      <c r="K878" s="103"/>
    </row>
    <row r="879" spans="1:11" x14ac:dyDescent="0.3">
      <c r="A879" s="4" t="s">
        <v>49</v>
      </c>
      <c r="B879" s="4" t="s">
        <v>50</v>
      </c>
      <c r="C879" s="4">
        <v>5</v>
      </c>
      <c r="D879" s="56">
        <v>8.8000000000000007</v>
      </c>
      <c r="E879" s="4">
        <v>7</v>
      </c>
      <c r="F879" s="4" t="s">
        <v>92</v>
      </c>
      <c r="G879" s="4" t="s">
        <v>139</v>
      </c>
      <c r="H879" s="48">
        <v>8</v>
      </c>
      <c r="I879" s="44">
        <f t="shared" si="63"/>
        <v>31.818181818181817</v>
      </c>
      <c r="J879" s="106"/>
      <c r="K879" s="103"/>
    </row>
    <row r="880" spans="1:11" x14ac:dyDescent="0.3">
      <c r="A880" s="4" t="s">
        <v>49</v>
      </c>
      <c r="B880" s="4" t="s">
        <v>50</v>
      </c>
      <c r="C880" s="4">
        <v>5</v>
      </c>
      <c r="D880" s="56">
        <v>8.8000000000000007</v>
      </c>
      <c r="E880" s="4">
        <v>7</v>
      </c>
      <c r="F880" s="4" t="s">
        <v>92</v>
      </c>
      <c r="G880" s="4" t="s">
        <v>142</v>
      </c>
      <c r="H880" s="48">
        <v>8</v>
      </c>
      <c r="I880" s="44">
        <f t="shared" si="63"/>
        <v>31.818181818181817</v>
      </c>
      <c r="J880" s="106"/>
      <c r="K880" s="103"/>
    </row>
    <row r="881" spans="1:11" x14ac:dyDescent="0.3">
      <c r="A881" s="4" t="s">
        <v>49</v>
      </c>
      <c r="B881" s="4" t="s">
        <v>50</v>
      </c>
      <c r="C881" s="4">
        <v>5</v>
      </c>
      <c r="D881" s="56">
        <v>8.8000000000000007</v>
      </c>
      <c r="E881" s="4">
        <v>7</v>
      </c>
      <c r="F881" s="4" t="s">
        <v>92</v>
      </c>
      <c r="G881" s="4" t="s">
        <v>145</v>
      </c>
      <c r="H881" s="48">
        <v>7</v>
      </c>
      <c r="I881" s="44">
        <f t="shared" si="63"/>
        <v>27.84090909090909</v>
      </c>
      <c r="J881" s="106"/>
      <c r="K881" s="103"/>
    </row>
    <row r="882" spans="1:11" x14ac:dyDescent="0.3">
      <c r="A882" s="4" t="s">
        <v>49</v>
      </c>
      <c r="B882" s="4" t="s">
        <v>50</v>
      </c>
      <c r="C882" s="4">
        <v>5</v>
      </c>
      <c r="D882" s="56">
        <v>8.8000000000000007</v>
      </c>
      <c r="E882" s="4">
        <v>7</v>
      </c>
      <c r="F882" s="4" t="s">
        <v>92</v>
      </c>
      <c r="G882" s="4" t="s">
        <v>148</v>
      </c>
      <c r="H882" s="48">
        <v>8</v>
      </c>
      <c r="I882" s="44">
        <f t="shared" si="63"/>
        <v>31.818181818181817</v>
      </c>
      <c r="J882" s="106"/>
      <c r="K882" s="103"/>
    </row>
    <row r="883" spans="1:11" x14ac:dyDescent="0.3">
      <c r="A883" s="4" t="s">
        <v>49</v>
      </c>
      <c r="B883" s="4" t="s">
        <v>50</v>
      </c>
      <c r="C883" s="4">
        <v>5</v>
      </c>
      <c r="D883" s="56">
        <v>8.8000000000000007</v>
      </c>
      <c r="E883" s="4">
        <v>7</v>
      </c>
      <c r="F883" s="4" t="s">
        <v>92</v>
      </c>
      <c r="G883" s="4" t="s">
        <v>151</v>
      </c>
      <c r="H883" s="48">
        <v>8</v>
      </c>
      <c r="I883" s="44">
        <f t="shared" si="63"/>
        <v>31.818181818181817</v>
      </c>
      <c r="J883" s="106"/>
      <c r="K883" s="103"/>
    </row>
    <row r="884" spans="1:11" x14ac:dyDescent="0.3">
      <c r="A884" s="4" t="s">
        <v>49</v>
      </c>
      <c r="B884" s="4" t="s">
        <v>55</v>
      </c>
      <c r="C884" s="4">
        <v>5</v>
      </c>
      <c r="D884" s="4">
        <v>7</v>
      </c>
      <c r="E884" s="4">
        <v>7</v>
      </c>
      <c r="F884" s="4" t="s">
        <v>71</v>
      </c>
      <c r="G884" s="4" t="s">
        <v>70</v>
      </c>
      <c r="H884" s="48">
        <v>8</v>
      </c>
      <c r="I884" s="44">
        <f t="shared" si="63"/>
        <v>40</v>
      </c>
      <c r="J884" s="106"/>
      <c r="K884" s="103"/>
    </row>
    <row r="885" spans="1:11" x14ac:dyDescent="0.3">
      <c r="A885" s="4" t="s">
        <v>49</v>
      </c>
      <c r="B885" s="4" t="s">
        <v>55</v>
      </c>
      <c r="C885" s="4">
        <v>5</v>
      </c>
      <c r="D885" s="4">
        <v>7</v>
      </c>
      <c r="E885" s="4">
        <v>7</v>
      </c>
      <c r="F885" s="4" t="s">
        <v>71</v>
      </c>
      <c r="G885" s="4" t="s">
        <v>77</v>
      </c>
      <c r="H885" s="48">
        <v>8</v>
      </c>
      <c r="I885" s="44">
        <f t="shared" si="63"/>
        <v>40</v>
      </c>
      <c r="J885" s="106"/>
      <c r="K885" s="103"/>
    </row>
    <row r="886" spans="1:11" x14ac:dyDescent="0.3">
      <c r="A886" s="4" t="s">
        <v>49</v>
      </c>
      <c r="B886" s="4" t="s">
        <v>55</v>
      </c>
      <c r="C886" s="4">
        <v>5</v>
      </c>
      <c r="D886" s="4">
        <v>7</v>
      </c>
      <c r="E886" s="4">
        <v>7</v>
      </c>
      <c r="F886" s="4" t="s">
        <v>71</v>
      </c>
      <c r="G886" s="4" t="s">
        <v>84</v>
      </c>
      <c r="H886" s="48">
        <v>8</v>
      </c>
      <c r="I886" s="44">
        <f t="shared" si="63"/>
        <v>40</v>
      </c>
      <c r="J886" s="106"/>
      <c r="K886" s="103"/>
    </row>
    <row r="887" spans="1:11" x14ac:dyDescent="0.3">
      <c r="A887" s="4" t="s">
        <v>49</v>
      </c>
      <c r="B887" s="4" t="s">
        <v>55</v>
      </c>
      <c r="C887" s="4">
        <v>5</v>
      </c>
      <c r="D887" s="4">
        <v>7</v>
      </c>
      <c r="E887" s="4">
        <v>7</v>
      </c>
      <c r="F887" s="4" t="s">
        <v>71</v>
      </c>
      <c r="G887" s="4" t="s">
        <v>91</v>
      </c>
      <c r="H887" s="48">
        <v>6</v>
      </c>
      <c r="I887" s="44">
        <f t="shared" si="63"/>
        <v>30</v>
      </c>
      <c r="J887" s="106"/>
      <c r="K887" s="103"/>
    </row>
    <row r="888" spans="1:11" x14ac:dyDescent="0.3">
      <c r="A888" s="4" t="s">
        <v>49</v>
      </c>
      <c r="B888" s="4" t="s">
        <v>55</v>
      </c>
      <c r="C888" s="4">
        <v>5</v>
      </c>
      <c r="D888" s="4">
        <v>7</v>
      </c>
      <c r="E888" s="4">
        <v>7</v>
      </c>
      <c r="F888" s="4" t="s">
        <v>71</v>
      </c>
      <c r="G888" s="4" t="s">
        <v>97</v>
      </c>
      <c r="H888" s="48">
        <v>8</v>
      </c>
      <c r="I888" s="44">
        <f t="shared" si="63"/>
        <v>40</v>
      </c>
      <c r="J888" s="106"/>
      <c r="K888" s="103"/>
    </row>
    <row r="889" spans="1:11" x14ac:dyDescent="0.3">
      <c r="A889" s="4" t="s">
        <v>49</v>
      </c>
      <c r="B889" s="4" t="s">
        <v>55</v>
      </c>
      <c r="C889" s="4">
        <v>5</v>
      </c>
      <c r="D889" s="4">
        <v>7</v>
      </c>
      <c r="E889" s="4">
        <v>7</v>
      </c>
      <c r="F889" s="4" t="s">
        <v>71</v>
      </c>
      <c r="G889" s="4" t="s">
        <v>100</v>
      </c>
      <c r="H889" s="48">
        <v>3</v>
      </c>
      <c r="I889" s="44">
        <f t="shared" si="63"/>
        <v>15</v>
      </c>
      <c r="J889" s="106"/>
      <c r="K889" s="103"/>
    </row>
    <row r="890" spans="1:11" x14ac:dyDescent="0.3">
      <c r="A890" s="4" t="s">
        <v>49</v>
      </c>
      <c r="B890" s="4" t="s">
        <v>55</v>
      </c>
      <c r="C890" s="4">
        <v>5</v>
      </c>
      <c r="D890" s="56">
        <v>7</v>
      </c>
      <c r="E890" s="4">
        <v>7</v>
      </c>
      <c r="F890" s="4" t="s">
        <v>78</v>
      </c>
      <c r="G890" s="4" t="s">
        <v>103</v>
      </c>
      <c r="H890" s="48">
        <v>6</v>
      </c>
      <c r="I890" s="44">
        <f t="shared" si="63"/>
        <v>30</v>
      </c>
      <c r="J890" s="106"/>
      <c r="K890" s="103"/>
    </row>
    <row r="891" spans="1:11" x14ac:dyDescent="0.3">
      <c r="A891" s="4" t="s">
        <v>49</v>
      </c>
      <c r="B891" s="4" t="s">
        <v>55</v>
      </c>
      <c r="C891" s="4">
        <v>5</v>
      </c>
      <c r="D891" s="56">
        <v>7</v>
      </c>
      <c r="E891" s="4">
        <v>7</v>
      </c>
      <c r="F891" s="4" t="s">
        <v>78</v>
      </c>
      <c r="G891" s="4" t="s">
        <v>106</v>
      </c>
      <c r="H891" s="48">
        <v>7</v>
      </c>
      <c r="I891" s="44">
        <f t="shared" si="63"/>
        <v>35</v>
      </c>
      <c r="J891" s="106"/>
      <c r="K891" s="103"/>
    </row>
    <row r="892" spans="1:11" x14ac:dyDescent="0.3">
      <c r="A892" s="4" t="s">
        <v>49</v>
      </c>
      <c r="B892" s="4" t="s">
        <v>55</v>
      </c>
      <c r="C892" s="4">
        <v>5</v>
      </c>
      <c r="D892" s="56">
        <v>7</v>
      </c>
      <c r="E892" s="4">
        <v>7</v>
      </c>
      <c r="F892" s="4" t="s">
        <v>78</v>
      </c>
      <c r="G892" s="4" t="s">
        <v>109</v>
      </c>
      <c r="H892" s="48">
        <v>8</v>
      </c>
      <c r="I892" s="44">
        <f t="shared" si="63"/>
        <v>40</v>
      </c>
      <c r="J892" s="106"/>
      <c r="K892" s="103"/>
    </row>
    <row r="893" spans="1:11" x14ac:dyDescent="0.3">
      <c r="A893" s="4" t="s">
        <v>49</v>
      </c>
      <c r="B893" s="4" t="s">
        <v>55</v>
      </c>
      <c r="C893" s="4">
        <v>5</v>
      </c>
      <c r="D893" s="56">
        <v>7</v>
      </c>
      <c r="E893" s="4">
        <v>7</v>
      </c>
      <c r="F893" s="4" t="s">
        <v>78</v>
      </c>
      <c r="G893" s="4" t="s">
        <v>112</v>
      </c>
      <c r="H893" s="48">
        <v>8</v>
      </c>
      <c r="I893" s="44">
        <f t="shared" si="63"/>
        <v>40</v>
      </c>
      <c r="J893" s="106"/>
      <c r="K893" s="103"/>
    </row>
    <row r="894" spans="1:11" x14ac:dyDescent="0.3">
      <c r="A894" s="4" t="s">
        <v>49</v>
      </c>
      <c r="B894" s="4" t="s">
        <v>55</v>
      </c>
      <c r="C894" s="4">
        <v>5</v>
      </c>
      <c r="D894" s="56">
        <v>7</v>
      </c>
      <c r="E894" s="4">
        <v>7</v>
      </c>
      <c r="F894" s="4" t="s">
        <v>78</v>
      </c>
      <c r="G894" s="4" t="s">
        <v>115</v>
      </c>
      <c r="H894" s="48">
        <v>7</v>
      </c>
      <c r="I894" s="44">
        <f t="shared" si="63"/>
        <v>35</v>
      </c>
      <c r="J894" s="106"/>
      <c r="K894" s="103"/>
    </row>
    <row r="895" spans="1:11" x14ac:dyDescent="0.3">
      <c r="A895" s="4" t="s">
        <v>49</v>
      </c>
      <c r="B895" s="4" t="s">
        <v>55</v>
      </c>
      <c r="C895" s="4">
        <v>5</v>
      </c>
      <c r="D895" s="56">
        <v>7</v>
      </c>
      <c r="E895" s="4">
        <v>7</v>
      </c>
      <c r="F895" s="4" t="s">
        <v>78</v>
      </c>
      <c r="G895" s="4" t="s">
        <v>118</v>
      </c>
      <c r="H895" s="48">
        <v>3</v>
      </c>
      <c r="I895" s="44">
        <f t="shared" si="63"/>
        <v>15</v>
      </c>
      <c r="J895" s="106"/>
      <c r="K895" s="103"/>
    </row>
    <row r="896" spans="1:11" x14ac:dyDescent="0.3">
      <c r="A896" s="4" t="s">
        <v>49</v>
      </c>
      <c r="B896" s="4" t="s">
        <v>55</v>
      </c>
      <c r="C896" s="4">
        <v>5</v>
      </c>
      <c r="D896" s="56">
        <v>7.8</v>
      </c>
      <c r="E896" s="4">
        <v>7</v>
      </c>
      <c r="F896" s="4" t="s">
        <v>85</v>
      </c>
      <c r="G896" s="4" t="s">
        <v>121</v>
      </c>
      <c r="H896" s="48">
        <v>7</v>
      </c>
      <c r="I896" s="44">
        <f t="shared" si="63"/>
        <v>31.410256410256412</v>
      </c>
      <c r="J896" s="106"/>
      <c r="K896" s="103"/>
    </row>
    <row r="897" spans="1:11" x14ac:dyDescent="0.3">
      <c r="A897" s="4" t="s">
        <v>49</v>
      </c>
      <c r="B897" s="4" t="s">
        <v>55</v>
      </c>
      <c r="C897" s="4">
        <v>5</v>
      </c>
      <c r="D897" s="56">
        <v>7.8</v>
      </c>
      <c r="E897" s="4">
        <v>7</v>
      </c>
      <c r="F897" s="4" t="s">
        <v>85</v>
      </c>
      <c r="G897" s="4" t="s">
        <v>124</v>
      </c>
      <c r="H897" s="48">
        <v>8</v>
      </c>
      <c r="I897" s="44">
        <f t="shared" si="63"/>
        <v>35.897435897435898</v>
      </c>
      <c r="J897" s="106"/>
      <c r="K897" s="103"/>
    </row>
    <row r="898" spans="1:11" x14ac:dyDescent="0.3">
      <c r="A898" s="4" t="s">
        <v>49</v>
      </c>
      <c r="B898" s="4" t="s">
        <v>55</v>
      </c>
      <c r="C898" s="4">
        <v>5</v>
      </c>
      <c r="D898" s="56">
        <v>7.8</v>
      </c>
      <c r="E898" s="4">
        <v>7</v>
      </c>
      <c r="F898" s="4" t="s">
        <v>85</v>
      </c>
      <c r="G898" s="4" t="s">
        <v>127</v>
      </c>
      <c r="H898" s="48">
        <v>8</v>
      </c>
      <c r="I898" s="44">
        <f t="shared" si="63"/>
        <v>35.897435897435898</v>
      </c>
      <c r="J898" s="106"/>
      <c r="K898" s="103"/>
    </row>
    <row r="899" spans="1:11" x14ac:dyDescent="0.3">
      <c r="A899" s="4" t="s">
        <v>49</v>
      </c>
      <c r="B899" s="4" t="s">
        <v>55</v>
      </c>
      <c r="C899" s="4">
        <v>5</v>
      </c>
      <c r="D899" s="56">
        <v>7.8</v>
      </c>
      <c r="E899" s="4">
        <v>7</v>
      </c>
      <c r="F899" s="4" t="s">
        <v>85</v>
      </c>
      <c r="G899" s="4" t="s">
        <v>130</v>
      </c>
      <c r="H899" s="48">
        <v>13</v>
      </c>
      <c r="I899" s="44">
        <f>IF(D899&gt;0,(((H899*E899)*C899)/D899),"")</f>
        <v>58.333333333333336</v>
      </c>
      <c r="J899" s="106"/>
      <c r="K899" s="103"/>
    </row>
    <row r="900" spans="1:11" x14ac:dyDescent="0.3">
      <c r="A900" s="4" t="s">
        <v>49</v>
      </c>
      <c r="B900" s="4" t="s">
        <v>55</v>
      </c>
      <c r="C900" s="4">
        <v>5</v>
      </c>
      <c r="D900" s="56">
        <v>7.8</v>
      </c>
      <c r="E900" s="4">
        <v>7</v>
      </c>
      <c r="F900" s="4" t="s">
        <v>85</v>
      </c>
      <c r="G900" s="4" t="s">
        <v>133</v>
      </c>
      <c r="H900" s="48">
        <v>3</v>
      </c>
      <c r="I900" s="44">
        <f t="shared" si="63"/>
        <v>13.461538461538462</v>
      </c>
      <c r="J900" s="106"/>
      <c r="K900" s="103"/>
    </row>
    <row r="901" spans="1:11" x14ac:dyDescent="0.3">
      <c r="A901" s="4" t="s">
        <v>49</v>
      </c>
      <c r="B901" s="4" t="s">
        <v>55</v>
      </c>
      <c r="C901" s="4">
        <v>5</v>
      </c>
      <c r="D901" s="56">
        <v>5.9</v>
      </c>
      <c r="E901" s="4">
        <v>7</v>
      </c>
      <c r="F901" s="4" t="s">
        <v>92</v>
      </c>
      <c r="G901" s="4" t="s">
        <v>136</v>
      </c>
      <c r="H901" s="48">
        <v>13</v>
      </c>
      <c r="I901" s="44">
        <f t="shared" si="63"/>
        <v>77.118644067796609</v>
      </c>
      <c r="J901" s="106"/>
      <c r="K901" s="103"/>
    </row>
    <row r="902" spans="1:11" x14ac:dyDescent="0.3">
      <c r="A902" s="4" t="s">
        <v>49</v>
      </c>
      <c r="B902" s="4" t="s">
        <v>55</v>
      </c>
      <c r="C902" s="4">
        <v>5</v>
      </c>
      <c r="D902" s="56">
        <v>5.9</v>
      </c>
      <c r="E902" s="4">
        <v>7</v>
      </c>
      <c r="F902" s="4" t="s">
        <v>92</v>
      </c>
      <c r="G902" s="4" t="s">
        <v>139</v>
      </c>
      <c r="H902" s="48">
        <v>8</v>
      </c>
      <c r="I902" s="44">
        <f t="shared" si="63"/>
        <v>47.457627118644062</v>
      </c>
      <c r="J902" s="106"/>
      <c r="K902" s="103"/>
    </row>
    <row r="903" spans="1:11" x14ac:dyDescent="0.3">
      <c r="A903" s="4" t="s">
        <v>49</v>
      </c>
      <c r="B903" s="4" t="s">
        <v>55</v>
      </c>
      <c r="C903" s="4">
        <v>5</v>
      </c>
      <c r="D903" s="56">
        <v>5.9</v>
      </c>
      <c r="E903" s="4">
        <v>7</v>
      </c>
      <c r="F903" s="4" t="s">
        <v>92</v>
      </c>
      <c r="G903" s="4" t="s">
        <v>142</v>
      </c>
      <c r="H903" s="48">
        <v>8</v>
      </c>
      <c r="I903" s="44">
        <f t="shared" si="63"/>
        <v>47.457627118644062</v>
      </c>
      <c r="J903" s="106"/>
      <c r="K903" s="103"/>
    </row>
    <row r="904" spans="1:11" x14ac:dyDescent="0.3">
      <c r="A904" s="4" t="s">
        <v>49</v>
      </c>
      <c r="B904" s="4" t="s">
        <v>55</v>
      </c>
      <c r="C904" s="4">
        <v>5</v>
      </c>
      <c r="D904" s="56">
        <v>5.9</v>
      </c>
      <c r="E904" s="4">
        <v>7</v>
      </c>
      <c r="F904" s="4" t="s">
        <v>92</v>
      </c>
      <c r="G904" s="4" t="s">
        <v>145</v>
      </c>
      <c r="H904" s="48">
        <v>7</v>
      </c>
      <c r="I904" s="44">
        <f t="shared" si="63"/>
        <v>41.525423728813557</v>
      </c>
      <c r="J904" s="106"/>
      <c r="K904" s="103"/>
    </row>
    <row r="905" spans="1:11" x14ac:dyDescent="0.3">
      <c r="A905" s="4" t="s">
        <v>49</v>
      </c>
      <c r="B905" s="4" t="s">
        <v>55</v>
      </c>
      <c r="C905" s="4">
        <v>5</v>
      </c>
      <c r="D905" s="56">
        <v>5.9</v>
      </c>
      <c r="E905" s="4">
        <v>7</v>
      </c>
      <c r="F905" s="4" t="s">
        <v>92</v>
      </c>
      <c r="G905" s="4" t="s">
        <v>148</v>
      </c>
      <c r="H905" s="48">
        <v>8</v>
      </c>
      <c r="I905" s="44">
        <f t="shared" si="63"/>
        <v>47.457627118644062</v>
      </c>
      <c r="J905" s="106"/>
      <c r="K905" s="103"/>
    </row>
    <row r="906" spans="1:11" x14ac:dyDescent="0.3">
      <c r="A906" s="4" t="s">
        <v>49</v>
      </c>
      <c r="B906" s="4" t="s">
        <v>55</v>
      </c>
      <c r="C906" s="4">
        <v>5</v>
      </c>
      <c r="D906" s="56">
        <v>5.9</v>
      </c>
      <c r="E906" s="4">
        <v>7</v>
      </c>
      <c r="F906" s="4" t="s">
        <v>92</v>
      </c>
      <c r="G906" s="4" t="s">
        <v>151</v>
      </c>
      <c r="H906" s="48">
        <v>8</v>
      </c>
      <c r="I906" s="44">
        <f t="shared" si="63"/>
        <v>47.457627118644062</v>
      </c>
      <c r="J906" s="106"/>
      <c r="K906" s="103"/>
    </row>
    <row r="907" spans="1:11" x14ac:dyDescent="0.3">
      <c r="A907" s="4" t="s">
        <v>49</v>
      </c>
      <c r="B907" s="4" t="s">
        <v>54</v>
      </c>
      <c r="C907" s="4">
        <v>3</v>
      </c>
      <c r="D907" s="4">
        <v>8</v>
      </c>
      <c r="E907" s="4">
        <v>7</v>
      </c>
      <c r="F907" s="4" t="s">
        <v>71</v>
      </c>
      <c r="G907" s="4" t="s">
        <v>70</v>
      </c>
      <c r="H907" s="48">
        <v>8</v>
      </c>
      <c r="I907" s="44">
        <f t="shared" si="63"/>
        <v>21</v>
      </c>
      <c r="J907" s="106"/>
      <c r="K907" s="103"/>
    </row>
    <row r="908" spans="1:11" x14ac:dyDescent="0.3">
      <c r="A908" s="4" t="s">
        <v>49</v>
      </c>
      <c r="B908" s="4" t="s">
        <v>54</v>
      </c>
      <c r="C908" s="4">
        <v>3</v>
      </c>
      <c r="D908" s="4">
        <v>8</v>
      </c>
      <c r="E908" s="4">
        <v>7</v>
      </c>
      <c r="F908" s="4" t="s">
        <v>71</v>
      </c>
      <c r="G908" s="4" t="s">
        <v>77</v>
      </c>
      <c r="H908" s="48">
        <v>8</v>
      </c>
      <c r="I908" s="44">
        <f t="shared" si="63"/>
        <v>21</v>
      </c>
      <c r="J908" s="106"/>
      <c r="K908" s="103"/>
    </row>
    <row r="909" spans="1:11" x14ac:dyDescent="0.3">
      <c r="A909" s="4" t="s">
        <v>49</v>
      </c>
      <c r="B909" s="4" t="s">
        <v>54</v>
      </c>
      <c r="C909" s="4">
        <v>4</v>
      </c>
      <c r="D909" s="4">
        <v>8</v>
      </c>
      <c r="E909" s="4">
        <v>7</v>
      </c>
      <c r="F909" s="4" t="s">
        <v>71</v>
      </c>
      <c r="G909" s="4" t="s">
        <v>84</v>
      </c>
      <c r="H909" s="48">
        <v>8</v>
      </c>
      <c r="I909" s="44">
        <f t="shared" si="63"/>
        <v>28</v>
      </c>
      <c r="J909" s="106"/>
      <c r="K909" s="103"/>
    </row>
    <row r="910" spans="1:11" x14ac:dyDescent="0.3">
      <c r="A910" s="4" t="s">
        <v>49</v>
      </c>
      <c r="B910" s="4" t="s">
        <v>54</v>
      </c>
      <c r="C910" s="4">
        <v>3</v>
      </c>
      <c r="D910" s="4">
        <v>8</v>
      </c>
      <c r="E910" s="4">
        <v>7</v>
      </c>
      <c r="F910" s="4" t="s">
        <v>71</v>
      </c>
      <c r="G910" s="4" t="s">
        <v>91</v>
      </c>
      <c r="H910" s="48">
        <v>6</v>
      </c>
      <c r="I910" s="44">
        <f t="shared" si="63"/>
        <v>15.75</v>
      </c>
      <c r="J910" s="106"/>
      <c r="K910" s="103"/>
    </row>
    <row r="911" spans="1:11" x14ac:dyDescent="0.3">
      <c r="A911" s="4" t="s">
        <v>49</v>
      </c>
      <c r="B911" s="4" t="s">
        <v>54</v>
      </c>
      <c r="C911" s="4">
        <v>3</v>
      </c>
      <c r="D911" s="4">
        <v>8</v>
      </c>
      <c r="E911" s="4">
        <v>7</v>
      </c>
      <c r="F911" s="4" t="s">
        <v>71</v>
      </c>
      <c r="G911" s="4" t="s">
        <v>97</v>
      </c>
      <c r="H911" s="48">
        <v>8</v>
      </c>
      <c r="I911" s="44">
        <f t="shared" si="63"/>
        <v>21</v>
      </c>
      <c r="J911" s="106"/>
      <c r="K911" s="103"/>
    </row>
    <row r="912" spans="1:11" x14ac:dyDescent="0.3">
      <c r="A912" s="4" t="s">
        <v>49</v>
      </c>
      <c r="B912" s="4" t="s">
        <v>54</v>
      </c>
      <c r="C912" s="4">
        <v>3</v>
      </c>
      <c r="D912" s="4">
        <v>8</v>
      </c>
      <c r="E912" s="4">
        <v>7</v>
      </c>
      <c r="F912" s="4" t="s">
        <v>71</v>
      </c>
      <c r="G912" s="4" t="s">
        <v>100</v>
      </c>
      <c r="H912" s="48">
        <v>3</v>
      </c>
      <c r="I912" s="44">
        <f t="shared" si="63"/>
        <v>7.875</v>
      </c>
      <c r="J912" s="106"/>
      <c r="K912" s="103"/>
    </row>
    <row r="913" spans="1:11" x14ac:dyDescent="0.3">
      <c r="A913" s="4" t="s">
        <v>49</v>
      </c>
      <c r="B913" s="4" t="s">
        <v>54</v>
      </c>
      <c r="C913" s="4">
        <v>4</v>
      </c>
      <c r="D913" s="56">
        <v>7</v>
      </c>
      <c r="E913" s="4">
        <v>7</v>
      </c>
      <c r="F913" s="4" t="s">
        <v>78</v>
      </c>
      <c r="G913" s="4" t="s">
        <v>103</v>
      </c>
      <c r="H913" s="48">
        <v>6</v>
      </c>
      <c r="I913" s="44">
        <f t="shared" si="63"/>
        <v>24</v>
      </c>
      <c r="J913" s="106"/>
      <c r="K913" s="103"/>
    </row>
    <row r="914" spans="1:11" x14ac:dyDescent="0.3">
      <c r="A914" s="4" t="s">
        <v>49</v>
      </c>
      <c r="B914" s="4" t="s">
        <v>54</v>
      </c>
      <c r="C914" s="4">
        <v>4</v>
      </c>
      <c r="D914" s="56">
        <v>7</v>
      </c>
      <c r="E914" s="4">
        <v>7</v>
      </c>
      <c r="F914" s="4" t="s">
        <v>78</v>
      </c>
      <c r="G914" s="4" t="s">
        <v>106</v>
      </c>
      <c r="H914" s="48">
        <v>7</v>
      </c>
      <c r="I914" s="44">
        <f t="shared" si="63"/>
        <v>28</v>
      </c>
      <c r="J914" s="106"/>
      <c r="K914" s="103"/>
    </row>
    <row r="915" spans="1:11" x14ac:dyDescent="0.3">
      <c r="A915" s="4" t="s">
        <v>49</v>
      </c>
      <c r="B915" s="4" t="s">
        <v>54</v>
      </c>
      <c r="C915" s="4">
        <v>4</v>
      </c>
      <c r="D915" s="56">
        <v>7</v>
      </c>
      <c r="E915" s="4">
        <v>7</v>
      </c>
      <c r="F915" s="4" t="s">
        <v>78</v>
      </c>
      <c r="G915" s="4" t="s">
        <v>109</v>
      </c>
      <c r="H915" s="48">
        <v>8</v>
      </c>
      <c r="I915" s="44">
        <f t="shared" si="63"/>
        <v>32</v>
      </c>
      <c r="J915" s="106"/>
      <c r="K915" s="103"/>
    </row>
    <row r="916" spans="1:11" x14ac:dyDescent="0.3">
      <c r="A916" s="4" t="s">
        <v>49</v>
      </c>
      <c r="B916" s="4" t="s">
        <v>54</v>
      </c>
      <c r="C916" s="4">
        <v>4</v>
      </c>
      <c r="D916" s="56">
        <v>7</v>
      </c>
      <c r="E916" s="4">
        <v>7</v>
      </c>
      <c r="F916" s="4" t="s">
        <v>78</v>
      </c>
      <c r="G916" s="4" t="s">
        <v>112</v>
      </c>
      <c r="H916" s="48">
        <v>8</v>
      </c>
      <c r="I916" s="44">
        <f t="shared" si="63"/>
        <v>32</v>
      </c>
      <c r="J916" s="106"/>
      <c r="K916" s="103"/>
    </row>
    <row r="917" spans="1:11" x14ac:dyDescent="0.3">
      <c r="A917" s="4" t="s">
        <v>49</v>
      </c>
      <c r="B917" s="4" t="s">
        <v>54</v>
      </c>
      <c r="C917" s="4">
        <v>4</v>
      </c>
      <c r="D917" s="56">
        <v>7</v>
      </c>
      <c r="E917" s="4">
        <v>7</v>
      </c>
      <c r="F917" s="4" t="s">
        <v>78</v>
      </c>
      <c r="G917" s="4" t="s">
        <v>115</v>
      </c>
      <c r="H917" s="48">
        <v>7</v>
      </c>
      <c r="I917" s="44">
        <f t="shared" si="63"/>
        <v>28</v>
      </c>
      <c r="J917" s="106"/>
      <c r="K917" s="103"/>
    </row>
    <row r="918" spans="1:11" x14ac:dyDescent="0.3">
      <c r="A918" s="4" t="s">
        <v>49</v>
      </c>
      <c r="B918" s="4" t="s">
        <v>54</v>
      </c>
      <c r="C918" s="4">
        <v>4</v>
      </c>
      <c r="D918" s="56">
        <v>7</v>
      </c>
      <c r="E918" s="4">
        <v>7</v>
      </c>
      <c r="F918" s="4" t="s">
        <v>78</v>
      </c>
      <c r="G918" s="4" t="s">
        <v>118</v>
      </c>
      <c r="H918" s="48">
        <v>3</v>
      </c>
      <c r="I918" s="44">
        <f t="shared" si="63"/>
        <v>12</v>
      </c>
      <c r="J918" s="106"/>
      <c r="K918" s="103"/>
    </row>
    <row r="919" spans="1:11" x14ac:dyDescent="0.3">
      <c r="A919" s="4" t="s">
        <v>49</v>
      </c>
      <c r="B919" s="4" t="s">
        <v>54</v>
      </c>
      <c r="C919" s="4">
        <v>5</v>
      </c>
      <c r="D919" s="56">
        <v>10.8</v>
      </c>
      <c r="E919" s="4">
        <v>7</v>
      </c>
      <c r="F919" s="4" t="s">
        <v>85</v>
      </c>
      <c r="G919" s="4" t="s">
        <v>121</v>
      </c>
      <c r="H919" s="48">
        <v>7</v>
      </c>
      <c r="I919" s="44">
        <f t="shared" si="63"/>
        <v>22.685185185185183</v>
      </c>
      <c r="J919" s="106"/>
      <c r="K919" s="103"/>
    </row>
    <row r="920" spans="1:11" x14ac:dyDescent="0.3">
      <c r="A920" s="4" t="s">
        <v>49</v>
      </c>
      <c r="B920" s="4" t="s">
        <v>54</v>
      </c>
      <c r="C920" s="4">
        <v>5</v>
      </c>
      <c r="D920" s="56">
        <v>10.8</v>
      </c>
      <c r="E920" s="4">
        <v>7</v>
      </c>
      <c r="F920" s="4" t="s">
        <v>85</v>
      </c>
      <c r="G920" s="4" t="s">
        <v>124</v>
      </c>
      <c r="H920" s="48">
        <v>8</v>
      </c>
      <c r="I920" s="44">
        <f t="shared" si="63"/>
        <v>25.925925925925924</v>
      </c>
      <c r="J920" s="106"/>
      <c r="K920" s="103"/>
    </row>
    <row r="921" spans="1:11" x14ac:dyDescent="0.3">
      <c r="A921" s="4" t="s">
        <v>49</v>
      </c>
      <c r="B921" s="4" t="s">
        <v>54</v>
      </c>
      <c r="C921" s="4">
        <v>5</v>
      </c>
      <c r="D921" s="56">
        <v>10.8</v>
      </c>
      <c r="E921" s="4">
        <v>7</v>
      </c>
      <c r="F921" s="4" t="s">
        <v>85</v>
      </c>
      <c r="G921" s="4" t="s">
        <v>127</v>
      </c>
      <c r="H921" s="48">
        <v>8</v>
      </c>
      <c r="I921" s="44">
        <f t="shared" si="63"/>
        <v>25.925925925925924</v>
      </c>
      <c r="J921" s="106"/>
      <c r="K921" s="103"/>
    </row>
    <row r="922" spans="1:11" x14ac:dyDescent="0.3">
      <c r="A922" s="4" t="s">
        <v>49</v>
      </c>
      <c r="B922" s="4" t="s">
        <v>54</v>
      </c>
      <c r="C922" s="4">
        <v>5</v>
      </c>
      <c r="D922" s="56">
        <v>10.8</v>
      </c>
      <c r="E922" s="4">
        <v>7</v>
      </c>
      <c r="F922" s="4" t="s">
        <v>85</v>
      </c>
      <c r="G922" s="4" t="s">
        <v>130</v>
      </c>
      <c r="H922" s="48">
        <v>13</v>
      </c>
      <c r="I922" s="44">
        <f t="shared" si="63"/>
        <v>42.129629629629626</v>
      </c>
      <c r="J922" s="106"/>
      <c r="K922" s="103"/>
    </row>
    <row r="923" spans="1:11" x14ac:dyDescent="0.3">
      <c r="A923" s="4" t="s">
        <v>49</v>
      </c>
      <c r="B923" s="4" t="s">
        <v>54</v>
      </c>
      <c r="C923" s="4">
        <v>5</v>
      </c>
      <c r="D923" s="56">
        <v>10.8</v>
      </c>
      <c r="E923" s="4">
        <v>7</v>
      </c>
      <c r="F923" s="4" t="s">
        <v>85</v>
      </c>
      <c r="G923" s="4" t="s">
        <v>133</v>
      </c>
      <c r="H923" s="48">
        <v>3</v>
      </c>
      <c r="I923" s="44">
        <f t="shared" si="63"/>
        <v>9.7222222222222214</v>
      </c>
      <c r="J923" s="106"/>
      <c r="K923" s="103"/>
    </row>
    <row r="924" spans="1:11" x14ac:dyDescent="0.3">
      <c r="A924" s="4" t="s">
        <v>49</v>
      </c>
      <c r="B924" s="4" t="s">
        <v>54</v>
      </c>
      <c r="C924" s="4">
        <v>5</v>
      </c>
      <c r="D924" s="56">
        <v>8.1</v>
      </c>
      <c r="E924" s="4">
        <v>7</v>
      </c>
      <c r="F924" s="4" t="s">
        <v>92</v>
      </c>
      <c r="G924" s="4" t="s">
        <v>136</v>
      </c>
      <c r="H924" s="48">
        <v>13</v>
      </c>
      <c r="I924" s="44">
        <f t="shared" si="63"/>
        <v>56.172839506172842</v>
      </c>
      <c r="J924" s="106"/>
      <c r="K924" s="103"/>
    </row>
    <row r="925" spans="1:11" x14ac:dyDescent="0.3">
      <c r="A925" s="4" t="s">
        <v>49</v>
      </c>
      <c r="B925" s="4" t="s">
        <v>54</v>
      </c>
      <c r="C925" s="4">
        <v>5</v>
      </c>
      <c r="D925" s="56">
        <v>8.1</v>
      </c>
      <c r="E925" s="4">
        <v>7</v>
      </c>
      <c r="F925" s="4" t="s">
        <v>92</v>
      </c>
      <c r="G925" s="4" t="s">
        <v>139</v>
      </c>
      <c r="H925" s="48">
        <v>8</v>
      </c>
      <c r="I925" s="44">
        <f t="shared" si="63"/>
        <v>34.567901234567906</v>
      </c>
      <c r="J925" s="106"/>
      <c r="K925" s="103"/>
    </row>
    <row r="926" spans="1:11" x14ac:dyDescent="0.3">
      <c r="A926" s="4" t="s">
        <v>49</v>
      </c>
      <c r="B926" s="4" t="s">
        <v>54</v>
      </c>
      <c r="C926" s="4">
        <v>5</v>
      </c>
      <c r="D926" s="56">
        <v>8.1</v>
      </c>
      <c r="E926" s="4">
        <v>7</v>
      </c>
      <c r="F926" s="4" t="s">
        <v>92</v>
      </c>
      <c r="G926" s="4" t="s">
        <v>142</v>
      </c>
      <c r="H926" s="48">
        <v>8</v>
      </c>
      <c r="I926" s="44">
        <f t="shared" ref="I926:I975" si="64">IF(D926&gt;0,(((H926*E926)*C926)/D926),"")</f>
        <v>34.567901234567906</v>
      </c>
      <c r="J926" s="106"/>
      <c r="K926" s="103"/>
    </row>
    <row r="927" spans="1:11" x14ac:dyDescent="0.3">
      <c r="A927" s="4" t="s">
        <v>49</v>
      </c>
      <c r="B927" s="4" t="s">
        <v>54</v>
      </c>
      <c r="C927" s="4">
        <v>5</v>
      </c>
      <c r="D927" s="56">
        <v>8.1</v>
      </c>
      <c r="E927" s="4">
        <v>7</v>
      </c>
      <c r="F927" s="4" t="s">
        <v>92</v>
      </c>
      <c r="G927" s="4" t="s">
        <v>145</v>
      </c>
      <c r="H927" s="48">
        <v>7</v>
      </c>
      <c r="I927" s="44">
        <f t="shared" si="64"/>
        <v>30.246913580246915</v>
      </c>
      <c r="J927" s="106"/>
      <c r="K927" s="103"/>
    </row>
    <row r="928" spans="1:11" x14ac:dyDescent="0.3">
      <c r="A928" s="4" t="s">
        <v>49</v>
      </c>
      <c r="B928" s="4" t="s">
        <v>54</v>
      </c>
      <c r="C928" s="4">
        <v>5</v>
      </c>
      <c r="D928" s="56">
        <v>8.1</v>
      </c>
      <c r="E928" s="4">
        <v>7</v>
      </c>
      <c r="F928" s="4" t="s">
        <v>92</v>
      </c>
      <c r="G928" s="4" t="s">
        <v>148</v>
      </c>
      <c r="H928" s="48">
        <v>8</v>
      </c>
      <c r="I928" s="44">
        <f t="shared" si="64"/>
        <v>34.567901234567906</v>
      </c>
      <c r="J928" s="106"/>
      <c r="K928" s="103"/>
    </row>
    <row r="929" spans="1:11" x14ac:dyDescent="0.3">
      <c r="A929" s="4" t="s">
        <v>49</v>
      </c>
      <c r="B929" s="4" t="s">
        <v>54</v>
      </c>
      <c r="C929" s="4">
        <v>5</v>
      </c>
      <c r="D929" s="56">
        <v>8.1</v>
      </c>
      <c r="E929" s="4">
        <v>7</v>
      </c>
      <c r="F929" s="4" t="s">
        <v>92</v>
      </c>
      <c r="G929" s="4" t="s">
        <v>151</v>
      </c>
      <c r="H929" s="48">
        <v>8</v>
      </c>
      <c r="I929" s="44">
        <f t="shared" si="64"/>
        <v>34.567901234567906</v>
      </c>
      <c r="J929" s="106"/>
      <c r="K929" s="103"/>
    </row>
    <row r="930" spans="1:11" x14ac:dyDescent="0.3">
      <c r="A930" s="4" t="s">
        <v>49</v>
      </c>
      <c r="B930" s="4" t="s">
        <v>51</v>
      </c>
      <c r="C930" s="4">
        <v>2</v>
      </c>
      <c r="D930" s="4">
        <v>8</v>
      </c>
      <c r="E930" s="4">
        <v>7</v>
      </c>
      <c r="F930" s="4" t="s">
        <v>71</v>
      </c>
      <c r="G930" s="4" t="s">
        <v>70</v>
      </c>
      <c r="H930" s="48">
        <v>8</v>
      </c>
      <c r="I930" s="44">
        <f t="shared" si="64"/>
        <v>14</v>
      </c>
      <c r="J930" s="106"/>
      <c r="K930" s="103"/>
    </row>
    <row r="931" spans="1:11" x14ac:dyDescent="0.3">
      <c r="A931" s="4" t="s">
        <v>49</v>
      </c>
      <c r="B931" s="4" t="s">
        <v>51</v>
      </c>
      <c r="C931" s="4">
        <v>2</v>
      </c>
      <c r="D931" s="4">
        <v>8</v>
      </c>
      <c r="E931" s="4">
        <v>7</v>
      </c>
      <c r="F931" s="4" t="s">
        <v>71</v>
      </c>
      <c r="G931" s="4" t="s">
        <v>77</v>
      </c>
      <c r="H931" s="48">
        <v>8</v>
      </c>
      <c r="I931" s="44">
        <f t="shared" si="64"/>
        <v>14</v>
      </c>
      <c r="J931" s="106"/>
      <c r="K931" s="103"/>
    </row>
    <row r="932" spans="1:11" x14ac:dyDescent="0.3">
      <c r="A932" s="4" t="s">
        <v>49</v>
      </c>
      <c r="B932" s="4" t="s">
        <v>51</v>
      </c>
      <c r="C932" s="88">
        <v>2</v>
      </c>
      <c r="D932" s="4">
        <v>8</v>
      </c>
      <c r="E932" s="4">
        <v>7</v>
      </c>
      <c r="F932" s="4" t="s">
        <v>71</v>
      </c>
      <c r="G932" s="4" t="s">
        <v>84</v>
      </c>
      <c r="H932" s="48">
        <v>8</v>
      </c>
      <c r="I932" s="44">
        <f t="shared" si="64"/>
        <v>14</v>
      </c>
      <c r="J932" s="106"/>
      <c r="K932" s="103"/>
    </row>
    <row r="933" spans="1:11" x14ac:dyDescent="0.3">
      <c r="A933" s="4" t="s">
        <v>49</v>
      </c>
      <c r="B933" s="4" t="s">
        <v>51</v>
      </c>
      <c r="C933" s="4">
        <v>2</v>
      </c>
      <c r="D933" s="4">
        <v>8</v>
      </c>
      <c r="E933" s="4">
        <v>7</v>
      </c>
      <c r="F933" s="4" t="s">
        <v>71</v>
      </c>
      <c r="G933" s="4" t="s">
        <v>91</v>
      </c>
      <c r="H933" s="48">
        <v>6</v>
      </c>
      <c r="I933" s="44">
        <f t="shared" si="64"/>
        <v>10.5</v>
      </c>
      <c r="J933" s="106"/>
      <c r="K933" s="103"/>
    </row>
    <row r="934" spans="1:11" x14ac:dyDescent="0.3">
      <c r="A934" s="4" t="s">
        <v>49</v>
      </c>
      <c r="B934" s="4" t="s">
        <v>51</v>
      </c>
      <c r="C934" s="4">
        <v>2</v>
      </c>
      <c r="D934" s="4">
        <v>8</v>
      </c>
      <c r="E934" s="4">
        <v>7</v>
      </c>
      <c r="F934" s="4" t="s">
        <v>71</v>
      </c>
      <c r="G934" s="4" t="s">
        <v>97</v>
      </c>
      <c r="H934" s="48">
        <v>8</v>
      </c>
      <c r="I934" s="44">
        <f t="shared" si="64"/>
        <v>14</v>
      </c>
      <c r="J934" s="106"/>
      <c r="K934" s="103"/>
    </row>
    <row r="935" spans="1:11" x14ac:dyDescent="0.3">
      <c r="A935" s="4" t="s">
        <v>49</v>
      </c>
      <c r="B935" s="4" t="s">
        <v>51</v>
      </c>
      <c r="C935" s="4">
        <v>2</v>
      </c>
      <c r="D935" s="4">
        <v>8</v>
      </c>
      <c r="E935" s="4">
        <v>7</v>
      </c>
      <c r="F935" s="4" t="s">
        <v>71</v>
      </c>
      <c r="G935" s="4" t="s">
        <v>100</v>
      </c>
      <c r="H935" s="48">
        <v>3</v>
      </c>
      <c r="I935" s="44">
        <f t="shared" si="64"/>
        <v>5.25</v>
      </c>
      <c r="J935" s="106"/>
      <c r="K935" s="103"/>
    </row>
    <row r="936" spans="1:11" x14ac:dyDescent="0.3">
      <c r="A936" s="4" t="s">
        <v>49</v>
      </c>
      <c r="B936" s="4" t="s">
        <v>51</v>
      </c>
      <c r="C936" s="4">
        <v>3</v>
      </c>
      <c r="D936" s="56">
        <v>7</v>
      </c>
      <c r="E936" s="4">
        <v>7</v>
      </c>
      <c r="F936" s="4" t="s">
        <v>78</v>
      </c>
      <c r="G936" s="4" t="s">
        <v>103</v>
      </c>
      <c r="H936" s="48">
        <v>6</v>
      </c>
      <c r="I936" s="44">
        <f t="shared" si="64"/>
        <v>18</v>
      </c>
      <c r="J936" s="106"/>
      <c r="K936" s="103"/>
    </row>
    <row r="937" spans="1:11" x14ac:dyDescent="0.3">
      <c r="A937" s="4" t="s">
        <v>49</v>
      </c>
      <c r="B937" s="4" t="s">
        <v>51</v>
      </c>
      <c r="C937" s="4">
        <v>3</v>
      </c>
      <c r="D937" s="56">
        <v>7</v>
      </c>
      <c r="E937" s="4">
        <v>7</v>
      </c>
      <c r="F937" s="4" t="s">
        <v>78</v>
      </c>
      <c r="G937" s="4" t="s">
        <v>106</v>
      </c>
      <c r="H937" s="48">
        <v>7</v>
      </c>
      <c r="I937" s="44">
        <f t="shared" si="64"/>
        <v>21</v>
      </c>
      <c r="J937" s="106"/>
      <c r="K937" s="103"/>
    </row>
    <row r="938" spans="1:11" x14ac:dyDescent="0.3">
      <c r="A938" s="4" t="s">
        <v>49</v>
      </c>
      <c r="B938" s="4" t="s">
        <v>51</v>
      </c>
      <c r="C938" s="4">
        <v>3</v>
      </c>
      <c r="D938" s="56">
        <v>7</v>
      </c>
      <c r="E938" s="4">
        <v>7</v>
      </c>
      <c r="F938" s="4" t="s">
        <v>78</v>
      </c>
      <c r="G938" s="4" t="s">
        <v>109</v>
      </c>
      <c r="H938" s="48">
        <v>8</v>
      </c>
      <c r="I938" s="44">
        <f t="shared" si="64"/>
        <v>24</v>
      </c>
      <c r="J938" s="106"/>
      <c r="K938" s="103"/>
    </row>
    <row r="939" spans="1:11" x14ac:dyDescent="0.3">
      <c r="A939" s="4" t="s">
        <v>49</v>
      </c>
      <c r="B939" s="4" t="s">
        <v>51</v>
      </c>
      <c r="C939" s="4">
        <v>3</v>
      </c>
      <c r="D939" s="56">
        <v>7</v>
      </c>
      <c r="E939" s="4">
        <v>7</v>
      </c>
      <c r="F939" s="4" t="s">
        <v>78</v>
      </c>
      <c r="G939" s="4" t="s">
        <v>112</v>
      </c>
      <c r="H939" s="48">
        <v>8</v>
      </c>
      <c r="I939" s="44">
        <f t="shared" si="64"/>
        <v>24</v>
      </c>
      <c r="J939" s="106"/>
      <c r="K939" s="103"/>
    </row>
    <row r="940" spans="1:11" x14ac:dyDescent="0.3">
      <c r="A940" s="4" t="s">
        <v>49</v>
      </c>
      <c r="B940" s="4" t="s">
        <v>51</v>
      </c>
      <c r="C940" s="4">
        <v>3</v>
      </c>
      <c r="D940" s="56">
        <v>7</v>
      </c>
      <c r="E940" s="4">
        <v>7</v>
      </c>
      <c r="F940" s="4" t="s">
        <v>78</v>
      </c>
      <c r="G940" s="4" t="s">
        <v>115</v>
      </c>
      <c r="H940" s="48">
        <v>7</v>
      </c>
      <c r="I940" s="44">
        <f t="shared" si="64"/>
        <v>21</v>
      </c>
      <c r="J940" s="106"/>
      <c r="K940" s="103"/>
    </row>
    <row r="941" spans="1:11" x14ac:dyDescent="0.3">
      <c r="A941" s="4" t="s">
        <v>49</v>
      </c>
      <c r="B941" s="4" t="s">
        <v>51</v>
      </c>
      <c r="C941" s="4">
        <v>3</v>
      </c>
      <c r="D941" s="56">
        <v>7</v>
      </c>
      <c r="E941" s="4">
        <v>7</v>
      </c>
      <c r="F941" s="4" t="s">
        <v>78</v>
      </c>
      <c r="G941" s="4" t="s">
        <v>118</v>
      </c>
      <c r="H941" s="48">
        <v>3</v>
      </c>
      <c r="I941" s="44">
        <f t="shared" si="64"/>
        <v>9</v>
      </c>
      <c r="J941" s="106"/>
      <c r="K941" s="103"/>
    </row>
    <row r="942" spans="1:11" x14ac:dyDescent="0.3">
      <c r="A942" s="4" t="s">
        <v>49</v>
      </c>
      <c r="B942" s="4" t="s">
        <v>51</v>
      </c>
      <c r="C942" s="4">
        <v>3</v>
      </c>
      <c r="D942" s="56">
        <v>5.5</v>
      </c>
      <c r="E942" s="4">
        <v>7</v>
      </c>
      <c r="F942" s="4" t="s">
        <v>85</v>
      </c>
      <c r="G942" s="4" t="s">
        <v>121</v>
      </c>
      <c r="H942" s="48">
        <v>7</v>
      </c>
      <c r="I942" s="44">
        <f t="shared" si="64"/>
        <v>26.727272727272727</v>
      </c>
      <c r="J942" s="106"/>
      <c r="K942" s="103"/>
    </row>
    <row r="943" spans="1:11" x14ac:dyDescent="0.3">
      <c r="A943" s="4" t="s">
        <v>49</v>
      </c>
      <c r="B943" s="4" t="s">
        <v>51</v>
      </c>
      <c r="C943" s="4">
        <v>3</v>
      </c>
      <c r="D943" s="56">
        <v>5.5</v>
      </c>
      <c r="E943" s="4">
        <v>7</v>
      </c>
      <c r="F943" s="4" t="s">
        <v>85</v>
      </c>
      <c r="G943" s="4" t="s">
        <v>124</v>
      </c>
      <c r="H943" s="48">
        <v>8</v>
      </c>
      <c r="I943" s="44">
        <f t="shared" si="64"/>
        <v>30.545454545454547</v>
      </c>
      <c r="J943" s="106"/>
      <c r="K943" s="103"/>
    </row>
    <row r="944" spans="1:11" x14ac:dyDescent="0.3">
      <c r="A944" s="4" t="s">
        <v>49</v>
      </c>
      <c r="B944" s="4" t="s">
        <v>51</v>
      </c>
      <c r="C944" s="4">
        <v>3</v>
      </c>
      <c r="D944" s="56">
        <v>5.5</v>
      </c>
      <c r="E944" s="4">
        <v>7</v>
      </c>
      <c r="F944" s="4" t="s">
        <v>85</v>
      </c>
      <c r="G944" s="4" t="s">
        <v>127</v>
      </c>
      <c r="H944" s="48">
        <v>8</v>
      </c>
      <c r="I944" s="44">
        <f t="shared" si="64"/>
        <v>30.545454545454547</v>
      </c>
      <c r="J944" s="106"/>
      <c r="K944" s="103"/>
    </row>
    <row r="945" spans="1:11" x14ac:dyDescent="0.3">
      <c r="A945" s="4" t="s">
        <v>49</v>
      </c>
      <c r="B945" s="4" t="s">
        <v>51</v>
      </c>
      <c r="C945" s="4">
        <v>3</v>
      </c>
      <c r="D945" s="56">
        <v>5.5</v>
      </c>
      <c r="E945" s="4">
        <v>7</v>
      </c>
      <c r="F945" s="4" t="s">
        <v>85</v>
      </c>
      <c r="G945" s="4" t="s">
        <v>130</v>
      </c>
      <c r="H945" s="48">
        <v>13</v>
      </c>
      <c r="I945" s="44">
        <f t="shared" si="64"/>
        <v>49.636363636363633</v>
      </c>
      <c r="J945" s="106"/>
      <c r="K945" s="103"/>
    </row>
    <row r="946" spans="1:11" x14ac:dyDescent="0.3">
      <c r="A946" s="4" t="s">
        <v>49</v>
      </c>
      <c r="B946" s="4" t="s">
        <v>51</v>
      </c>
      <c r="C946" s="4">
        <v>3</v>
      </c>
      <c r="D946" s="56">
        <v>5.5</v>
      </c>
      <c r="E946" s="4">
        <v>7</v>
      </c>
      <c r="F946" s="4" t="s">
        <v>85</v>
      </c>
      <c r="G946" s="4" t="s">
        <v>133</v>
      </c>
      <c r="H946" s="48">
        <v>3</v>
      </c>
      <c r="I946" s="44">
        <f t="shared" si="64"/>
        <v>11.454545454545455</v>
      </c>
      <c r="J946" s="106"/>
      <c r="K946" s="103"/>
    </row>
    <row r="947" spans="1:11" x14ac:dyDescent="0.3">
      <c r="A947" s="4" t="s">
        <v>49</v>
      </c>
      <c r="B947" s="4" t="s">
        <v>51</v>
      </c>
      <c r="C947" s="4">
        <v>4</v>
      </c>
      <c r="D947" s="56">
        <v>6.5</v>
      </c>
      <c r="E947" s="4">
        <v>7</v>
      </c>
      <c r="F947" s="4" t="s">
        <v>92</v>
      </c>
      <c r="G947" s="4" t="s">
        <v>136</v>
      </c>
      <c r="H947" s="48">
        <v>13</v>
      </c>
      <c r="I947" s="44">
        <f t="shared" si="64"/>
        <v>56</v>
      </c>
      <c r="J947" s="106"/>
      <c r="K947" s="103"/>
    </row>
    <row r="948" spans="1:11" x14ac:dyDescent="0.3">
      <c r="A948" s="4" t="s">
        <v>49</v>
      </c>
      <c r="B948" s="4" t="s">
        <v>51</v>
      </c>
      <c r="C948" s="4">
        <v>4</v>
      </c>
      <c r="D948" s="56">
        <v>6.5</v>
      </c>
      <c r="E948" s="4">
        <v>7</v>
      </c>
      <c r="F948" s="4" t="s">
        <v>92</v>
      </c>
      <c r="G948" s="4" t="s">
        <v>139</v>
      </c>
      <c r="H948" s="48">
        <v>8</v>
      </c>
      <c r="I948" s="44">
        <f t="shared" si="64"/>
        <v>34.46153846153846</v>
      </c>
      <c r="J948" s="106"/>
      <c r="K948" s="103"/>
    </row>
    <row r="949" spans="1:11" x14ac:dyDescent="0.3">
      <c r="A949" s="4" t="s">
        <v>49</v>
      </c>
      <c r="B949" s="4" t="s">
        <v>51</v>
      </c>
      <c r="C949" s="4">
        <v>4</v>
      </c>
      <c r="D949" s="56">
        <v>6.5</v>
      </c>
      <c r="E949" s="4">
        <v>7</v>
      </c>
      <c r="F949" s="4" t="s">
        <v>92</v>
      </c>
      <c r="G949" s="4" t="s">
        <v>142</v>
      </c>
      <c r="H949" s="48">
        <v>8</v>
      </c>
      <c r="I949" s="44">
        <f t="shared" si="64"/>
        <v>34.46153846153846</v>
      </c>
      <c r="J949" s="106"/>
      <c r="K949" s="103"/>
    </row>
    <row r="950" spans="1:11" x14ac:dyDescent="0.3">
      <c r="A950" s="4" t="s">
        <v>49</v>
      </c>
      <c r="B950" s="4" t="s">
        <v>51</v>
      </c>
      <c r="C950" s="4">
        <v>4</v>
      </c>
      <c r="D950" s="56">
        <v>6.5</v>
      </c>
      <c r="E950" s="4">
        <v>7</v>
      </c>
      <c r="F950" s="4" t="s">
        <v>92</v>
      </c>
      <c r="G950" s="4" t="s">
        <v>145</v>
      </c>
      <c r="H950" s="48">
        <v>7</v>
      </c>
      <c r="I950" s="44">
        <f t="shared" si="64"/>
        <v>30.153846153846153</v>
      </c>
      <c r="J950" s="106"/>
      <c r="K950" s="103"/>
    </row>
    <row r="951" spans="1:11" x14ac:dyDescent="0.3">
      <c r="A951" s="4" t="s">
        <v>49</v>
      </c>
      <c r="B951" s="4" t="s">
        <v>51</v>
      </c>
      <c r="C951" s="4">
        <v>4</v>
      </c>
      <c r="D951" s="56">
        <v>6.5</v>
      </c>
      <c r="E951" s="4">
        <v>7</v>
      </c>
      <c r="F951" s="4" t="s">
        <v>92</v>
      </c>
      <c r="G951" s="4" t="s">
        <v>148</v>
      </c>
      <c r="H951" s="48">
        <v>8</v>
      </c>
      <c r="I951" s="44">
        <f t="shared" si="64"/>
        <v>34.46153846153846</v>
      </c>
      <c r="J951" s="106"/>
      <c r="K951" s="103"/>
    </row>
    <row r="952" spans="1:11" x14ac:dyDescent="0.3">
      <c r="A952" s="4" t="s">
        <v>49</v>
      </c>
      <c r="B952" s="4" t="s">
        <v>51</v>
      </c>
      <c r="C952" s="4">
        <v>4</v>
      </c>
      <c r="D952" s="56">
        <v>6.5</v>
      </c>
      <c r="E952" s="4">
        <v>7</v>
      </c>
      <c r="F952" s="4" t="s">
        <v>92</v>
      </c>
      <c r="G952" s="4" t="s">
        <v>151</v>
      </c>
      <c r="H952" s="48">
        <v>8</v>
      </c>
      <c r="I952" s="44">
        <f t="shared" si="64"/>
        <v>34.46153846153846</v>
      </c>
      <c r="J952" s="106"/>
      <c r="K952" s="103"/>
    </row>
    <row r="953" spans="1:11" x14ac:dyDescent="0.3">
      <c r="A953" s="4" t="s">
        <v>49</v>
      </c>
      <c r="B953" s="57" t="s">
        <v>56</v>
      </c>
      <c r="C953" s="4">
        <v>2</v>
      </c>
      <c r="D953" s="4">
        <v>8</v>
      </c>
      <c r="E953" s="4">
        <v>7</v>
      </c>
      <c r="F953" s="4" t="s">
        <v>71</v>
      </c>
      <c r="G953" s="4" t="s">
        <v>70</v>
      </c>
      <c r="H953" s="48">
        <v>7</v>
      </c>
      <c r="I953" s="44">
        <f t="shared" si="64"/>
        <v>12.25</v>
      </c>
      <c r="J953" s="106"/>
      <c r="K953" s="103"/>
    </row>
    <row r="954" spans="1:11" x14ac:dyDescent="0.3">
      <c r="A954" s="4" t="s">
        <v>49</v>
      </c>
      <c r="B954" s="57" t="s">
        <v>56</v>
      </c>
      <c r="C954" s="4">
        <v>2</v>
      </c>
      <c r="D954" s="4">
        <v>8</v>
      </c>
      <c r="E954" s="4">
        <v>7</v>
      </c>
      <c r="F954" s="4" t="s">
        <v>71</v>
      </c>
      <c r="G954" s="4" t="s">
        <v>77</v>
      </c>
      <c r="H954" s="48">
        <v>8</v>
      </c>
      <c r="I954" s="44">
        <f t="shared" si="64"/>
        <v>14</v>
      </c>
      <c r="J954" s="106"/>
      <c r="K954" s="103"/>
    </row>
    <row r="955" spans="1:11" x14ac:dyDescent="0.3">
      <c r="A955" s="4" t="s">
        <v>49</v>
      </c>
      <c r="B955" s="57" t="s">
        <v>56</v>
      </c>
      <c r="C955" s="4">
        <v>2</v>
      </c>
      <c r="D955" s="4">
        <v>8</v>
      </c>
      <c r="E955" s="4">
        <v>7</v>
      </c>
      <c r="F955" s="4" t="s">
        <v>71</v>
      </c>
      <c r="G955" s="4" t="s">
        <v>84</v>
      </c>
      <c r="H955" s="48">
        <v>8</v>
      </c>
      <c r="I955" s="44">
        <f t="shared" si="64"/>
        <v>14</v>
      </c>
      <c r="J955" s="106"/>
      <c r="K955" s="103"/>
    </row>
    <row r="956" spans="1:11" x14ac:dyDescent="0.3">
      <c r="A956" s="4" t="s">
        <v>49</v>
      </c>
      <c r="B956" s="57" t="s">
        <v>56</v>
      </c>
      <c r="C956" s="4">
        <v>2</v>
      </c>
      <c r="D956" s="4">
        <v>8</v>
      </c>
      <c r="E956" s="4">
        <v>7</v>
      </c>
      <c r="F956" s="4" t="s">
        <v>71</v>
      </c>
      <c r="G956" s="4" t="s">
        <v>91</v>
      </c>
      <c r="H956" s="48">
        <v>6</v>
      </c>
      <c r="I956" s="44">
        <f t="shared" si="64"/>
        <v>10.5</v>
      </c>
      <c r="J956" s="106"/>
      <c r="K956" s="103"/>
    </row>
    <row r="957" spans="1:11" x14ac:dyDescent="0.3">
      <c r="A957" s="4" t="s">
        <v>49</v>
      </c>
      <c r="B957" s="57" t="s">
        <v>56</v>
      </c>
      <c r="C957" s="4">
        <v>2</v>
      </c>
      <c r="D957" s="4">
        <v>8</v>
      </c>
      <c r="E957" s="4">
        <v>7</v>
      </c>
      <c r="F957" s="4" t="s">
        <v>71</v>
      </c>
      <c r="G957" s="4" t="s">
        <v>97</v>
      </c>
      <c r="H957" s="48">
        <v>8</v>
      </c>
      <c r="I957" s="44">
        <f t="shared" si="64"/>
        <v>14</v>
      </c>
      <c r="J957" s="106"/>
      <c r="K957" s="103"/>
    </row>
    <row r="958" spans="1:11" x14ac:dyDescent="0.3">
      <c r="A958" s="4" t="s">
        <v>49</v>
      </c>
      <c r="B958" s="57" t="s">
        <v>56</v>
      </c>
      <c r="C958" s="4">
        <v>2</v>
      </c>
      <c r="D958" s="4">
        <v>8</v>
      </c>
      <c r="E958" s="4">
        <v>7</v>
      </c>
      <c r="F958" s="4" t="s">
        <v>71</v>
      </c>
      <c r="G958" s="4" t="s">
        <v>100</v>
      </c>
      <c r="H958" s="48">
        <v>3</v>
      </c>
      <c r="I958" s="44">
        <f t="shared" si="64"/>
        <v>5.25</v>
      </c>
      <c r="J958" s="106"/>
      <c r="K958" s="103"/>
    </row>
    <row r="959" spans="1:11" x14ac:dyDescent="0.3">
      <c r="A959" s="4" t="s">
        <v>49</v>
      </c>
      <c r="B959" s="57" t="s">
        <v>56</v>
      </c>
      <c r="C959" s="4">
        <v>5</v>
      </c>
      <c r="D959" s="56">
        <v>7</v>
      </c>
      <c r="E959" s="4">
        <v>7</v>
      </c>
      <c r="F959" s="4" t="s">
        <v>78</v>
      </c>
      <c r="G959" s="4" t="s">
        <v>103</v>
      </c>
      <c r="H959" s="48">
        <v>6</v>
      </c>
      <c r="I959" s="44">
        <f t="shared" si="64"/>
        <v>30</v>
      </c>
      <c r="J959" s="106"/>
      <c r="K959" s="103"/>
    </row>
    <row r="960" spans="1:11" x14ac:dyDescent="0.3">
      <c r="A960" s="4" t="s">
        <v>49</v>
      </c>
      <c r="B960" s="57" t="s">
        <v>56</v>
      </c>
      <c r="C960" s="4">
        <v>5</v>
      </c>
      <c r="D960" s="56">
        <v>7</v>
      </c>
      <c r="E960" s="4">
        <v>7</v>
      </c>
      <c r="F960" s="4" t="s">
        <v>78</v>
      </c>
      <c r="G960" s="4" t="s">
        <v>106</v>
      </c>
      <c r="H960" s="48">
        <v>7</v>
      </c>
      <c r="I960" s="44">
        <f t="shared" si="64"/>
        <v>35</v>
      </c>
      <c r="J960" s="106"/>
      <c r="K960" s="103"/>
    </row>
    <row r="961" spans="1:11" x14ac:dyDescent="0.3">
      <c r="A961" s="4" t="s">
        <v>49</v>
      </c>
      <c r="B961" s="57" t="s">
        <v>56</v>
      </c>
      <c r="C961" s="4">
        <v>5</v>
      </c>
      <c r="D961" s="56">
        <v>7</v>
      </c>
      <c r="E961" s="4">
        <v>7</v>
      </c>
      <c r="F961" s="4" t="s">
        <v>78</v>
      </c>
      <c r="G961" s="4" t="s">
        <v>109</v>
      </c>
      <c r="H961" s="48">
        <v>8</v>
      </c>
      <c r="I961" s="44">
        <f t="shared" si="64"/>
        <v>40</v>
      </c>
      <c r="J961" s="106"/>
      <c r="K961" s="103"/>
    </row>
    <row r="962" spans="1:11" x14ac:dyDescent="0.3">
      <c r="A962" s="4" t="s">
        <v>49</v>
      </c>
      <c r="B962" s="57" t="s">
        <v>56</v>
      </c>
      <c r="C962" s="4">
        <v>5</v>
      </c>
      <c r="D962" s="56">
        <v>7</v>
      </c>
      <c r="E962" s="4">
        <v>7</v>
      </c>
      <c r="F962" s="4" t="s">
        <v>78</v>
      </c>
      <c r="G962" s="4" t="s">
        <v>112</v>
      </c>
      <c r="H962" s="48">
        <v>8</v>
      </c>
      <c r="I962" s="44">
        <f t="shared" si="64"/>
        <v>40</v>
      </c>
      <c r="J962" s="106"/>
      <c r="K962" s="103"/>
    </row>
    <row r="963" spans="1:11" x14ac:dyDescent="0.3">
      <c r="A963" s="4" t="s">
        <v>49</v>
      </c>
      <c r="B963" s="57" t="s">
        <v>56</v>
      </c>
      <c r="C963" s="4">
        <v>5</v>
      </c>
      <c r="D963" s="56">
        <v>7</v>
      </c>
      <c r="E963" s="4">
        <v>7</v>
      </c>
      <c r="F963" s="4" t="s">
        <v>78</v>
      </c>
      <c r="G963" s="4" t="s">
        <v>115</v>
      </c>
      <c r="H963" s="48">
        <v>7</v>
      </c>
      <c r="I963" s="44">
        <f t="shared" si="64"/>
        <v>35</v>
      </c>
      <c r="J963" s="106"/>
      <c r="K963" s="103"/>
    </row>
    <row r="964" spans="1:11" x14ac:dyDescent="0.3">
      <c r="A964" s="4" t="s">
        <v>49</v>
      </c>
      <c r="B964" s="57" t="s">
        <v>56</v>
      </c>
      <c r="C964" s="4">
        <v>5</v>
      </c>
      <c r="D964" s="56">
        <v>7</v>
      </c>
      <c r="E964" s="4">
        <v>7</v>
      </c>
      <c r="F964" s="4" t="s">
        <v>78</v>
      </c>
      <c r="G964" s="4" t="s">
        <v>118</v>
      </c>
      <c r="H964" s="48">
        <v>3</v>
      </c>
      <c r="I964" s="44">
        <f t="shared" si="64"/>
        <v>15</v>
      </c>
      <c r="J964" s="106"/>
      <c r="K964" s="103"/>
    </row>
    <row r="965" spans="1:11" x14ac:dyDescent="0.3">
      <c r="A965" s="4" t="s">
        <v>49</v>
      </c>
      <c r="B965" s="57" t="s">
        <v>56</v>
      </c>
      <c r="C965" s="4">
        <v>5</v>
      </c>
      <c r="D965" s="56">
        <v>6.7</v>
      </c>
      <c r="E965" s="4">
        <v>7</v>
      </c>
      <c r="F965" s="4" t="s">
        <v>85</v>
      </c>
      <c r="G965" s="4" t="s">
        <v>121</v>
      </c>
      <c r="H965" s="48">
        <v>7</v>
      </c>
      <c r="I965" s="44">
        <f t="shared" si="64"/>
        <v>36.567164179104473</v>
      </c>
      <c r="J965" s="106"/>
      <c r="K965" s="103"/>
    </row>
    <row r="966" spans="1:11" x14ac:dyDescent="0.3">
      <c r="A966" s="4" t="s">
        <v>49</v>
      </c>
      <c r="B966" s="57" t="s">
        <v>56</v>
      </c>
      <c r="C966" s="4">
        <v>5</v>
      </c>
      <c r="D966" s="56">
        <v>6.7</v>
      </c>
      <c r="E966" s="4">
        <v>7</v>
      </c>
      <c r="F966" s="4" t="s">
        <v>85</v>
      </c>
      <c r="G966" s="4" t="s">
        <v>124</v>
      </c>
      <c r="H966" s="48">
        <v>8</v>
      </c>
      <c r="I966" s="44">
        <f t="shared" si="64"/>
        <v>41.791044776119399</v>
      </c>
      <c r="J966" s="106"/>
      <c r="K966" s="103"/>
    </row>
    <row r="967" spans="1:11" x14ac:dyDescent="0.3">
      <c r="A967" s="4" t="s">
        <v>49</v>
      </c>
      <c r="B967" s="57" t="s">
        <v>56</v>
      </c>
      <c r="C967" s="4">
        <v>5</v>
      </c>
      <c r="D967" s="56">
        <v>6.7</v>
      </c>
      <c r="E967" s="4">
        <v>7</v>
      </c>
      <c r="F967" s="4" t="s">
        <v>85</v>
      </c>
      <c r="G967" s="4" t="s">
        <v>127</v>
      </c>
      <c r="H967" s="48">
        <v>8</v>
      </c>
      <c r="I967" s="44">
        <f t="shared" si="64"/>
        <v>41.791044776119399</v>
      </c>
      <c r="J967" s="106"/>
      <c r="K967" s="103"/>
    </row>
    <row r="968" spans="1:11" x14ac:dyDescent="0.3">
      <c r="A968" s="4" t="s">
        <v>49</v>
      </c>
      <c r="B968" s="57" t="s">
        <v>56</v>
      </c>
      <c r="C968" s="4">
        <v>5</v>
      </c>
      <c r="D968" s="56">
        <v>6.7</v>
      </c>
      <c r="E968" s="4">
        <v>7</v>
      </c>
      <c r="F968" s="4" t="s">
        <v>85</v>
      </c>
      <c r="G968" s="4" t="s">
        <v>130</v>
      </c>
      <c r="H968" s="48">
        <v>13</v>
      </c>
      <c r="I968" s="44">
        <f t="shared" si="64"/>
        <v>67.910447761194021</v>
      </c>
      <c r="J968" s="106"/>
      <c r="K968" s="103"/>
    </row>
    <row r="969" spans="1:11" x14ac:dyDescent="0.3">
      <c r="A969" s="4" t="s">
        <v>49</v>
      </c>
      <c r="B969" s="57" t="s">
        <v>56</v>
      </c>
      <c r="C969" s="4">
        <v>5</v>
      </c>
      <c r="D969" s="56">
        <v>6.7</v>
      </c>
      <c r="E969" s="4">
        <v>7</v>
      </c>
      <c r="F969" s="4" t="s">
        <v>85</v>
      </c>
      <c r="G969" s="4" t="s">
        <v>133</v>
      </c>
      <c r="H969" s="48">
        <v>3</v>
      </c>
      <c r="I969" s="44">
        <f t="shared" si="64"/>
        <v>15.671641791044776</v>
      </c>
      <c r="J969" s="106"/>
      <c r="K969" s="103"/>
    </row>
    <row r="970" spans="1:11" x14ac:dyDescent="0.3">
      <c r="A970" s="4" t="s">
        <v>49</v>
      </c>
      <c r="B970" s="57" t="s">
        <v>56</v>
      </c>
      <c r="C970" s="4">
        <v>5</v>
      </c>
      <c r="D970" s="56">
        <v>6.6</v>
      </c>
      <c r="E970" s="4">
        <v>7</v>
      </c>
      <c r="F970" s="4" t="s">
        <v>92</v>
      </c>
      <c r="G970" s="4" t="s">
        <v>136</v>
      </c>
      <c r="H970" s="48">
        <v>13</v>
      </c>
      <c r="I970" s="44">
        <f t="shared" si="64"/>
        <v>68.939393939393938</v>
      </c>
      <c r="J970" s="106"/>
      <c r="K970" s="103"/>
    </row>
    <row r="971" spans="1:11" x14ac:dyDescent="0.3">
      <c r="A971" s="4" t="s">
        <v>49</v>
      </c>
      <c r="B971" s="57" t="s">
        <v>56</v>
      </c>
      <c r="C971" s="4">
        <v>5</v>
      </c>
      <c r="D971" s="56">
        <v>6.6</v>
      </c>
      <c r="E971" s="4">
        <v>7</v>
      </c>
      <c r="F971" s="4" t="s">
        <v>92</v>
      </c>
      <c r="G971" s="4" t="s">
        <v>139</v>
      </c>
      <c r="H971" s="48">
        <v>8</v>
      </c>
      <c r="I971" s="44">
        <f t="shared" si="64"/>
        <v>42.424242424242429</v>
      </c>
      <c r="J971" s="106"/>
      <c r="K971" s="103"/>
    </row>
    <row r="972" spans="1:11" x14ac:dyDescent="0.3">
      <c r="A972" s="4" t="s">
        <v>49</v>
      </c>
      <c r="B972" s="57" t="s">
        <v>56</v>
      </c>
      <c r="C972" s="4">
        <v>5</v>
      </c>
      <c r="D972" s="56">
        <v>6.6</v>
      </c>
      <c r="E972" s="4">
        <v>7</v>
      </c>
      <c r="F972" s="4" t="s">
        <v>92</v>
      </c>
      <c r="G972" s="4" t="s">
        <v>142</v>
      </c>
      <c r="H972" s="48">
        <v>8</v>
      </c>
      <c r="I972" s="44">
        <f t="shared" si="64"/>
        <v>42.424242424242429</v>
      </c>
      <c r="J972" s="106"/>
      <c r="K972" s="103"/>
    </row>
    <row r="973" spans="1:11" x14ac:dyDescent="0.3">
      <c r="A973" s="4" t="s">
        <v>49</v>
      </c>
      <c r="B973" s="57" t="s">
        <v>56</v>
      </c>
      <c r="C973" s="4">
        <v>5</v>
      </c>
      <c r="D973" s="56">
        <v>6.6</v>
      </c>
      <c r="E973" s="4">
        <v>7</v>
      </c>
      <c r="F973" s="4" t="s">
        <v>92</v>
      </c>
      <c r="G973" s="4" t="s">
        <v>145</v>
      </c>
      <c r="H973" s="48">
        <v>7</v>
      </c>
      <c r="I973" s="44">
        <f t="shared" si="64"/>
        <v>37.121212121212125</v>
      </c>
      <c r="J973" s="106"/>
      <c r="K973" s="103"/>
    </row>
    <row r="974" spans="1:11" x14ac:dyDescent="0.3">
      <c r="A974" s="4" t="s">
        <v>49</v>
      </c>
      <c r="B974" s="57" t="s">
        <v>56</v>
      </c>
      <c r="C974" s="4">
        <v>5</v>
      </c>
      <c r="D974" s="56">
        <v>6.6</v>
      </c>
      <c r="E974" s="4">
        <v>7</v>
      </c>
      <c r="F974" s="4" t="s">
        <v>92</v>
      </c>
      <c r="G974" s="4" t="s">
        <v>148</v>
      </c>
      <c r="H974" s="48">
        <v>8</v>
      </c>
      <c r="I974" s="44">
        <f t="shared" si="64"/>
        <v>42.424242424242429</v>
      </c>
      <c r="J974" s="106"/>
      <c r="K974" s="103"/>
    </row>
    <row r="975" spans="1:11" x14ac:dyDescent="0.3">
      <c r="A975" s="4" t="s">
        <v>49</v>
      </c>
      <c r="B975" s="57" t="s">
        <v>56</v>
      </c>
      <c r="C975" s="4">
        <v>5</v>
      </c>
      <c r="D975" s="56">
        <v>6.6</v>
      </c>
      <c r="E975" s="4">
        <v>7</v>
      </c>
      <c r="F975" s="4" t="s">
        <v>92</v>
      </c>
      <c r="G975" s="4" t="s">
        <v>151</v>
      </c>
      <c r="H975" s="48">
        <v>8</v>
      </c>
      <c r="I975" s="44">
        <f t="shared" si="64"/>
        <v>42.424242424242429</v>
      </c>
      <c r="J975" s="106"/>
      <c r="K975" s="103"/>
    </row>
    <row r="976" spans="1:11" x14ac:dyDescent="0.3">
      <c r="A976" s="4" t="s">
        <v>49</v>
      </c>
      <c r="B976" s="57" t="s">
        <v>52</v>
      </c>
      <c r="C976" s="4">
        <v>3</v>
      </c>
      <c r="D976" s="56">
        <v>7</v>
      </c>
      <c r="E976" s="4">
        <v>7</v>
      </c>
      <c r="F976" s="4" t="s">
        <v>92</v>
      </c>
      <c r="G976" s="4" t="s">
        <v>136</v>
      </c>
      <c r="H976" s="48">
        <v>13</v>
      </c>
      <c r="I976" s="44">
        <f t="shared" ref="I976:I981" si="65">IF(D976&gt;0,(((H976*E976)*C976)/D976),"")</f>
        <v>39</v>
      </c>
      <c r="J976" s="106"/>
      <c r="K976" s="103"/>
    </row>
    <row r="977" spans="1:11" x14ac:dyDescent="0.3">
      <c r="A977" s="4" t="s">
        <v>49</v>
      </c>
      <c r="B977" s="57" t="s">
        <v>52</v>
      </c>
      <c r="C977" s="4">
        <v>3</v>
      </c>
      <c r="D977" s="56">
        <v>7</v>
      </c>
      <c r="E977" s="4">
        <v>7</v>
      </c>
      <c r="F977" s="4" t="s">
        <v>92</v>
      </c>
      <c r="G977" s="4" t="s">
        <v>139</v>
      </c>
      <c r="H977" s="48">
        <v>8</v>
      </c>
      <c r="I977" s="44">
        <f t="shared" si="65"/>
        <v>24</v>
      </c>
      <c r="J977" s="106"/>
      <c r="K977" s="103"/>
    </row>
    <row r="978" spans="1:11" x14ac:dyDescent="0.3">
      <c r="A978" s="4" t="s">
        <v>49</v>
      </c>
      <c r="B978" s="57" t="s">
        <v>52</v>
      </c>
      <c r="C978" s="4">
        <v>3</v>
      </c>
      <c r="D978" s="56">
        <v>7</v>
      </c>
      <c r="E978" s="4">
        <v>7</v>
      </c>
      <c r="F978" s="4" t="s">
        <v>92</v>
      </c>
      <c r="G978" s="4" t="s">
        <v>142</v>
      </c>
      <c r="H978" s="48">
        <v>8</v>
      </c>
      <c r="I978" s="44">
        <f t="shared" si="65"/>
        <v>24</v>
      </c>
      <c r="J978" s="106"/>
      <c r="K978" s="103"/>
    </row>
    <row r="979" spans="1:11" x14ac:dyDescent="0.3">
      <c r="A979" s="4" t="s">
        <v>49</v>
      </c>
      <c r="B979" s="57" t="s">
        <v>52</v>
      </c>
      <c r="C979" s="4">
        <v>3</v>
      </c>
      <c r="D979" s="56">
        <v>7</v>
      </c>
      <c r="E979" s="4">
        <v>7</v>
      </c>
      <c r="F979" s="4" t="s">
        <v>92</v>
      </c>
      <c r="G979" s="4" t="s">
        <v>145</v>
      </c>
      <c r="H979" s="48">
        <v>7</v>
      </c>
      <c r="I979" s="44">
        <f t="shared" si="65"/>
        <v>21</v>
      </c>
      <c r="J979" s="106"/>
      <c r="K979" s="103"/>
    </row>
    <row r="980" spans="1:11" x14ac:dyDescent="0.3">
      <c r="A980" s="4" t="s">
        <v>49</v>
      </c>
      <c r="B980" s="57" t="s">
        <v>52</v>
      </c>
      <c r="C980" s="4">
        <v>3</v>
      </c>
      <c r="D980" s="56">
        <v>7</v>
      </c>
      <c r="E980" s="4">
        <v>7</v>
      </c>
      <c r="F980" s="4" t="s">
        <v>92</v>
      </c>
      <c r="G980" s="4" t="s">
        <v>148</v>
      </c>
      <c r="H980" s="48">
        <v>8</v>
      </c>
      <c r="I980" s="44">
        <f t="shared" si="65"/>
        <v>24</v>
      </c>
      <c r="J980" s="106"/>
      <c r="K980" s="103"/>
    </row>
    <row r="981" spans="1:11" x14ac:dyDescent="0.3">
      <c r="A981" s="4" t="s">
        <v>49</v>
      </c>
      <c r="B981" s="57" t="s">
        <v>52</v>
      </c>
      <c r="C981" s="4">
        <v>3</v>
      </c>
      <c r="D981" s="56">
        <v>7</v>
      </c>
      <c r="E981" s="4">
        <v>7</v>
      </c>
      <c r="F981" s="4" t="s">
        <v>92</v>
      </c>
      <c r="G981" s="4" t="s">
        <v>151</v>
      </c>
      <c r="H981" s="48">
        <v>8</v>
      </c>
      <c r="I981" s="44">
        <f t="shared" si="65"/>
        <v>24</v>
      </c>
      <c r="J981" s="106"/>
      <c r="K981" s="103"/>
    </row>
    <row r="982" spans="1:11" x14ac:dyDescent="0.3">
      <c r="A982" s="4" t="s">
        <v>49</v>
      </c>
      <c r="B982" s="57" t="s">
        <v>53</v>
      </c>
      <c r="C982" s="4">
        <v>4</v>
      </c>
      <c r="D982" s="56">
        <v>7</v>
      </c>
      <c r="E982" s="4">
        <v>7</v>
      </c>
      <c r="F982" s="4" t="s">
        <v>92</v>
      </c>
      <c r="G982" s="4" t="s">
        <v>136</v>
      </c>
      <c r="H982" s="48">
        <v>13</v>
      </c>
      <c r="I982" s="44">
        <f t="shared" ref="I982:I987" si="66">IF(D982&gt;0,(((H982*E982)*C982)/D982),"")</f>
        <v>52</v>
      </c>
      <c r="J982" s="106"/>
      <c r="K982" s="103"/>
    </row>
    <row r="983" spans="1:11" x14ac:dyDescent="0.3">
      <c r="A983" s="4" t="s">
        <v>49</v>
      </c>
      <c r="B983" s="57" t="s">
        <v>53</v>
      </c>
      <c r="C983" s="4">
        <v>4</v>
      </c>
      <c r="D983" s="56">
        <v>7</v>
      </c>
      <c r="E983" s="4">
        <v>7</v>
      </c>
      <c r="F983" s="4" t="s">
        <v>92</v>
      </c>
      <c r="G983" s="4" t="s">
        <v>139</v>
      </c>
      <c r="H983" s="48">
        <v>8</v>
      </c>
      <c r="I983" s="44">
        <f t="shared" si="66"/>
        <v>32</v>
      </c>
      <c r="J983" s="106"/>
      <c r="K983" s="103"/>
    </row>
    <row r="984" spans="1:11" x14ac:dyDescent="0.3">
      <c r="A984" s="4" t="s">
        <v>49</v>
      </c>
      <c r="B984" s="57" t="s">
        <v>53</v>
      </c>
      <c r="C984" s="4">
        <v>4</v>
      </c>
      <c r="D984" s="56">
        <v>7</v>
      </c>
      <c r="E984" s="4">
        <v>7</v>
      </c>
      <c r="F984" s="4" t="s">
        <v>92</v>
      </c>
      <c r="G984" s="4" t="s">
        <v>142</v>
      </c>
      <c r="H984" s="48">
        <v>8</v>
      </c>
      <c r="I984" s="44">
        <f t="shared" si="66"/>
        <v>32</v>
      </c>
      <c r="J984" s="106"/>
      <c r="K984" s="103"/>
    </row>
    <row r="985" spans="1:11" x14ac:dyDescent="0.3">
      <c r="A985" s="4" t="s">
        <v>49</v>
      </c>
      <c r="B985" s="57" t="s">
        <v>53</v>
      </c>
      <c r="C985" s="4">
        <v>4</v>
      </c>
      <c r="D985" s="56">
        <v>7</v>
      </c>
      <c r="E985" s="4">
        <v>7</v>
      </c>
      <c r="F985" s="4" t="s">
        <v>92</v>
      </c>
      <c r="G985" s="4" t="s">
        <v>145</v>
      </c>
      <c r="H985" s="48">
        <v>7</v>
      </c>
      <c r="I985" s="44">
        <f t="shared" si="66"/>
        <v>28</v>
      </c>
      <c r="J985" s="106"/>
      <c r="K985" s="103"/>
    </row>
    <row r="986" spans="1:11" x14ac:dyDescent="0.3">
      <c r="A986" s="4" t="s">
        <v>49</v>
      </c>
      <c r="B986" s="57" t="s">
        <v>53</v>
      </c>
      <c r="C986" s="4">
        <v>4</v>
      </c>
      <c r="D986" s="56">
        <v>7</v>
      </c>
      <c r="E986" s="4">
        <v>7</v>
      </c>
      <c r="F986" s="4" t="s">
        <v>92</v>
      </c>
      <c r="G986" s="4" t="s">
        <v>148</v>
      </c>
      <c r="H986" s="48">
        <v>8</v>
      </c>
      <c r="I986" s="44">
        <f t="shared" si="66"/>
        <v>32</v>
      </c>
      <c r="J986" s="106"/>
      <c r="K986" s="103"/>
    </row>
    <row r="987" spans="1:11" x14ac:dyDescent="0.3">
      <c r="A987" s="4" t="s">
        <v>49</v>
      </c>
      <c r="B987" s="57" t="s">
        <v>53</v>
      </c>
      <c r="C987" s="4">
        <v>4</v>
      </c>
      <c r="D987" s="56">
        <v>7</v>
      </c>
      <c r="E987" s="4">
        <v>7</v>
      </c>
      <c r="F987" s="4" t="s">
        <v>92</v>
      </c>
      <c r="G987" s="4" t="s">
        <v>151</v>
      </c>
      <c r="H987" s="48">
        <v>8</v>
      </c>
      <c r="I987" s="44">
        <f t="shared" si="66"/>
        <v>32</v>
      </c>
      <c r="J987" s="106"/>
      <c r="K987" s="103"/>
    </row>
  </sheetData>
  <autoFilter ref="A1:O987" xr:uid="{D1679D01-B20E-4865-84C1-7C3F0D190010}"/>
  <sortState xmlns:xlrd2="http://schemas.microsoft.com/office/spreadsheetml/2017/richdata2" ref="A2:I860">
    <sortCondition ref="A2:A860"/>
    <sortCondition ref="B2:B860"/>
    <sortCondition ref="G2:G860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FBD0E8D-F775-459A-AF91-9CBF56EDB00F}">
          <x14:formula1>
            <xm:f>Apoio!$H$2:$H$24</xm:f>
          </x14:formula1>
          <xm:sqref>G2:G860</xm:sqref>
        </x14:dataValidation>
        <x14:dataValidation type="list" allowBlank="1" showInputMessage="1" showErrorMessage="1" xr:uid="{06A4973E-C4DE-4538-A5AB-6F693413C381}">
          <x14:formula1>
            <xm:f>Apoio!$M$2:$M$5</xm:f>
          </x14:formula1>
          <xm:sqref>F2:F860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C417-F01A-4EF9-B23B-05A0FF730F42}">
  <dimension ref="A1:C15"/>
  <sheetViews>
    <sheetView workbookViewId="0">
      <selection activeCell="A4" sqref="A4"/>
    </sheetView>
  </sheetViews>
  <sheetFormatPr defaultColWidth="8.5546875" defaultRowHeight="14.4" x14ac:dyDescent="0.3"/>
  <cols>
    <col min="1" max="1" width="32.5546875" bestFit="1" customWidth="1"/>
    <col min="2" max="2" width="16.5546875" bestFit="1" customWidth="1"/>
    <col min="3" max="3" width="20.44140625" bestFit="1" customWidth="1"/>
  </cols>
  <sheetData>
    <row r="1" spans="1:3" x14ac:dyDescent="0.3">
      <c r="A1" s="76" t="s">
        <v>157</v>
      </c>
      <c r="B1" t="s">
        <v>92</v>
      </c>
    </row>
    <row r="2" spans="1:3" x14ac:dyDescent="0.3">
      <c r="A2" s="76" t="s">
        <v>217</v>
      </c>
      <c r="B2" t="s">
        <v>227</v>
      </c>
    </row>
    <row r="4" spans="1:3" x14ac:dyDescent="0.3">
      <c r="A4" s="76" t="s">
        <v>228</v>
      </c>
      <c r="B4" t="s">
        <v>229</v>
      </c>
      <c r="C4" t="s">
        <v>230</v>
      </c>
    </row>
    <row r="5" spans="1:3" x14ac:dyDescent="0.3">
      <c r="A5" s="77" t="s">
        <v>2</v>
      </c>
      <c r="B5" s="78">
        <v>2765.9715881023476</v>
      </c>
      <c r="C5" s="78">
        <v>677.94600678877373</v>
      </c>
    </row>
    <row r="6" spans="1:3" x14ac:dyDescent="0.3">
      <c r="A6" s="77" t="s">
        <v>14</v>
      </c>
      <c r="B6" s="78">
        <v>855.24388533356728</v>
      </c>
      <c r="C6" s="78">
        <v>264.22933812571233</v>
      </c>
    </row>
    <row r="7" spans="1:3" x14ac:dyDescent="0.3">
      <c r="A7" s="77" t="s">
        <v>19</v>
      </c>
      <c r="B7" s="78">
        <v>1787.8504565124861</v>
      </c>
      <c r="C7" s="78"/>
    </row>
    <row r="8" spans="1:3" x14ac:dyDescent="0.3">
      <c r="A8" s="77" t="s">
        <v>213</v>
      </c>
      <c r="B8" s="78">
        <v>1047.5238095238096</v>
      </c>
      <c r="C8" s="78">
        <v>276.58131868131869</v>
      </c>
    </row>
    <row r="9" spans="1:3" x14ac:dyDescent="0.3">
      <c r="A9" s="77" t="s">
        <v>36</v>
      </c>
      <c r="B9" s="78">
        <v>636.55172413793105</v>
      </c>
      <c r="C9" s="78"/>
    </row>
    <row r="10" spans="1:3" x14ac:dyDescent="0.3">
      <c r="A10" s="77" t="s">
        <v>39</v>
      </c>
      <c r="B10" s="78">
        <v>1255.55</v>
      </c>
      <c r="C10" s="78">
        <v>168.05250000000001</v>
      </c>
    </row>
    <row r="11" spans="1:3" x14ac:dyDescent="0.3">
      <c r="A11" s="77" t="s">
        <v>26</v>
      </c>
      <c r="B11" s="78">
        <v>744.375</v>
      </c>
      <c r="C11" s="78"/>
    </row>
    <row r="12" spans="1:3" x14ac:dyDescent="0.3">
      <c r="A12" s="77" t="s">
        <v>49</v>
      </c>
      <c r="B12" s="78">
        <v>1205.8679744474305</v>
      </c>
      <c r="C12" s="78"/>
    </row>
    <row r="13" spans="1:3" x14ac:dyDescent="0.3">
      <c r="A13" s="77" t="s">
        <v>9</v>
      </c>
      <c r="B13" s="78">
        <v>1337.004723534315</v>
      </c>
      <c r="C13" s="78"/>
    </row>
    <row r="14" spans="1:3" x14ac:dyDescent="0.3">
      <c r="A14" s="77" t="s">
        <v>43</v>
      </c>
      <c r="B14" s="78">
        <v>1683.0649350649351</v>
      </c>
      <c r="C14" s="78"/>
    </row>
    <row r="15" spans="1:3" x14ac:dyDescent="0.3">
      <c r="A15" s="77" t="s">
        <v>57</v>
      </c>
      <c r="B15" s="78">
        <v>13319.004096656821</v>
      </c>
      <c r="C15" s="78">
        <v>1386.8091635958046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0031-A85A-104D-AED0-3C24B7589E5A}">
  <sheetPr>
    <tabColor theme="4" tint="-0.249977111117893"/>
  </sheetPr>
  <dimension ref="A1:B14"/>
  <sheetViews>
    <sheetView workbookViewId="0">
      <selection activeCell="G28" sqref="G28"/>
    </sheetView>
  </sheetViews>
  <sheetFormatPr defaultColWidth="11.44140625" defaultRowHeight="14.4" x14ac:dyDescent="0.3"/>
  <cols>
    <col min="1" max="1" width="25.44140625" bestFit="1" customWidth="1"/>
    <col min="2" max="2" width="24.44140625" bestFit="1" customWidth="1"/>
  </cols>
  <sheetData>
    <row r="1" spans="1:2" x14ac:dyDescent="0.3">
      <c r="A1" s="76" t="s">
        <v>157</v>
      </c>
      <c r="B1" t="s">
        <v>231</v>
      </c>
    </row>
    <row r="2" spans="1:2" x14ac:dyDescent="0.3">
      <c r="A2" s="76" t="s">
        <v>158</v>
      </c>
      <c r="B2" t="s">
        <v>68</v>
      </c>
    </row>
    <row r="4" spans="1:2" x14ac:dyDescent="0.3">
      <c r="A4" s="76" t="s">
        <v>228</v>
      </c>
      <c r="B4" t="s">
        <v>232</v>
      </c>
    </row>
    <row r="5" spans="1:2" x14ac:dyDescent="0.3">
      <c r="A5" s="77" t="s">
        <v>2</v>
      </c>
      <c r="B5" s="119">
        <v>5.2833333333333332</v>
      </c>
    </row>
    <row r="6" spans="1:2" x14ac:dyDescent="0.3">
      <c r="A6" s="77" t="s">
        <v>9</v>
      </c>
      <c r="B6" s="119">
        <v>5.75</v>
      </c>
    </row>
    <row r="7" spans="1:2" x14ac:dyDescent="0.3">
      <c r="A7" s="77" t="s">
        <v>19</v>
      </c>
      <c r="B7" s="119">
        <v>6.5666666666666664</v>
      </c>
    </row>
    <row r="8" spans="1:2" x14ac:dyDescent="0.3">
      <c r="A8" s="77" t="s">
        <v>26</v>
      </c>
      <c r="B8" s="119">
        <v>6.9666666666666659</v>
      </c>
    </row>
    <row r="9" spans="1:2" x14ac:dyDescent="0.3">
      <c r="A9" s="77" t="s">
        <v>213</v>
      </c>
      <c r="B9" s="119">
        <v>5.375</v>
      </c>
    </row>
    <row r="10" spans="1:2" x14ac:dyDescent="0.3">
      <c r="A10" s="77" t="s">
        <v>36</v>
      </c>
      <c r="B10" s="119">
        <v>6.9</v>
      </c>
    </row>
    <row r="11" spans="1:2" x14ac:dyDescent="0.3">
      <c r="A11" s="77" t="s">
        <v>39</v>
      </c>
      <c r="B11" s="119">
        <v>5.2666666666666666</v>
      </c>
    </row>
    <row r="12" spans="1:2" x14ac:dyDescent="0.3">
      <c r="A12" s="77" t="s">
        <v>43</v>
      </c>
      <c r="B12" s="119">
        <v>6.2799999999999994</v>
      </c>
    </row>
    <row r="13" spans="1:2" x14ac:dyDescent="0.3">
      <c r="A13" s="77" t="s">
        <v>49</v>
      </c>
      <c r="B13" s="119">
        <v>6.628571428571429</v>
      </c>
    </row>
    <row r="14" spans="1:2" x14ac:dyDescent="0.3">
      <c r="A14" s="77" t="s">
        <v>57</v>
      </c>
      <c r="B14" s="119">
        <v>6.0975000000000019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00D5-9F45-724F-9594-739BA599C556}">
  <sheetPr>
    <tabColor theme="4" tint="-0.249977111117893"/>
  </sheetPr>
  <dimension ref="A1:N1041"/>
  <sheetViews>
    <sheetView showGridLines="0" tabSelected="1" zoomScaleNormal="100" workbookViewId="0">
      <selection activeCell="C18" sqref="C18"/>
    </sheetView>
  </sheetViews>
  <sheetFormatPr defaultColWidth="8.44140625" defaultRowHeight="14.4" x14ac:dyDescent="0.3"/>
  <cols>
    <col min="1" max="1" width="32.6640625" style="10" bestFit="1" customWidth="1"/>
    <col min="2" max="2" width="26.5546875" style="10" bestFit="1" customWidth="1"/>
    <col min="3" max="3" width="15.6640625" style="404" customWidth="1"/>
    <col min="4" max="4" width="13.5546875" style="30" customWidth="1"/>
    <col min="5" max="5" width="16.88671875" style="30" customWidth="1"/>
    <col min="6" max="6" width="7.6640625" style="10" bestFit="1" customWidth="1"/>
    <col min="7" max="7" width="11.33203125" style="10" bestFit="1" customWidth="1"/>
    <col min="8" max="8" width="11.5546875" style="10" customWidth="1"/>
    <col min="9" max="9" width="13.33203125" style="10" bestFit="1" customWidth="1"/>
    <col min="10" max="10" width="16.6640625" style="10" bestFit="1" customWidth="1"/>
    <col min="11" max="11" width="13.33203125" style="10" bestFit="1" customWidth="1"/>
    <col min="12" max="12" width="0.109375" style="10" customWidth="1"/>
    <col min="13" max="13" width="29.5546875" style="10" customWidth="1"/>
    <col min="14" max="14" width="81.6640625" style="77" customWidth="1"/>
    <col min="15" max="16384" width="8.44140625" style="10"/>
  </cols>
  <sheetData>
    <row r="1" spans="1:14" s="1" customFormat="1" ht="57" customHeight="1" x14ac:dyDescent="0.3">
      <c r="A1" s="3" t="s">
        <v>155</v>
      </c>
      <c r="B1" s="3" t="s">
        <v>156</v>
      </c>
      <c r="C1" s="29" t="s">
        <v>206</v>
      </c>
      <c r="D1" s="29" t="s">
        <v>207</v>
      </c>
      <c r="E1" s="29" t="s">
        <v>208</v>
      </c>
      <c r="F1" s="3" t="s">
        <v>157</v>
      </c>
      <c r="G1" s="3" t="s">
        <v>158</v>
      </c>
      <c r="H1" s="3" t="s">
        <v>209</v>
      </c>
      <c r="I1" s="395" t="s">
        <v>159</v>
      </c>
      <c r="J1" s="37" t="s">
        <v>284</v>
      </c>
      <c r="K1" s="397" t="s">
        <v>233</v>
      </c>
      <c r="L1" s="102" t="s">
        <v>234</v>
      </c>
      <c r="M1" s="102" t="s">
        <v>217</v>
      </c>
      <c r="N1" s="398" t="s">
        <v>285</v>
      </c>
    </row>
    <row r="2" spans="1:14" x14ac:dyDescent="0.3">
      <c r="A2" s="4" t="s">
        <v>290</v>
      </c>
      <c r="B2" s="4" t="s">
        <v>11</v>
      </c>
      <c r="C2" s="58">
        <v>4</v>
      </c>
      <c r="D2" s="56">
        <v>5</v>
      </c>
      <c r="E2" s="51">
        <v>7</v>
      </c>
      <c r="F2" s="4" t="s">
        <v>69</v>
      </c>
      <c r="G2" s="4" t="s">
        <v>68</v>
      </c>
      <c r="H2" s="48">
        <f>IF(G2&gt;0,VLOOKUP(G2,Apoio!$A$2:$B$25,2,0),"")</f>
        <v>7</v>
      </c>
      <c r="I2" s="47">
        <f>IF(D2&gt;0,(((H2*E2)*C2)/D2),"")</f>
        <v>39.200000000000003</v>
      </c>
      <c r="J2" s="101"/>
      <c r="K2" s="197"/>
      <c r="L2" s="103"/>
      <c r="M2" s="103" t="s">
        <v>235</v>
      </c>
      <c r="N2" s="10"/>
    </row>
    <row r="3" spans="1:14" x14ac:dyDescent="0.3">
      <c r="A3" s="4" t="s">
        <v>290</v>
      </c>
      <c r="B3" s="4" t="s">
        <v>11</v>
      </c>
      <c r="C3" s="58">
        <v>4</v>
      </c>
      <c r="D3" s="56">
        <v>5</v>
      </c>
      <c r="E3" s="51">
        <v>7</v>
      </c>
      <c r="F3" s="4" t="s">
        <v>69</v>
      </c>
      <c r="G3" s="4" t="s">
        <v>75</v>
      </c>
      <c r="H3" s="48">
        <f>IF(G3&gt;0,VLOOKUP(G3,Apoio!$A$2:$B$25,2,0),"")</f>
        <v>8</v>
      </c>
      <c r="I3" s="44">
        <f t="shared" ref="I3:I5" si="0">IF(D3&gt;0,(((H3*E3)*C3)/D3),"")</f>
        <v>44.8</v>
      </c>
      <c r="J3" s="98"/>
      <c r="K3" s="103"/>
      <c r="L3" s="103"/>
      <c r="M3" s="103" t="s">
        <v>235</v>
      </c>
      <c r="N3" s="10"/>
    </row>
    <row r="4" spans="1:14" x14ac:dyDescent="0.3">
      <c r="A4" s="4" t="s">
        <v>290</v>
      </c>
      <c r="B4" s="4" t="s">
        <v>11</v>
      </c>
      <c r="C4" s="58">
        <v>4</v>
      </c>
      <c r="D4" s="56">
        <v>5</v>
      </c>
      <c r="E4" s="51">
        <v>7</v>
      </c>
      <c r="F4" s="4" t="s">
        <v>69</v>
      </c>
      <c r="G4" s="4" t="s">
        <v>82</v>
      </c>
      <c r="H4" s="48">
        <f>IF(G4&gt;0,VLOOKUP(G4,Apoio!$A$2:$B$25,2,0),"")</f>
        <v>6</v>
      </c>
      <c r="I4" s="44">
        <f>IF(D4&gt;0,(((H4*E4)*C4)/D4),"")</f>
        <v>33.6</v>
      </c>
      <c r="J4" s="98"/>
      <c r="K4" s="103"/>
      <c r="L4" s="103"/>
      <c r="M4" s="103" t="s">
        <v>235</v>
      </c>
      <c r="N4" s="10"/>
    </row>
    <row r="5" spans="1:14" x14ac:dyDescent="0.3">
      <c r="A5" s="4" t="s">
        <v>290</v>
      </c>
      <c r="B5" s="4" t="s">
        <v>11</v>
      </c>
      <c r="C5" s="58">
        <v>4</v>
      </c>
      <c r="D5" s="56">
        <v>5</v>
      </c>
      <c r="E5" s="51">
        <v>7</v>
      </c>
      <c r="F5" s="4" t="s">
        <v>69</v>
      </c>
      <c r="G5" s="4" t="s">
        <v>89</v>
      </c>
      <c r="H5" s="48">
        <f>IF(G5&gt;0,VLOOKUP(G5,Apoio!$A$2:$B$25,2,0),"")</f>
        <v>8</v>
      </c>
      <c r="I5" s="44">
        <f t="shared" si="0"/>
        <v>44.8</v>
      </c>
      <c r="J5" s="98"/>
      <c r="K5" s="103"/>
      <c r="L5" s="103"/>
      <c r="M5" s="103" t="s">
        <v>235</v>
      </c>
      <c r="N5" s="10"/>
    </row>
    <row r="6" spans="1:14" x14ac:dyDescent="0.3">
      <c r="A6" s="4" t="s">
        <v>290</v>
      </c>
      <c r="B6" s="4" t="s">
        <v>11</v>
      </c>
      <c r="C6" s="58">
        <v>4</v>
      </c>
      <c r="D6" s="56">
        <v>5</v>
      </c>
      <c r="E6" s="51">
        <v>7</v>
      </c>
      <c r="F6" s="4" t="s">
        <v>69</v>
      </c>
      <c r="G6" s="4" t="s">
        <v>96</v>
      </c>
      <c r="H6" s="48">
        <f>IF(G6&gt;0,VLOOKUP(G6,Apoio!$A$2:$B$25,2,0),"")</f>
        <v>8</v>
      </c>
      <c r="I6" s="44">
        <f t="shared" ref="I6:I37" si="1">IF(D6&gt;0,(((H6*E6)*C6)/D6),"")</f>
        <v>44.8</v>
      </c>
      <c r="J6" s="98"/>
      <c r="K6" s="103"/>
      <c r="L6" s="103"/>
      <c r="M6" s="103" t="s">
        <v>235</v>
      </c>
      <c r="N6" s="10"/>
    </row>
    <row r="7" spans="1:14" x14ac:dyDescent="0.3">
      <c r="A7" s="4" t="s">
        <v>290</v>
      </c>
      <c r="B7" s="4" t="s">
        <v>11</v>
      </c>
      <c r="C7" s="58">
        <v>4</v>
      </c>
      <c r="D7" s="56">
        <v>5</v>
      </c>
      <c r="E7" s="51">
        <v>7</v>
      </c>
      <c r="F7" s="4" t="s">
        <v>69</v>
      </c>
      <c r="G7" s="4" t="s">
        <v>99</v>
      </c>
      <c r="H7" s="48">
        <f>IF(G7&gt;0,VLOOKUP(G7,Apoio!$A$2:$B$25,2,0),"")</f>
        <v>2</v>
      </c>
      <c r="I7" s="44">
        <f t="shared" si="1"/>
        <v>11.2</v>
      </c>
      <c r="J7" s="98"/>
      <c r="K7" s="103"/>
      <c r="L7" s="103"/>
      <c r="M7" s="103" t="s">
        <v>235</v>
      </c>
      <c r="N7" s="10"/>
    </row>
    <row r="8" spans="1:14" x14ac:dyDescent="0.3">
      <c r="A8" s="4" t="s">
        <v>290</v>
      </c>
      <c r="B8" s="4" t="s">
        <v>11</v>
      </c>
      <c r="C8" s="58">
        <v>4</v>
      </c>
      <c r="D8" s="56">
        <v>5</v>
      </c>
      <c r="E8" s="51">
        <v>7</v>
      </c>
      <c r="F8" s="4" t="s">
        <v>76</v>
      </c>
      <c r="G8" s="4" t="s">
        <v>102</v>
      </c>
      <c r="H8" s="48">
        <f>IF(G8&gt;0,VLOOKUP(G8,Apoio!$A$2:$B$25,2,0),"")</f>
        <v>5</v>
      </c>
      <c r="I8" s="45">
        <f t="shared" si="1"/>
        <v>28</v>
      </c>
      <c r="J8" s="99"/>
      <c r="K8" s="103"/>
      <c r="L8" s="103"/>
      <c r="M8" s="103" t="s">
        <v>235</v>
      </c>
      <c r="N8" s="10"/>
    </row>
    <row r="9" spans="1:14" x14ac:dyDescent="0.3">
      <c r="A9" s="4" t="s">
        <v>290</v>
      </c>
      <c r="B9" s="4" t="s">
        <v>11</v>
      </c>
      <c r="C9" s="58">
        <v>4</v>
      </c>
      <c r="D9" s="56">
        <v>5</v>
      </c>
      <c r="E9" s="51">
        <v>7</v>
      </c>
      <c r="F9" s="4" t="s">
        <v>76</v>
      </c>
      <c r="G9" s="4" t="s">
        <v>105</v>
      </c>
      <c r="H9" s="48">
        <f>IF(G9&gt;0,VLOOKUP(G9,Apoio!$A$2:$B$25,2,0),"")</f>
        <v>7</v>
      </c>
      <c r="I9" s="46">
        <f t="shared" si="1"/>
        <v>39.200000000000003</v>
      </c>
      <c r="J9" s="100"/>
      <c r="K9" s="103"/>
      <c r="L9" s="103"/>
      <c r="M9" s="103" t="s">
        <v>235</v>
      </c>
      <c r="N9" s="10"/>
    </row>
    <row r="10" spans="1:14" x14ac:dyDescent="0.3">
      <c r="A10" s="4" t="s">
        <v>290</v>
      </c>
      <c r="B10" s="4" t="s">
        <v>11</v>
      </c>
      <c r="C10" s="58">
        <v>4</v>
      </c>
      <c r="D10" s="56">
        <v>5</v>
      </c>
      <c r="E10" s="51">
        <v>7</v>
      </c>
      <c r="F10" s="4" t="s">
        <v>76</v>
      </c>
      <c r="G10" s="4" t="s">
        <v>108</v>
      </c>
      <c r="H10" s="48">
        <f>IF(G10&gt;0,VLOOKUP(G10,Apoio!$A$2:$B$25,2,0),"")</f>
        <v>8</v>
      </c>
      <c r="I10" s="46">
        <f t="shared" si="1"/>
        <v>44.8</v>
      </c>
      <c r="J10" s="100"/>
      <c r="K10" s="103"/>
      <c r="L10" s="103"/>
      <c r="M10" s="103" t="s">
        <v>235</v>
      </c>
      <c r="N10" s="10"/>
    </row>
    <row r="11" spans="1:14" x14ac:dyDescent="0.3">
      <c r="A11" s="4" t="s">
        <v>290</v>
      </c>
      <c r="B11" s="4" t="s">
        <v>11</v>
      </c>
      <c r="C11" s="58">
        <v>4</v>
      </c>
      <c r="D11" s="56">
        <v>5</v>
      </c>
      <c r="E11" s="51">
        <v>7</v>
      </c>
      <c r="F11" s="4" t="s">
        <v>76</v>
      </c>
      <c r="G11" s="4" t="s">
        <v>111</v>
      </c>
      <c r="H11" s="48">
        <f>IF(G11&gt;0,VLOOKUP(G11,Apoio!$A$2:$B$25,2,0),"")</f>
        <v>7</v>
      </c>
      <c r="I11" s="47">
        <f t="shared" si="1"/>
        <v>39.200000000000003</v>
      </c>
      <c r="J11" s="101"/>
      <c r="K11" s="103"/>
      <c r="L11" s="103"/>
      <c r="M11" s="103" t="s">
        <v>235</v>
      </c>
      <c r="N11" s="10"/>
    </row>
    <row r="12" spans="1:14" x14ac:dyDescent="0.3">
      <c r="A12" s="4" t="s">
        <v>290</v>
      </c>
      <c r="B12" s="4" t="s">
        <v>11</v>
      </c>
      <c r="C12" s="58">
        <v>4</v>
      </c>
      <c r="D12" s="56">
        <v>5</v>
      </c>
      <c r="E12" s="51">
        <v>7</v>
      </c>
      <c r="F12" s="4" t="s">
        <v>76</v>
      </c>
      <c r="G12" s="4" t="s">
        <v>114</v>
      </c>
      <c r="H12" s="48">
        <f>IF(G12&gt;0,VLOOKUP(G12,Apoio!$A$2:$B$25,2,0),"")</f>
        <v>8</v>
      </c>
      <c r="I12" s="44">
        <f t="shared" si="1"/>
        <v>44.8</v>
      </c>
      <c r="J12" s="98"/>
      <c r="K12" s="103"/>
      <c r="L12" s="103"/>
      <c r="M12" s="103" t="s">
        <v>235</v>
      </c>
      <c r="N12" s="10"/>
    </row>
    <row r="13" spans="1:14" x14ac:dyDescent="0.3">
      <c r="A13" s="4" t="s">
        <v>290</v>
      </c>
      <c r="B13" s="4" t="s">
        <v>11</v>
      </c>
      <c r="C13" s="58">
        <v>4</v>
      </c>
      <c r="D13" s="56">
        <v>5</v>
      </c>
      <c r="E13" s="51">
        <v>7</v>
      </c>
      <c r="F13" s="4" t="s">
        <v>76</v>
      </c>
      <c r="G13" s="4" t="s">
        <v>117</v>
      </c>
      <c r="H13" s="48">
        <f>IF(G13&gt;0,VLOOKUP(G13,Apoio!$A$2:$B$25,2,0),"")</f>
        <v>3</v>
      </c>
      <c r="I13" s="44">
        <f t="shared" si="1"/>
        <v>16.8</v>
      </c>
      <c r="J13" s="98"/>
      <c r="K13" s="103"/>
      <c r="L13" s="103"/>
      <c r="M13" s="103" t="s">
        <v>235</v>
      </c>
      <c r="N13" s="10"/>
    </row>
    <row r="14" spans="1:14" x14ac:dyDescent="0.3">
      <c r="A14" s="4" t="s">
        <v>290</v>
      </c>
      <c r="B14" s="4" t="s">
        <v>11</v>
      </c>
      <c r="C14" s="59">
        <v>4</v>
      </c>
      <c r="D14" s="56">
        <v>5</v>
      </c>
      <c r="E14" s="51">
        <v>7</v>
      </c>
      <c r="F14" s="4" t="s">
        <v>83</v>
      </c>
      <c r="G14" s="4" t="s">
        <v>120</v>
      </c>
      <c r="H14" s="48">
        <f>IF(G14&gt;0,VLOOKUP(G14,Apoio!$A$2:$B$25,2,0),"")</f>
        <v>7</v>
      </c>
      <c r="I14" s="44">
        <f t="shared" si="1"/>
        <v>39.200000000000003</v>
      </c>
      <c r="J14" s="98"/>
      <c r="K14" s="103"/>
      <c r="L14" s="103"/>
      <c r="M14" s="103" t="s">
        <v>235</v>
      </c>
      <c r="N14" s="10"/>
    </row>
    <row r="15" spans="1:14" x14ac:dyDescent="0.3">
      <c r="A15" s="4" t="s">
        <v>290</v>
      </c>
      <c r="B15" s="4" t="s">
        <v>11</v>
      </c>
      <c r="C15" s="64">
        <v>4</v>
      </c>
      <c r="D15" s="56">
        <v>5</v>
      </c>
      <c r="E15" s="51">
        <v>7</v>
      </c>
      <c r="F15" s="4" t="s">
        <v>83</v>
      </c>
      <c r="G15" s="4" t="s">
        <v>123</v>
      </c>
      <c r="H15" s="48">
        <f>IF(G15&gt;0,VLOOKUP(G15,Apoio!$A$2:$B$25,2,0),"")</f>
        <v>8</v>
      </c>
      <c r="I15" s="44">
        <f t="shared" si="1"/>
        <v>44.8</v>
      </c>
      <c r="J15" s="98"/>
      <c r="K15" s="103"/>
      <c r="L15" s="103"/>
      <c r="M15" s="103" t="s">
        <v>235</v>
      </c>
      <c r="N15" s="10"/>
    </row>
    <row r="16" spans="1:14" x14ac:dyDescent="0.3">
      <c r="A16" s="4" t="s">
        <v>290</v>
      </c>
      <c r="B16" s="4" t="s">
        <v>11</v>
      </c>
      <c r="C16" s="64">
        <v>4</v>
      </c>
      <c r="D16" s="56">
        <v>5</v>
      </c>
      <c r="E16" s="51">
        <v>7</v>
      </c>
      <c r="F16" s="4" t="s">
        <v>83</v>
      </c>
      <c r="G16" s="4" t="s">
        <v>126</v>
      </c>
      <c r="H16" s="48">
        <f>IF(G16&gt;0,VLOOKUP(G16,Apoio!$A$2:$B$25,2,0),"")</f>
        <v>8</v>
      </c>
      <c r="I16" s="44">
        <f t="shared" si="1"/>
        <v>44.8</v>
      </c>
      <c r="J16" s="98"/>
      <c r="K16" s="103"/>
      <c r="L16" s="103"/>
      <c r="M16" s="103" t="s">
        <v>235</v>
      </c>
      <c r="N16" s="10"/>
    </row>
    <row r="17" spans="1:13" s="10" customFormat="1" x14ac:dyDescent="0.3">
      <c r="A17" s="4" t="s">
        <v>290</v>
      </c>
      <c r="B17" s="4" t="s">
        <v>11</v>
      </c>
      <c r="C17" s="64">
        <v>4</v>
      </c>
      <c r="D17" s="56">
        <v>5</v>
      </c>
      <c r="E17" s="51">
        <v>7</v>
      </c>
      <c r="F17" s="4" t="s">
        <v>83</v>
      </c>
      <c r="G17" s="4" t="s">
        <v>129</v>
      </c>
      <c r="H17" s="48">
        <f>IF(G17&gt;0,VLOOKUP(G17,Apoio!$A$2:$B$25,2,0),"")</f>
        <v>8</v>
      </c>
      <c r="I17" s="44">
        <f t="shared" si="1"/>
        <v>44.8</v>
      </c>
      <c r="J17" s="98"/>
      <c r="K17" s="103"/>
      <c r="L17" s="103"/>
      <c r="M17" s="103" t="s">
        <v>235</v>
      </c>
    </row>
    <row r="18" spans="1:13" s="10" customFormat="1" x14ac:dyDescent="0.3">
      <c r="A18" s="4" t="s">
        <v>290</v>
      </c>
      <c r="B18" s="4" t="s">
        <v>11</v>
      </c>
      <c r="C18" s="64">
        <v>4</v>
      </c>
      <c r="D18" s="56">
        <v>5</v>
      </c>
      <c r="E18" s="51">
        <v>7</v>
      </c>
      <c r="F18" s="4" t="s">
        <v>83</v>
      </c>
      <c r="G18" s="4" t="s">
        <v>132</v>
      </c>
      <c r="H18" s="48">
        <f>IF(G18&gt;0,VLOOKUP(G18,Apoio!$A$2:$B$25,2,0),"")</f>
        <v>7</v>
      </c>
      <c r="I18" s="44">
        <f t="shared" si="1"/>
        <v>39.200000000000003</v>
      </c>
      <c r="J18" s="98"/>
      <c r="K18" s="103"/>
      <c r="L18" s="103"/>
      <c r="M18" s="103" t="s">
        <v>235</v>
      </c>
    </row>
    <row r="19" spans="1:13" s="10" customFormat="1" x14ac:dyDescent="0.3">
      <c r="A19" s="4" t="s">
        <v>290</v>
      </c>
      <c r="B19" s="4" t="s">
        <v>11</v>
      </c>
      <c r="C19" s="64">
        <v>4</v>
      </c>
      <c r="D19" s="56">
        <v>5</v>
      </c>
      <c r="E19" s="51">
        <v>7</v>
      </c>
      <c r="F19" s="4" t="s">
        <v>83</v>
      </c>
      <c r="G19" s="4" t="s">
        <v>135</v>
      </c>
      <c r="H19" s="48">
        <f>IF(G19&gt;0,VLOOKUP(G19,Apoio!$A$2:$B$25,2,0),"")</f>
        <v>3</v>
      </c>
      <c r="I19" s="44">
        <f t="shared" si="1"/>
        <v>16.8</v>
      </c>
      <c r="J19" s="98"/>
      <c r="K19" s="103"/>
      <c r="L19" s="103"/>
      <c r="M19" s="103" t="s">
        <v>235</v>
      </c>
    </row>
    <row r="20" spans="1:13" s="10" customFormat="1" x14ac:dyDescent="0.3">
      <c r="A20" s="4" t="s">
        <v>290</v>
      </c>
      <c r="B20" s="4" t="s">
        <v>11</v>
      </c>
      <c r="C20" s="399">
        <v>4</v>
      </c>
      <c r="D20" s="51">
        <v>5</v>
      </c>
      <c r="E20" s="51">
        <v>7</v>
      </c>
      <c r="F20" s="4" t="s">
        <v>90</v>
      </c>
      <c r="G20" s="4" t="s">
        <v>138</v>
      </c>
      <c r="H20" s="48">
        <f>IF(G20&gt;0,VLOOKUP(G20,Apoio!$A$2:$B$25,2,0),"")</f>
        <v>8</v>
      </c>
      <c r="I20" s="44">
        <f t="shared" si="1"/>
        <v>44.8</v>
      </c>
      <c r="J20" s="98">
        <v>8</v>
      </c>
      <c r="K20" s="406">
        <f>I20-J20</f>
        <v>36.799999999999997</v>
      </c>
      <c r="L20" s="103"/>
      <c r="M20" s="103" t="s">
        <v>235</v>
      </c>
    </row>
    <row r="21" spans="1:13" s="10" customFormat="1" x14ac:dyDescent="0.3">
      <c r="A21" s="4" t="s">
        <v>290</v>
      </c>
      <c r="B21" s="4" t="s">
        <v>11</v>
      </c>
      <c r="C21" s="399">
        <v>4</v>
      </c>
      <c r="D21" s="51">
        <v>5</v>
      </c>
      <c r="E21" s="51">
        <v>7</v>
      </c>
      <c r="F21" s="4" t="s">
        <v>90</v>
      </c>
      <c r="G21" s="4" t="s">
        <v>141</v>
      </c>
      <c r="H21" s="48">
        <f>IF(G21&gt;0,VLOOKUP(G21,Apoio!$A$2:$B$25,2,0),"")</f>
        <v>7</v>
      </c>
      <c r="I21" s="44">
        <f t="shared" si="1"/>
        <v>39.200000000000003</v>
      </c>
      <c r="J21" s="98">
        <v>8</v>
      </c>
      <c r="K21" s="406">
        <f t="shared" ref="K21:K25" si="2">I21-J21</f>
        <v>31.200000000000003</v>
      </c>
      <c r="L21" s="103"/>
      <c r="M21" s="103" t="s">
        <v>235</v>
      </c>
    </row>
    <row r="22" spans="1:13" s="10" customFormat="1" x14ac:dyDescent="0.3">
      <c r="A22" s="4" t="s">
        <v>290</v>
      </c>
      <c r="B22" s="4" t="s">
        <v>11</v>
      </c>
      <c r="C22" s="399">
        <v>4</v>
      </c>
      <c r="D22" s="51">
        <v>5</v>
      </c>
      <c r="E22" s="51">
        <v>7</v>
      </c>
      <c r="F22" s="4" t="s">
        <v>90</v>
      </c>
      <c r="G22" s="4" t="s">
        <v>144</v>
      </c>
      <c r="H22" s="48">
        <f>IF(G22&gt;0,VLOOKUP(G22,Apoio!$A$2:$B$25,2,0),"")</f>
        <v>7</v>
      </c>
      <c r="I22" s="44">
        <f t="shared" si="1"/>
        <v>39.200000000000003</v>
      </c>
      <c r="J22" s="98">
        <v>8</v>
      </c>
      <c r="K22" s="406">
        <f t="shared" si="2"/>
        <v>31.200000000000003</v>
      </c>
      <c r="L22" s="103"/>
      <c r="M22" s="103" t="s">
        <v>235</v>
      </c>
    </row>
    <row r="23" spans="1:13" s="10" customFormat="1" x14ac:dyDescent="0.3">
      <c r="A23" s="4" t="s">
        <v>290</v>
      </c>
      <c r="B23" s="4" t="s">
        <v>11</v>
      </c>
      <c r="C23" s="399">
        <v>4</v>
      </c>
      <c r="D23" s="51">
        <v>5</v>
      </c>
      <c r="E23" s="51">
        <v>7</v>
      </c>
      <c r="F23" s="4" t="s">
        <v>90</v>
      </c>
      <c r="G23" s="4" t="s">
        <v>147</v>
      </c>
      <c r="H23" s="48">
        <f>IF(G23&gt;0,VLOOKUP(G23,Apoio!$A$2:$B$25,2,0),"")</f>
        <v>7</v>
      </c>
      <c r="I23" s="44">
        <f t="shared" si="1"/>
        <v>39.200000000000003</v>
      </c>
      <c r="J23" s="98">
        <v>8</v>
      </c>
      <c r="K23" s="406">
        <f t="shared" si="2"/>
        <v>31.200000000000003</v>
      </c>
      <c r="L23" s="103"/>
      <c r="M23" s="103" t="s">
        <v>235</v>
      </c>
    </row>
    <row r="24" spans="1:13" s="10" customFormat="1" x14ac:dyDescent="0.3">
      <c r="A24" s="4" t="s">
        <v>290</v>
      </c>
      <c r="B24" s="4" t="s">
        <v>11</v>
      </c>
      <c r="C24" s="399">
        <v>4</v>
      </c>
      <c r="D24" s="51">
        <v>5</v>
      </c>
      <c r="E24" s="51">
        <v>7</v>
      </c>
      <c r="F24" s="4" t="s">
        <v>90</v>
      </c>
      <c r="G24" s="4" t="s">
        <v>150</v>
      </c>
      <c r="H24" s="48">
        <f>IF(G24&gt;0,VLOOKUP(G24,Apoio!$A$2:$B$25,2,0),"")</f>
        <v>8</v>
      </c>
      <c r="I24" s="44">
        <f t="shared" si="1"/>
        <v>44.8</v>
      </c>
      <c r="J24" s="98">
        <v>8</v>
      </c>
      <c r="K24" s="406">
        <f t="shared" si="2"/>
        <v>36.799999999999997</v>
      </c>
      <c r="L24" s="103"/>
      <c r="M24" s="103" t="s">
        <v>235</v>
      </c>
    </row>
    <row r="25" spans="1:13" s="10" customFormat="1" x14ac:dyDescent="0.3">
      <c r="A25" s="4" t="s">
        <v>290</v>
      </c>
      <c r="B25" s="4" t="s">
        <v>11</v>
      </c>
      <c r="C25" s="399">
        <v>4</v>
      </c>
      <c r="D25" s="51">
        <v>5</v>
      </c>
      <c r="E25" s="51">
        <v>7</v>
      </c>
      <c r="F25" s="4" t="s">
        <v>90</v>
      </c>
      <c r="G25" s="4" t="s">
        <v>153</v>
      </c>
      <c r="H25" s="48">
        <f>IF(G25&gt;0,VLOOKUP(G25,Apoio!$A$2:$B$25,2,0),"")</f>
        <v>8</v>
      </c>
      <c r="I25" s="44">
        <f t="shared" si="1"/>
        <v>44.8</v>
      </c>
      <c r="J25" s="98">
        <v>8</v>
      </c>
      <c r="K25" s="406">
        <f t="shared" si="2"/>
        <v>36.799999999999997</v>
      </c>
      <c r="L25" s="103"/>
      <c r="M25" s="103" t="s">
        <v>235</v>
      </c>
    </row>
    <row r="26" spans="1:13" s="10" customFormat="1" x14ac:dyDescent="0.3">
      <c r="A26" s="4" t="s">
        <v>290</v>
      </c>
      <c r="B26" s="4" t="s">
        <v>12</v>
      </c>
      <c r="C26" s="75">
        <v>5</v>
      </c>
      <c r="D26" s="113">
        <v>6</v>
      </c>
      <c r="E26" s="51">
        <v>7</v>
      </c>
      <c r="F26" s="4" t="s">
        <v>69</v>
      </c>
      <c r="G26" s="4" t="s">
        <v>68</v>
      </c>
      <c r="H26" s="48">
        <f>IF(G26&gt;0,VLOOKUP(G26,Apoio!$A$2:$B$25,2,0),"")</f>
        <v>7</v>
      </c>
      <c r="I26" s="44">
        <f t="shared" si="1"/>
        <v>40.833333333333336</v>
      </c>
      <c r="J26" s="98"/>
      <c r="K26" s="103"/>
      <c r="L26" s="103"/>
      <c r="M26" s="103" t="s">
        <v>235</v>
      </c>
    </row>
    <row r="27" spans="1:13" s="10" customFormat="1" x14ac:dyDescent="0.3">
      <c r="A27" s="4" t="s">
        <v>290</v>
      </c>
      <c r="B27" s="4" t="s">
        <v>12</v>
      </c>
      <c r="C27" s="75">
        <v>5</v>
      </c>
      <c r="D27" s="113">
        <v>6</v>
      </c>
      <c r="E27" s="51">
        <v>7</v>
      </c>
      <c r="F27" s="4" t="s">
        <v>69</v>
      </c>
      <c r="G27" s="4" t="s">
        <v>75</v>
      </c>
      <c r="H27" s="48">
        <f>IF(G27&gt;0,VLOOKUP(G27,Apoio!$A$2:$B$25,2,0),"")</f>
        <v>8</v>
      </c>
      <c r="I27" s="44">
        <f t="shared" si="1"/>
        <v>46.666666666666664</v>
      </c>
      <c r="J27" s="98"/>
      <c r="K27" s="103"/>
      <c r="L27" s="103"/>
      <c r="M27" s="103" t="s">
        <v>235</v>
      </c>
    </row>
    <row r="28" spans="1:13" s="10" customFormat="1" x14ac:dyDescent="0.3">
      <c r="A28" s="4" t="s">
        <v>290</v>
      </c>
      <c r="B28" s="4" t="s">
        <v>12</v>
      </c>
      <c r="C28" s="75">
        <v>5</v>
      </c>
      <c r="D28" s="113">
        <v>6</v>
      </c>
      <c r="E28" s="51">
        <v>7</v>
      </c>
      <c r="F28" s="4" t="s">
        <v>69</v>
      </c>
      <c r="G28" s="4" t="s">
        <v>82</v>
      </c>
      <c r="H28" s="48">
        <f>IF(G28&gt;0,VLOOKUP(G28,Apoio!$A$2:$B$25,2,0),"")</f>
        <v>6</v>
      </c>
      <c r="I28" s="44">
        <f t="shared" si="1"/>
        <v>35</v>
      </c>
      <c r="J28" s="98"/>
      <c r="K28" s="103"/>
      <c r="L28" s="103"/>
      <c r="M28" s="103" t="s">
        <v>235</v>
      </c>
    </row>
    <row r="29" spans="1:13" s="10" customFormat="1" x14ac:dyDescent="0.3">
      <c r="A29" s="4" t="s">
        <v>290</v>
      </c>
      <c r="B29" s="4" t="s">
        <v>12</v>
      </c>
      <c r="C29" s="75">
        <v>5</v>
      </c>
      <c r="D29" s="113">
        <v>6</v>
      </c>
      <c r="E29" s="51">
        <v>7</v>
      </c>
      <c r="F29" s="4" t="s">
        <v>69</v>
      </c>
      <c r="G29" s="4" t="s">
        <v>89</v>
      </c>
      <c r="H29" s="48">
        <f>IF(G29&gt;0,VLOOKUP(G29,Apoio!$A$2:$B$25,2,0),"")</f>
        <v>8</v>
      </c>
      <c r="I29" s="44">
        <f t="shared" si="1"/>
        <v>46.666666666666664</v>
      </c>
      <c r="J29" s="98"/>
      <c r="K29" s="103"/>
      <c r="L29" s="103"/>
      <c r="M29" s="103" t="s">
        <v>235</v>
      </c>
    </row>
    <row r="30" spans="1:13" s="10" customFormat="1" x14ac:dyDescent="0.3">
      <c r="A30" s="4" t="s">
        <v>290</v>
      </c>
      <c r="B30" s="4" t="s">
        <v>12</v>
      </c>
      <c r="C30" s="75">
        <v>5</v>
      </c>
      <c r="D30" s="113">
        <v>6</v>
      </c>
      <c r="E30" s="51">
        <v>7</v>
      </c>
      <c r="F30" s="4" t="s">
        <v>69</v>
      </c>
      <c r="G30" s="4" t="s">
        <v>96</v>
      </c>
      <c r="H30" s="48">
        <f>IF(G30&gt;0,VLOOKUP(G30,Apoio!$A$2:$B$25,2,0),"")</f>
        <v>8</v>
      </c>
      <c r="I30" s="44">
        <f t="shared" si="1"/>
        <v>46.666666666666664</v>
      </c>
      <c r="J30" s="98"/>
      <c r="K30" s="103"/>
      <c r="L30" s="103"/>
      <c r="M30" s="103" t="s">
        <v>235</v>
      </c>
    </row>
    <row r="31" spans="1:13" s="10" customFormat="1" x14ac:dyDescent="0.3">
      <c r="A31" s="4" t="s">
        <v>290</v>
      </c>
      <c r="B31" s="4" t="s">
        <v>12</v>
      </c>
      <c r="C31" s="75">
        <v>5</v>
      </c>
      <c r="D31" s="113">
        <v>6</v>
      </c>
      <c r="E31" s="51">
        <v>7</v>
      </c>
      <c r="F31" s="4" t="s">
        <v>69</v>
      </c>
      <c r="G31" s="4" t="s">
        <v>99</v>
      </c>
      <c r="H31" s="48">
        <f>IF(G31&gt;0,VLOOKUP(G31,Apoio!$A$2:$B$25,2,0),"")</f>
        <v>2</v>
      </c>
      <c r="I31" s="44">
        <f t="shared" si="1"/>
        <v>11.666666666666666</v>
      </c>
      <c r="J31" s="98"/>
      <c r="K31" s="103"/>
      <c r="L31" s="103"/>
      <c r="M31" s="103" t="s">
        <v>235</v>
      </c>
    </row>
    <row r="32" spans="1:13" s="10" customFormat="1" x14ac:dyDescent="0.3">
      <c r="A32" s="4" t="s">
        <v>290</v>
      </c>
      <c r="B32" s="4" t="s">
        <v>12</v>
      </c>
      <c r="C32" s="75">
        <v>5</v>
      </c>
      <c r="D32" s="113">
        <v>6</v>
      </c>
      <c r="E32" s="51">
        <v>7</v>
      </c>
      <c r="F32" s="4" t="s">
        <v>76</v>
      </c>
      <c r="G32" s="4" t="s">
        <v>102</v>
      </c>
      <c r="H32" s="48">
        <f>IF(G32&gt;0,VLOOKUP(G32,Apoio!$A$2:$B$25,2,0),"")</f>
        <v>5</v>
      </c>
      <c r="I32" s="44">
        <f t="shared" si="1"/>
        <v>29.166666666666668</v>
      </c>
      <c r="J32" s="98"/>
      <c r="K32" s="103"/>
      <c r="L32" s="103"/>
      <c r="M32" s="103" t="s">
        <v>235</v>
      </c>
    </row>
    <row r="33" spans="1:13" s="10" customFormat="1" x14ac:dyDescent="0.3">
      <c r="A33" s="4" t="s">
        <v>290</v>
      </c>
      <c r="B33" s="4" t="s">
        <v>12</v>
      </c>
      <c r="C33" s="75">
        <v>5</v>
      </c>
      <c r="D33" s="113">
        <v>6</v>
      </c>
      <c r="E33" s="51">
        <v>7</v>
      </c>
      <c r="F33" s="4" t="s">
        <v>76</v>
      </c>
      <c r="G33" s="4" t="s">
        <v>105</v>
      </c>
      <c r="H33" s="48">
        <f>IF(G33&gt;0,VLOOKUP(G33,Apoio!$A$2:$B$25,2,0),"")</f>
        <v>7</v>
      </c>
      <c r="I33" s="44">
        <f t="shared" si="1"/>
        <v>40.833333333333336</v>
      </c>
      <c r="J33" s="98"/>
      <c r="K33" s="103"/>
      <c r="L33" s="103"/>
      <c r="M33" s="103" t="s">
        <v>235</v>
      </c>
    </row>
    <row r="34" spans="1:13" s="10" customFormat="1" x14ac:dyDescent="0.3">
      <c r="A34" s="4" t="s">
        <v>290</v>
      </c>
      <c r="B34" s="4" t="s">
        <v>12</v>
      </c>
      <c r="C34" s="75">
        <v>5</v>
      </c>
      <c r="D34" s="113">
        <v>6</v>
      </c>
      <c r="E34" s="51">
        <v>7</v>
      </c>
      <c r="F34" s="4" t="s">
        <v>76</v>
      </c>
      <c r="G34" s="4" t="s">
        <v>108</v>
      </c>
      <c r="H34" s="48">
        <f>IF(G34&gt;0,VLOOKUP(G34,Apoio!$A$2:$B$25,2,0),"")</f>
        <v>8</v>
      </c>
      <c r="I34" s="44">
        <f t="shared" si="1"/>
        <v>46.666666666666664</v>
      </c>
      <c r="J34" s="98"/>
      <c r="K34" s="103"/>
      <c r="L34" s="103"/>
      <c r="M34" s="103" t="s">
        <v>235</v>
      </c>
    </row>
    <row r="35" spans="1:13" s="10" customFormat="1" x14ac:dyDescent="0.3">
      <c r="A35" s="4" t="s">
        <v>290</v>
      </c>
      <c r="B35" s="4" t="s">
        <v>12</v>
      </c>
      <c r="C35" s="75">
        <v>5</v>
      </c>
      <c r="D35" s="113">
        <v>6</v>
      </c>
      <c r="E35" s="51">
        <v>7</v>
      </c>
      <c r="F35" s="4" t="s">
        <v>76</v>
      </c>
      <c r="G35" s="4" t="s">
        <v>111</v>
      </c>
      <c r="H35" s="48">
        <f>IF(G35&gt;0,VLOOKUP(G35,Apoio!$A$2:$B$25,2,0),"")</f>
        <v>7</v>
      </c>
      <c r="I35" s="44">
        <f t="shared" si="1"/>
        <v>40.833333333333336</v>
      </c>
      <c r="J35" s="98"/>
      <c r="K35" s="103"/>
      <c r="L35" s="103"/>
      <c r="M35" s="103" t="s">
        <v>235</v>
      </c>
    </row>
    <row r="36" spans="1:13" s="10" customFormat="1" x14ac:dyDescent="0.3">
      <c r="A36" s="4" t="s">
        <v>290</v>
      </c>
      <c r="B36" s="4" t="s">
        <v>12</v>
      </c>
      <c r="C36" s="75">
        <v>5</v>
      </c>
      <c r="D36" s="113">
        <v>6</v>
      </c>
      <c r="E36" s="51">
        <v>7</v>
      </c>
      <c r="F36" s="4" t="s">
        <v>76</v>
      </c>
      <c r="G36" s="4" t="s">
        <v>114</v>
      </c>
      <c r="H36" s="48">
        <f>IF(G36&gt;0,VLOOKUP(G36,Apoio!$A$2:$B$25,2,0),"")</f>
        <v>8</v>
      </c>
      <c r="I36" s="44">
        <f t="shared" si="1"/>
        <v>46.666666666666664</v>
      </c>
      <c r="J36" s="98"/>
      <c r="K36" s="103"/>
      <c r="L36" s="103"/>
      <c r="M36" s="103" t="s">
        <v>235</v>
      </c>
    </row>
    <row r="37" spans="1:13" s="10" customFormat="1" x14ac:dyDescent="0.3">
      <c r="A37" s="4" t="s">
        <v>290</v>
      </c>
      <c r="B37" s="4" t="s">
        <v>12</v>
      </c>
      <c r="C37" s="75">
        <v>5</v>
      </c>
      <c r="D37" s="113">
        <v>6</v>
      </c>
      <c r="E37" s="51">
        <v>7</v>
      </c>
      <c r="F37" s="4" t="s">
        <v>76</v>
      </c>
      <c r="G37" s="4" t="s">
        <v>117</v>
      </c>
      <c r="H37" s="48">
        <f>IF(G37&gt;0,VLOOKUP(G37,Apoio!$A$2:$B$25,2,0),"")</f>
        <v>3</v>
      </c>
      <c r="I37" s="44">
        <f t="shared" si="1"/>
        <v>17.5</v>
      </c>
      <c r="J37" s="98"/>
      <c r="K37" s="103"/>
      <c r="L37" s="103"/>
      <c r="M37" s="103" t="s">
        <v>235</v>
      </c>
    </row>
    <row r="38" spans="1:13" s="10" customFormat="1" x14ac:dyDescent="0.3">
      <c r="A38" s="4" t="s">
        <v>290</v>
      </c>
      <c r="B38" s="4" t="s">
        <v>12</v>
      </c>
      <c r="C38" s="75">
        <v>5</v>
      </c>
      <c r="D38" s="113">
        <v>6</v>
      </c>
      <c r="E38" s="51">
        <v>7</v>
      </c>
      <c r="F38" s="4" t="s">
        <v>83</v>
      </c>
      <c r="G38" s="4" t="s">
        <v>120</v>
      </c>
      <c r="H38" s="48">
        <f>IF(G38&gt;0,VLOOKUP(G38,Apoio!$A$2:$B$25,2,0),"")</f>
        <v>7</v>
      </c>
      <c r="I38" s="44">
        <f t="shared" ref="I38:I69" si="3">IF(D38&gt;0,(((H38*E38)*C38)/D38),"")</f>
        <v>40.833333333333336</v>
      </c>
      <c r="J38" s="98"/>
      <c r="K38" s="103"/>
      <c r="L38" s="103"/>
      <c r="M38" s="103" t="s">
        <v>235</v>
      </c>
    </row>
    <row r="39" spans="1:13" s="10" customFormat="1" x14ac:dyDescent="0.3">
      <c r="A39" s="4" t="s">
        <v>290</v>
      </c>
      <c r="B39" s="4" t="s">
        <v>12</v>
      </c>
      <c r="C39" s="75">
        <v>5</v>
      </c>
      <c r="D39" s="113">
        <v>6</v>
      </c>
      <c r="E39" s="51">
        <v>7</v>
      </c>
      <c r="F39" s="4" t="s">
        <v>83</v>
      </c>
      <c r="G39" s="4" t="s">
        <v>123</v>
      </c>
      <c r="H39" s="48">
        <f>IF(G39&gt;0,VLOOKUP(G39,Apoio!$A$2:$B$25,2,0),"")</f>
        <v>8</v>
      </c>
      <c r="I39" s="44">
        <f t="shared" si="3"/>
        <v>46.666666666666664</v>
      </c>
      <c r="J39" s="98"/>
      <c r="K39" s="103"/>
      <c r="L39" s="103"/>
      <c r="M39" s="103" t="s">
        <v>235</v>
      </c>
    </row>
    <row r="40" spans="1:13" s="10" customFormat="1" x14ac:dyDescent="0.3">
      <c r="A40" s="4" t="s">
        <v>290</v>
      </c>
      <c r="B40" s="4" t="s">
        <v>12</v>
      </c>
      <c r="C40" s="75">
        <v>5</v>
      </c>
      <c r="D40" s="113">
        <v>6</v>
      </c>
      <c r="E40" s="51">
        <v>7</v>
      </c>
      <c r="F40" s="4" t="s">
        <v>83</v>
      </c>
      <c r="G40" s="4" t="s">
        <v>126</v>
      </c>
      <c r="H40" s="48">
        <f>IF(G40&gt;0,VLOOKUP(G40,Apoio!$A$2:$B$25,2,0),"")</f>
        <v>8</v>
      </c>
      <c r="I40" s="44">
        <f t="shared" si="3"/>
        <v>46.666666666666664</v>
      </c>
      <c r="J40" s="98"/>
      <c r="K40" s="103"/>
      <c r="L40" s="103"/>
      <c r="M40" s="103" t="s">
        <v>235</v>
      </c>
    </row>
    <row r="41" spans="1:13" s="10" customFormat="1" x14ac:dyDescent="0.3">
      <c r="A41" s="4" t="s">
        <v>290</v>
      </c>
      <c r="B41" s="4" t="s">
        <v>12</v>
      </c>
      <c r="C41" s="75">
        <v>5</v>
      </c>
      <c r="D41" s="113">
        <v>6</v>
      </c>
      <c r="E41" s="51">
        <v>7</v>
      </c>
      <c r="F41" s="4" t="s">
        <v>83</v>
      </c>
      <c r="G41" s="4" t="s">
        <v>129</v>
      </c>
      <c r="H41" s="48">
        <f>IF(G41&gt;0,VLOOKUP(G41,Apoio!$A$2:$B$25,2,0),"")</f>
        <v>8</v>
      </c>
      <c r="I41" s="44">
        <f t="shared" si="3"/>
        <v>46.666666666666664</v>
      </c>
      <c r="J41" s="98"/>
      <c r="K41" s="103"/>
      <c r="L41" s="103"/>
      <c r="M41" s="103" t="s">
        <v>235</v>
      </c>
    </row>
    <row r="42" spans="1:13" s="10" customFormat="1" x14ac:dyDescent="0.3">
      <c r="A42" s="4" t="s">
        <v>290</v>
      </c>
      <c r="B42" s="4" t="s">
        <v>12</v>
      </c>
      <c r="C42" s="75">
        <v>5</v>
      </c>
      <c r="D42" s="113">
        <v>6</v>
      </c>
      <c r="E42" s="51">
        <v>7</v>
      </c>
      <c r="F42" s="4" t="s">
        <v>83</v>
      </c>
      <c r="G42" s="4" t="s">
        <v>132</v>
      </c>
      <c r="H42" s="48">
        <f>IF(G42&gt;0,VLOOKUP(G42,Apoio!$A$2:$B$25,2,0),"")</f>
        <v>7</v>
      </c>
      <c r="I42" s="44">
        <f t="shared" si="3"/>
        <v>40.833333333333336</v>
      </c>
      <c r="J42" s="98"/>
      <c r="K42" s="103"/>
      <c r="L42" s="103"/>
      <c r="M42" s="103" t="s">
        <v>235</v>
      </c>
    </row>
    <row r="43" spans="1:13" s="10" customFormat="1" x14ac:dyDescent="0.3">
      <c r="A43" s="4" t="s">
        <v>290</v>
      </c>
      <c r="B43" s="4" t="s">
        <v>12</v>
      </c>
      <c r="C43" s="75">
        <v>5</v>
      </c>
      <c r="D43" s="113">
        <v>6</v>
      </c>
      <c r="E43" s="51">
        <v>7</v>
      </c>
      <c r="F43" s="4" t="s">
        <v>83</v>
      </c>
      <c r="G43" s="4" t="s">
        <v>135</v>
      </c>
      <c r="H43" s="48">
        <f>IF(G43&gt;0,VLOOKUP(G43,Apoio!$A$2:$B$25,2,0),"")</f>
        <v>3</v>
      </c>
      <c r="I43" s="44">
        <f t="shared" si="3"/>
        <v>17.5</v>
      </c>
      <c r="J43" s="98"/>
      <c r="K43" s="103"/>
      <c r="L43" s="103"/>
      <c r="M43" s="103" t="s">
        <v>235</v>
      </c>
    </row>
    <row r="44" spans="1:13" s="10" customFormat="1" x14ac:dyDescent="0.3">
      <c r="A44" s="4" t="s">
        <v>290</v>
      </c>
      <c r="B44" s="4" t="s">
        <v>12</v>
      </c>
      <c r="C44" s="400">
        <v>5</v>
      </c>
      <c r="D44" s="90">
        <v>6</v>
      </c>
      <c r="E44" s="51">
        <v>7</v>
      </c>
      <c r="F44" s="4" t="s">
        <v>90</v>
      </c>
      <c r="G44" s="4" t="s">
        <v>138</v>
      </c>
      <c r="H44" s="48">
        <f>IF(G44&gt;0,VLOOKUP(G44,Apoio!$A$2:$B$25,2,0),"")</f>
        <v>8</v>
      </c>
      <c r="I44" s="44">
        <f t="shared" si="3"/>
        <v>46.666666666666664</v>
      </c>
      <c r="J44" s="98">
        <v>8</v>
      </c>
      <c r="K44" s="406">
        <f t="shared" ref="K44:K49" si="4">I44-J44</f>
        <v>38.666666666666664</v>
      </c>
      <c r="L44" s="103"/>
      <c r="M44" s="103" t="s">
        <v>235</v>
      </c>
    </row>
    <row r="45" spans="1:13" s="10" customFormat="1" x14ac:dyDescent="0.3">
      <c r="A45" s="4" t="s">
        <v>290</v>
      </c>
      <c r="B45" s="4" t="s">
        <v>12</v>
      </c>
      <c r="C45" s="400">
        <v>5</v>
      </c>
      <c r="D45" s="90">
        <v>6</v>
      </c>
      <c r="E45" s="51">
        <v>7</v>
      </c>
      <c r="F45" s="4" t="s">
        <v>90</v>
      </c>
      <c r="G45" s="4" t="s">
        <v>141</v>
      </c>
      <c r="H45" s="48">
        <f>IF(G45&gt;0,VLOOKUP(G45,Apoio!$A$2:$B$25,2,0),"")</f>
        <v>7</v>
      </c>
      <c r="I45" s="44">
        <f t="shared" si="3"/>
        <v>40.833333333333336</v>
      </c>
      <c r="J45" s="98">
        <v>8</v>
      </c>
      <c r="K45" s="406">
        <f t="shared" si="4"/>
        <v>32.833333333333336</v>
      </c>
      <c r="L45" s="103"/>
      <c r="M45" s="103" t="s">
        <v>235</v>
      </c>
    </row>
    <row r="46" spans="1:13" s="10" customFormat="1" x14ac:dyDescent="0.3">
      <c r="A46" s="4" t="s">
        <v>290</v>
      </c>
      <c r="B46" s="4" t="s">
        <v>12</v>
      </c>
      <c r="C46" s="400">
        <v>5</v>
      </c>
      <c r="D46" s="90">
        <v>6</v>
      </c>
      <c r="E46" s="51">
        <v>7</v>
      </c>
      <c r="F46" s="4" t="s">
        <v>90</v>
      </c>
      <c r="G46" s="4" t="s">
        <v>144</v>
      </c>
      <c r="H46" s="48">
        <f>IF(G46&gt;0,VLOOKUP(G46,Apoio!$A$2:$B$25,2,0),"")</f>
        <v>7</v>
      </c>
      <c r="I46" s="44">
        <f t="shared" si="3"/>
        <v>40.833333333333336</v>
      </c>
      <c r="J46" s="98">
        <v>8</v>
      </c>
      <c r="K46" s="406">
        <f t="shared" si="4"/>
        <v>32.833333333333336</v>
      </c>
      <c r="L46" s="103"/>
      <c r="M46" s="103" t="s">
        <v>235</v>
      </c>
    </row>
    <row r="47" spans="1:13" s="10" customFormat="1" x14ac:dyDescent="0.3">
      <c r="A47" s="4" t="s">
        <v>290</v>
      </c>
      <c r="B47" s="4" t="s">
        <v>12</v>
      </c>
      <c r="C47" s="400">
        <v>5</v>
      </c>
      <c r="D47" s="90">
        <v>6</v>
      </c>
      <c r="E47" s="51">
        <v>7</v>
      </c>
      <c r="F47" s="4" t="s">
        <v>90</v>
      </c>
      <c r="G47" s="4" t="s">
        <v>147</v>
      </c>
      <c r="H47" s="48">
        <f>IF(G47&gt;0,VLOOKUP(G47,Apoio!$A$2:$B$25,2,0),"")</f>
        <v>7</v>
      </c>
      <c r="I47" s="44">
        <f t="shared" si="3"/>
        <v>40.833333333333336</v>
      </c>
      <c r="J47" s="98">
        <v>8</v>
      </c>
      <c r="K47" s="406">
        <f t="shared" si="4"/>
        <v>32.833333333333336</v>
      </c>
      <c r="L47" s="103"/>
      <c r="M47" s="103" t="s">
        <v>235</v>
      </c>
    </row>
    <row r="48" spans="1:13" s="10" customFormat="1" x14ac:dyDescent="0.3">
      <c r="A48" s="4" t="s">
        <v>290</v>
      </c>
      <c r="B48" s="4" t="s">
        <v>12</v>
      </c>
      <c r="C48" s="400">
        <v>5</v>
      </c>
      <c r="D48" s="90">
        <v>6</v>
      </c>
      <c r="E48" s="51">
        <v>7</v>
      </c>
      <c r="F48" s="4" t="s">
        <v>90</v>
      </c>
      <c r="G48" s="4" t="s">
        <v>150</v>
      </c>
      <c r="H48" s="48">
        <f>IF(G48&gt;0,VLOOKUP(G48,Apoio!$A$2:$B$25,2,0),"")</f>
        <v>8</v>
      </c>
      <c r="I48" s="44">
        <f t="shared" si="3"/>
        <v>46.666666666666664</v>
      </c>
      <c r="J48" s="98">
        <v>8</v>
      </c>
      <c r="K48" s="406">
        <f t="shared" si="4"/>
        <v>38.666666666666664</v>
      </c>
      <c r="L48" s="103"/>
      <c r="M48" s="103" t="s">
        <v>235</v>
      </c>
    </row>
    <row r="49" spans="1:13" s="10" customFormat="1" x14ac:dyDescent="0.3">
      <c r="A49" s="4" t="s">
        <v>290</v>
      </c>
      <c r="B49" s="4" t="s">
        <v>12</v>
      </c>
      <c r="C49" s="400">
        <v>5</v>
      </c>
      <c r="D49" s="90">
        <v>6</v>
      </c>
      <c r="E49" s="51">
        <v>7</v>
      </c>
      <c r="F49" s="4" t="s">
        <v>90</v>
      </c>
      <c r="G49" s="4" t="s">
        <v>153</v>
      </c>
      <c r="H49" s="48">
        <f>IF(G49&gt;0,VLOOKUP(G49,Apoio!$A$2:$B$25,2,0),"")</f>
        <v>8</v>
      </c>
      <c r="I49" s="44">
        <f t="shared" si="3"/>
        <v>46.666666666666664</v>
      </c>
      <c r="J49" s="98">
        <v>8</v>
      </c>
      <c r="K49" s="406">
        <f t="shared" si="4"/>
        <v>38.666666666666664</v>
      </c>
      <c r="L49" s="103"/>
      <c r="M49" s="103" t="s">
        <v>235</v>
      </c>
    </row>
    <row r="50" spans="1:13" s="10" customFormat="1" x14ac:dyDescent="0.3">
      <c r="A50" s="4" t="s">
        <v>290</v>
      </c>
      <c r="B50" s="4" t="s">
        <v>13</v>
      </c>
      <c r="C50" s="58">
        <v>6</v>
      </c>
      <c r="D50" s="56">
        <v>6</v>
      </c>
      <c r="E50" s="51">
        <v>7</v>
      </c>
      <c r="F50" s="4" t="s">
        <v>69</v>
      </c>
      <c r="G50" s="4" t="s">
        <v>68</v>
      </c>
      <c r="H50" s="48">
        <f>IF(G50&gt;0,VLOOKUP(G50,Apoio!$A$2:$B$25,2,0),"")</f>
        <v>7</v>
      </c>
      <c r="I50" s="44">
        <f t="shared" si="3"/>
        <v>49</v>
      </c>
      <c r="J50" s="98"/>
      <c r="K50" s="103"/>
      <c r="L50" s="103"/>
      <c r="M50" s="103" t="s">
        <v>235</v>
      </c>
    </row>
    <row r="51" spans="1:13" s="10" customFormat="1" x14ac:dyDescent="0.3">
      <c r="A51" s="4" t="s">
        <v>290</v>
      </c>
      <c r="B51" s="4" t="s">
        <v>13</v>
      </c>
      <c r="C51" s="58">
        <v>6</v>
      </c>
      <c r="D51" s="56">
        <v>6</v>
      </c>
      <c r="E51" s="51">
        <v>7</v>
      </c>
      <c r="F51" s="4" t="s">
        <v>69</v>
      </c>
      <c r="G51" s="4" t="s">
        <v>75</v>
      </c>
      <c r="H51" s="48">
        <f>IF(G51&gt;0,VLOOKUP(G51,Apoio!$A$2:$B$25,2,0),"")</f>
        <v>8</v>
      </c>
      <c r="I51" s="44">
        <f t="shared" si="3"/>
        <v>56</v>
      </c>
      <c r="J51" s="98"/>
      <c r="K51" s="103"/>
      <c r="L51" s="103"/>
      <c r="M51" s="103" t="s">
        <v>235</v>
      </c>
    </row>
    <row r="52" spans="1:13" s="10" customFormat="1" x14ac:dyDescent="0.3">
      <c r="A52" s="4" t="s">
        <v>290</v>
      </c>
      <c r="B52" s="4" t="s">
        <v>13</v>
      </c>
      <c r="C52" s="58">
        <v>6</v>
      </c>
      <c r="D52" s="56">
        <v>6</v>
      </c>
      <c r="E52" s="51">
        <v>7</v>
      </c>
      <c r="F52" s="4" t="s">
        <v>69</v>
      </c>
      <c r="G52" s="4" t="s">
        <v>82</v>
      </c>
      <c r="H52" s="48">
        <f>IF(G52&gt;0,VLOOKUP(G52,Apoio!$A$2:$B$25,2,0),"")</f>
        <v>6</v>
      </c>
      <c r="I52" s="44">
        <f t="shared" si="3"/>
        <v>42</v>
      </c>
      <c r="J52" s="98"/>
      <c r="K52" s="103"/>
      <c r="L52" s="103"/>
      <c r="M52" s="103" t="s">
        <v>235</v>
      </c>
    </row>
    <row r="53" spans="1:13" s="10" customFormat="1" x14ac:dyDescent="0.3">
      <c r="A53" s="4" t="s">
        <v>290</v>
      </c>
      <c r="B53" s="4" t="s">
        <v>13</v>
      </c>
      <c r="C53" s="58">
        <v>6</v>
      </c>
      <c r="D53" s="56">
        <v>6</v>
      </c>
      <c r="E53" s="51">
        <v>7</v>
      </c>
      <c r="F53" s="4" t="s">
        <v>69</v>
      </c>
      <c r="G53" s="4" t="s">
        <v>89</v>
      </c>
      <c r="H53" s="48">
        <f>IF(G53&gt;0,VLOOKUP(G53,Apoio!$A$2:$B$25,2,0),"")</f>
        <v>8</v>
      </c>
      <c r="I53" s="44">
        <f t="shared" si="3"/>
        <v>56</v>
      </c>
      <c r="J53" s="98"/>
      <c r="K53" s="103"/>
      <c r="L53" s="103"/>
      <c r="M53" s="103" t="s">
        <v>235</v>
      </c>
    </row>
    <row r="54" spans="1:13" s="10" customFormat="1" x14ac:dyDescent="0.3">
      <c r="A54" s="4" t="s">
        <v>290</v>
      </c>
      <c r="B54" s="4" t="s">
        <v>13</v>
      </c>
      <c r="C54" s="58">
        <v>6</v>
      </c>
      <c r="D54" s="56">
        <v>6</v>
      </c>
      <c r="E54" s="51">
        <v>7</v>
      </c>
      <c r="F54" s="4" t="s">
        <v>69</v>
      </c>
      <c r="G54" s="4" t="s">
        <v>96</v>
      </c>
      <c r="H54" s="48">
        <f>IF(G54&gt;0,VLOOKUP(G54,Apoio!$A$2:$B$25,2,0),"")</f>
        <v>8</v>
      </c>
      <c r="I54" s="44">
        <f t="shared" si="3"/>
        <v>56</v>
      </c>
      <c r="J54" s="98"/>
      <c r="K54" s="103"/>
      <c r="L54" s="103"/>
      <c r="M54" s="103" t="s">
        <v>235</v>
      </c>
    </row>
    <row r="55" spans="1:13" s="10" customFormat="1" x14ac:dyDescent="0.3">
      <c r="A55" s="4" t="s">
        <v>290</v>
      </c>
      <c r="B55" s="4" t="s">
        <v>13</v>
      </c>
      <c r="C55" s="58">
        <v>6</v>
      </c>
      <c r="D55" s="56">
        <v>6</v>
      </c>
      <c r="E55" s="51">
        <v>7</v>
      </c>
      <c r="F55" s="4" t="s">
        <v>69</v>
      </c>
      <c r="G55" s="4" t="s">
        <v>99</v>
      </c>
      <c r="H55" s="48">
        <f>IF(G55&gt;0,VLOOKUP(G55,Apoio!$A$2:$B$25,2,0),"")</f>
        <v>2</v>
      </c>
      <c r="I55" s="44">
        <f t="shared" si="3"/>
        <v>14</v>
      </c>
      <c r="J55" s="98"/>
      <c r="K55" s="103"/>
      <c r="L55" s="103"/>
      <c r="M55" s="103" t="s">
        <v>235</v>
      </c>
    </row>
    <row r="56" spans="1:13" s="10" customFormat="1" x14ac:dyDescent="0.3">
      <c r="A56" s="4" t="s">
        <v>290</v>
      </c>
      <c r="B56" s="4" t="s">
        <v>13</v>
      </c>
      <c r="C56" s="58">
        <v>6</v>
      </c>
      <c r="D56" s="56">
        <v>6</v>
      </c>
      <c r="E56" s="51">
        <v>7</v>
      </c>
      <c r="F56" s="4" t="s">
        <v>76</v>
      </c>
      <c r="G56" s="4" t="s">
        <v>102</v>
      </c>
      <c r="H56" s="48">
        <f>IF(G56&gt;0,VLOOKUP(G56,Apoio!$A$2:$B$25,2,0),"")</f>
        <v>5</v>
      </c>
      <c r="I56" s="44">
        <f t="shared" si="3"/>
        <v>35</v>
      </c>
      <c r="J56" s="98"/>
      <c r="K56" s="103"/>
      <c r="L56" s="103"/>
      <c r="M56" s="103" t="s">
        <v>235</v>
      </c>
    </row>
    <row r="57" spans="1:13" s="10" customFormat="1" x14ac:dyDescent="0.3">
      <c r="A57" s="4" t="s">
        <v>290</v>
      </c>
      <c r="B57" s="4" t="s">
        <v>13</v>
      </c>
      <c r="C57" s="58">
        <v>6</v>
      </c>
      <c r="D57" s="56">
        <v>6</v>
      </c>
      <c r="E57" s="51">
        <v>7</v>
      </c>
      <c r="F57" s="4" t="s">
        <v>76</v>
      </c>
      <c r="G57" s="4" t="s">
        <v>105</v>
      </c>
      <c r="H57" s="48">
        <f>IF(G57&gt;0,VLOOKUP(G57,Apoio!$A$2:$B$25,2,0),"")</f>
        <v>7</v>
      </c>
      <c r="I57" s="44">
        <f t="shared" si="3"/>
        <v>49</v>
      </c>
      <c r="J57" s="98"/>
      <c r="K57" s="103"/>
      <c r="L57" s="103"/>
      <c r="M57" s="103" t="s">
        <v>235</v>
      </c>
    </row>
    <row r="58" spans="1:13" s="10" customFormat="1" x14ac:dyDescent="0.3">
      <c r="A58" s="4" t="s">
        <v>290</v>
      </c>
      <c r="B58" s="4" t="s">
        <v>13</v>
      </c>
      <c r="C58" s="58">
        <v>6</v>
      </c>
      <c r="D58" s="56">
        <v>6</v>
      </c>
      <c r="E58" s="51">
        <v>7</v>
      </c>
      <c r="F58" s="4" t="s">
        <v>76</v>
      </c>
      <c r="G58" s="4" t="s">
        <v>108</v>
      </c>
      <c r="H58" s="48">
        <f>IF(G58&gt;0,VLOOKUP(G58,Apoio!$A$2:$B$25,2,0),"")</f>
        <v>8</v>
      </c>
      <c r="I58" s="44">
        <f t="shared" si="3"/>
        <v>56</v>
      </c>
      <c r="J58" s="98"/>
      <c r="K58" s="103"/>
      <c r="L58" s="103"/>
      <c r="M58" s="103" t="s">
        <v>235</v>
      </c>
    </row>
    <row r="59" spans="1:13" s="10" customFormat="1" x14ac:dyDescent="0.3">
      <c r="A59" s="4" t="s">
        <v>290</v>
      </c>
      <c r="B59" s="4" t="s">
        <v>13</v>
      </c>
      <c r="C59" s="58">
        <v>6</v>
      </c>
      <c r="D59" s="56">
        <v>6</v>
      </c>
      <c r="E59" s="51">
        <v>7</v>
      </c>
      <c r="F59" s="4" t="s">
        <v>76</v>
      </c>
      <c r="G59" s="4" t="s">
        <v>111</v>
      </c>
      <c r="H59" s="48">
        <f>IF(G59&gt;0,VLOOKUP(G59,Apoio!$A$2:$B$25,2,0),"")</f>
        <v>7</v>
      </c>
      <c r="I59" s="44">
        <f t="shared" si="3"/>
        <v>49</v>
      </c>
      <c r="J59" s="98"/>
      <c r="K59" s="103"/>
      <c r="L59" s="103"/>
      <c r="M59" s="103" t="s">
        <v>235</v>
      </c>
    </row>
    <row r="60" spans="1:13" s="10" customFormat="1" x14ac:dyDescent="0.3">
      <c r="A60" s="4" t="s">
        <v>290</v>
      </c>
      <c r="B60" s="4" t="s">
        <v>13</v>
      </c>
      <c r="C60" s="58">
        <v>6</v>
      </c>
      <c r="D60" s="56">
        <v>6</v>
      </c>
      <c r="E60" s="51">
        <v>7</v>
      </c>
      <c r="F60" s="4" t="s">
        <v>76</v>
      </c>
      <c r="G60" s="4" t="s">
        <v>114</v>
      </c>
      <c r="H60" s="48">
        <f>IF(G60&gt;0,VLOOKUP(G60,Apoio!$A$2:$B$25,2,0),"")</f>
        <v>8</v>
      </c>
      <c r="I60" s="44">
        <f t="shared" si="3"/>
        <v>56</v>
      </c>
      <c r="J60" s="98"/>
      <c r="K60" s="103"/>
      <c r="L60" s="103"/>
      <c r="M60" s="103" t="s">
        <v>235</v>
      </c>
    </row>
    <row r="61" spans="1:13" s="10" customFormat="1" x14ac:dyDescent="0.3">
      <c r="A61" s="4" t="s">
        <v>290</v>
      </c>
      <c r="B61" s="4" t="s">
        <v>13</v>
      </c>
      <c r="C61" s="58">
        <v>6</v>
      </c>
      <c r="D61" s="56">
        <v>6</v>
      </c>
      <c r="E61" s="51">
        <v>7</v>
      </c>
      <c r="F61" s="4" t="s">
        <v>76</v>
      </c>
      <c r="G61" s="4" t="s">
        <v>117</v>
      </c>
      <c r="H61" s="48">
        <f>IF(G61&gt;0,VLOOKUP(G61,Apoio!$A$2:$B$25,2,0),"")</f>
        <v>3</v>
      </c>
      <c r="I61" s="44">
        <f t="shared" si="3"/>
        <v>21</v>
      </c>
      <c r="J61" s="98"/>
      <c r="K61" s="103"/>
      <c r="L61" s="103"/>
      <c r="M61" s="103" t="s">
        <v>235</v>
      </c>
    </row>
    <row r="62" spans="1:13" s="10" customFormat="1" x14ac:dyDescent="0.3">
      <c r="A62" s="4" t="s">
        <v>290</v>
      </c>
      <c r="B62" s="4" t="s">
        <v>13</v>
      </c>
      <c r="C62" s="58">
        <v>6</v>
      </c>
      <c r="D62" s="56">
        <v>6</v>
      </c>
      <c r="E62" s="51">
        <v>7</v>
      </c>
      <c r="F62" s="4" t="s">
        <v>83</v>
      </c>
      <c r="G62" s="4" t="s">
        <v>120</v>
      </c>
      <c r="H62" s="48">
        <f>IF(G62&gt;0,VLOOKUP(G62,Apoio!$A$2:$B$25,2,0),"")</f>
        <v>7</v>
      </c>
      <c r="I62" s="44">
        <f t="shared" si="3"/>
        <v>49</v>
      </c>
      <c r="J62" s="98"/>
      <c r="K62" s="103"/>
      <c r="L62" s="103"/>
      <c r="M62" s="103" t="s">
        <v>235</v>
      </c>
    </row>
    <row r="63" spans="1:13" s="10" customFormat="1" x14ac:dyDescent="0.3">
      <c r="A63" s="4" t="s">
        <v>290</v>
      </c>
      <c r="B63" s="4" t="s">
        <v>13</v>
      </c>
      <c r="C63" s="58">
        <v>6</v>
      </c>
      <c r="D63" s="56">
        <v>6</v>
      </c>
      <c r="E63" s="51">
        <v>7</v>
      </c>
      <c r="F63" s="4" t="s">
        <v>83</v>
      </c>
      <c r="G63" s="4" t="s">
        <v>123</v>
      </c>
      <c r="H63" s="48">
        <f>IF(G63&gt;0,VLOOKUP(G63,Apoio!$A$2:$B$25,2,0),"")</f>
        <v>8</v>
      </c>
      <c r="I63" s="44">
        <f t="shared" si="3"/>
        <v>56</v>
      </c>
      <c r="J63" s="98"/>
      <c r="K63" s="103"/>
      <c r="L63" s="103"/>
      <c r="M63" s="103" t="s">
        <v>235</v>
      </c>
    </row>
    <row r="64" spans="1:13" s="10" customFormat="1" x14ac:dyDescent="0.3">
      <c r="A64" s="4" t="s">
        <v>290</v>
      </c>
      <c r="B64" s="4" t="s">
        <v>13</v>
      </c>
      <c r="C64" s="58">
        <v>6</v>
      </c>
      <c r="D64" s="56">
        <v>6</v>
      </c>
      <c r="E64" s="51">
        <v>7</v>
      </c>
      <c r="F64" s="4" t="s">
        <v>83</v>
      </c>
      <c r="G64" s="4" t="s">
        <v>126</v>
      </c>
      <c r="H64" s="48">
        <f>IF(G64&gt;0,VLOOKUP(G64,Apoio!$A$2:$B$25,2,0),"")</f>
        <v>8</v>
      </c>
      <c r="I64" s="44">
        <f t="shared" si="3"/>
        <v>56</v>
      </c>
      <c r="J64" s="98"/>
      <c r="K64" s="103"/>
      <c r="L64" s="103"/>
      <c r="M64" s="103" t="s">
        <v>235</v>
      </c>
    </row>
    <row r="65" spans="1:13" s="10" customFormat="1" x14ac:dyDescent="0.3">
      <c r="A65" s="4" t="s">
        <v>290</v>
      </c>
      <c r="B65" s="4" t="s">
        <v>13</v>
      </c>
      <c r="C65" s="58">
        <v>6</v>
      </c>
      <c r="D65" s="56">
        <v>6</v>
      </c>
      <c r="E65" s="51">
        <v>7</v>
      </c>
      <c r="F65" s="4" t="s">
        <v>83</v>
      </c>
      <c r="G65" s="4" t="s">
        <v>129</v>
      </c>
      <c r="H65" s="48">
        <f>IF(G65&gt;0,VLOOKUP(G65,Apoio!$A$2:$B$25,2,0),"")</f>
        <v>8</v>
      </c>
      <c r="I65" s="44">
        <f t="shared" si="3"/>
        <v>56</v>
      </c>
      <c r="J65" s="98"/>
      <c r="K65" s="103"/>
      <c r="L65" s="103"/>
      <c r="M65" s="103" t="s">
        <v>235</v>
      </c>
    </row>
    <row r="66" spans="1:13" s="10" customFormat="1" x14ac:dyDescent="0.3">
      <c r="A66" s="4" t="s">
        <v>290</v>
      </c>
      <c r="B66" s="4" t="s">
        <v>13</v>
      </c>
      <c r="C66" s="58">
        <v>6</v>
      </c>
      <c r="D66" s="56">
        <v>6</v>
      </c>
      <c r="E66" s="51">
        <v>7</v>
      </c>
      <c r="F66" s="4" t="s">
        <v>83</v>
      </c>
      <c r="G66" s="4" t="s">
        <v>132</v>
      </c>
      <c r="H66" s="48">
        <f>IF(G66&gt;0,VLOOKUP(G66,Apoio!$A$2:$B$25,2,0),"")</f>
        <v>7</v>
      </c>
      <c r="I66" s="44">
        <f t="shared" si="3"/>
        <v>49</v>
      </c>
      <c r="J66" s="98"/>
      <c r="K66" s="103"/>
      <c r="L66" s="103"/>
      <c r="M66" s="103" t="s">
        <v>235</v>
      </c>
    </row>
    <row r="67" spans="1:13" s="10" customFormat="1" x14ac:dyDescent="0.3">
      <c r="A67" s="4" t="s">
        <v>290</v>
      </c>
      <c r="B67" s="4" t="s">
        <v>13</v>
      </c>
      <c r="C67" s="58">
        <v>6</v>
      </c>
      <c r="D67" s="56">
        <v>6</v>
      </c>
      <c r="E67" s="51">
        <v>7</v>
      </c>
      <c r="F67" s="4" t="s">
        <v>83</v>
      </c>
      <c r="G67" s="4" t="s">
        <v>135</v>
      </c>
      <c r="H67" s="48">
        <f>IF(G67&gt;0,VLOOKUP(G67,Apoio!$A$2:$B$25,2,0),"")</f>
        <v>3</v>
      </c>
      <c r="I67" s="44">
        <f t="shared" si="3"/>
        <v>21</v>
      </c>
      <c r="J67" s="98"/>
      <c r="K67" s="103"/>
      <c r="L67" s="103"/>
      <c r="M67" s="103" t="s">
        <v>235</v>
      </c>
    </row>
    <row r="68" spans="1:13" s="10" customFormat="1" x14ac:dyDescent="0.3">
      <c r="A68" s="4" t="s">
        <v>290</v>
      </c>
      <c r="B68" s="4" t="s">
        <v>13</v>
      </c>
      <c r="C68" s="108">
        <v>6</v>
      </c>
      <c r="D68" s="51">
        <v>6</v>
      </c>
      <c r="E68" s="51">
        <v>7</v>
      </c>
      <c r="F68" s="4" t="s">
        <v>90</v>
      </c>
      <c r="G68" s="4" t="s">
        <v>138</v>
      </c>
      <c r="H68" s="48">
        <f>IF(G68&gt;0,VLOOKUP(G68,Apoio!$A$2:$B$25,2,0),"")</f>
        <v>8</v>
      </c>
      <c r="I68" s="44">
        <f t="shared" si="3"/>
        <v>56</v>
      </c>
      <c r="J68" s="98">
        <v>8</v>
      </c>
      <c r="K68" s="406">
        <f t="shared" ref="K68:K73" si="5">I68-J68</f>
        <v>48</v>
      </c>
      <c r="L68" s="103"/>
      <c r="M68" s="103" t="s">
        <v>235</v>
      </c>
    </row>
    <row r="69" spans="1:13" s="10" customFormat="1" x14ac:dyDescent="0.3">
      <c r="A69" s="4" t="s">
        <v>290</v>
      </c>
      <c r="B69" s="4" t="s">
        <v>13</v>
      </c>
      <c r="C69" s="108">
        <v>6</v>
      </c>
      <c r="D69" s="51">
        <v>6</v>
      </c>
      <c r="E69" s="51">
        <v>7</v>
      </c>
      <c r="F69" s="4" t="s">
        <v>90</v>
      </c>
      <c r="G69" s="4" t="s">
        <v>141</v>
      </c>
      <c r="H69" s="48">
        <f>IF(G69&gt;0,VLOOKUP(G69,Apoio!$A$2:$B$25,2,0),"")</f>
        <v>7</v>
      </c>
      <c r="I69" s="44">
        <f t="shared" si="3"/>
        <v>49</v>
      </c>
      <c r="J69" s="98">
        <v>8</v>
      </c>
      <c r="K69" s="406">
        <f t="shared" si="5"/>
        <v>41</v>
      </c>
      <c r="L69" s="103"/>
      <c r="M69" s="103" t="s">
        <v>235</v>
      </c>
    </row>
    <row r="70" spans="1:13" s="10" customFormat="1" x14ac:dyDescent="0.3">
      <c r="A70" s="4" t="s">
        <v>290</v>
      </c>
      <c r="B70" s="4" t="s">
        <v>13</v>
      </c>
      <c r="C70" s="108">
        <v>6</v>
      </c>
      <c r="D70" s="51">
        <v>6</v>
      </c>
      <c r="E70" s="51">
        <v>7</v>
      </c>
      <c r="F70" s="4" t="s">
        <v>90</v>
      </c>
      <c r="G70" s="4" t="s">
        <v>144</v>
      </c>
      <c r="H70" s="48">
        <f>IF(G70&gt;0,VLOOKUP(G70,Apoio!$A$2:$B$25,2,0),"")</f>
        <v>7</v>
      </c>
      <c r="I70" s="44">
        <f t="shared" ref="I70:I100" si="6">IF(D70&gt;0,(((H70*E70)*C70)/D70),"")</f>
        <v>49</v>
      </c>
      <c r="J70" s="98">
        <v>8</v>
      </c>
      <c r="K70" s="406">
        <f t="shared" si="5"/>
        <v>41</v>
      </c>
      <c r="L70" s="103"/>
      <c r="M70" s="103" t="s">
        <v>235</v>
      </c>
    </row>
    <row r="71" spans="1:13" s="10" customFormat="1" x14ac:dyDescent="0.3">
      <c r="A71" s="4" t="s">
        <v>290</v>
      </c>
      <c r="B71" s="4" t="s">
        <v>13</v>
      </c>
      <c r="C71" s="108">
        <v>6</v>
      </c>
      <c r="D71" s="51">
        <v>6</v>
      </c>
      <c r="E71" s="51">
        <v>7</v>
      </c>
      <c r="F71" s="4" t="s">
        <v>90</v>
      </c>
      <c r="G71" s="4" t="s">
        <v>147</v>
      </c>
      <c r="H71" s="48">
        <f>IF(G71&gt;0,VLOOKUP(G71,Apoio!$A$2:$B$25,2,0),"")</f>
        <v>7</v>
      </c>
      <c r="I71" s="44">
        <f t="shared" si="6"/>
        <v>49</v>
      </c>
      <c r="J71" s="98">
        <v>8</v>
      </c>
      <c r="K71" s="406">
        <f t="shared" si="5"/>
        <v>41</v>
      </c>
      <c r="L71" s="103"/>
      <c r="M71" s="103" t="s">
        <v>235</v>
      </c>
    </row>
    <row r="72" spans="1:13" s="10" customFormat="1" x14ac:dyDescent="0.3">
      <c r="A72" s="4" t="s">
        <v>290</v>
      </c>
      <c r="B72" s="4" t="s">
        <v>13</v>
      </c>
      <c r="C72" s="108">
        <v>6</v>
      </c>
      <c r="D72" s="51">
        <v>6</v>
      </c>
      <c r="E72" s="51">
        <v>7</v>
      </c>
      <c r="F72" s="4" t="s">
        <v>90</v>
      </c>
      <c r="G72" s="4" t="s">
        <v>150</v>
      </c>
      <c r="H72" s="48">
        <f>IF(G72&gt;0,VLOOKUP(G72,Apoio!$A$2:$B$25,2,0),"")</f>
        <v>8</v>
      </c>
      <c r="I72" s="44">
        <f t="shared" si="6"/>
        <v>56</v>
      </c>
      <c r="J72" s="98">
        <v>8</v>
      </c>
      <c r="K72" s="406">
        <f t="shared" si="5"/>
        <v>48</v>
      </c>
      <c r="L72" s="103"/>
      <c r="M72" s="103" t="s">
        <v>235</v>
      </c>
    </row>
    <row r="73" spans="1:13" s="10" customFormat="1" x14ac:dyDescent="0.3">
      <c r="A73" s="4" t="s">
        <v>290</v>
      </c>
      <c r="B73" s="4" t="s">
        <v>13</v>
      </c>
      <c r="C73" s="108">
        <v>6</v>
      </c>
      <c r="D73" s="51">
        <v>6</v>
      </c>
      <c r="E73" s="51">
        <v>7</v>
      </c>
      <c r="F73" s="4" t="s">
        <v>90</v>
      </c>
      <c r="G73" s="4" t="s">
        <v>153</v>
      </c>
      <c r="H73" s="48">
        <f>IF(G73&gt;0,VLOOKUP(G73,Apoio!$A$2:$B$25,2,0),"")</f>
        <v>8</v>
      </c>
      <c r="I73" s="44">
        <f t="shared" si="6"/>
        <v>56</v>
      </c>
      <c r="J73" s="98">
        <v>8</v>
      </c>
      <c r="K73" s="406">
        <f t="shared" si="5"/>
        <v>48</v>
      </c>
      <c r="L73" s="103"/>
      <c r="M73" s="103" t="s">
        <v>235</v>
      </c>
    </row>
    <row r="74" spans="1:13" s="10" customFormat="1" x14ac:dyDescent="0.3">
      <c r="A74" s="4" t="s">
        <v>290</v>
      </c>
      <c r="B74" s="4" t="s">
        <v>10</v>
      </c>
      <c r="C74" s="58">
        <v>5</v>
      </c>
      <c r="D74" s="56">
        <v>6</v>
      </c>
      <c r="E74" s="51">
        <v>6</v>
      </c>
      <c r="F74" s="4" t="s">
        <v>69</v>
      </c>
      <c r="G74" s="4" t="s">
        <v>68</v>
      </c>
      <c r="H74" s="48">
        <f>IF(G74&gt;0,VLOOKUP(G74,Apoio!$A$2:$B$25,2,0),"")</f>
        <v>7</v>
      </c>
      <c r="I74" s="44">
        <f t="shared" si="6"/>
        <v>35</v>
      </c>
      <c r="J74" s="98"/>
      <c r="K74" s="103"/>
      <c r="L74" s="103"/>
      <c r="M74" s="103" t="s">
        <v>235</v>
      </c>
    </row>
    <row r="75" spans="1:13" s="10" customFormat="1" x14ac:dyDescent="0.3">
      <c r="A75" s="4" t="s">
        <v>290</v>
      </c>
      <c r="B75" s="4" t="s">
        <v>10</v>
      </c>
      <c r="C75" s="58">
        <v>5</v>
      </c>
      <c r="D75" s="56">
        <v>6</v>
      </c>
      <c r="E75" s="51">
        <v>6</v>
      </c>
      <c r="F75" s="4" t="s">
        <v>69</v>
      </c>
      <c r="G75" s="4" t="s">
        <v>75</v>
      </c>
      <c r="H75" s="48">
        <f>IF(G75&gt;0,VLOOKUP(G75,Apoio!$A$2:$B$25,2,0),"")</f>
        <v>8</v>
      </c>
      <c r="I75" s="44">
        <f t="shared" si="6"/>
        <v>40</v>
      </c>
      <c r="J75" s="98"/>
      <c r="K75" s="103"/>
      <c r="L75" s="103"/>
      <c r="M75" s="103" t="s">
        <v>235</v>
      </c>
    </row>
    <row r="76" spans="1:13" s="10" customFormat="1" x14ac:dyDescent="0.3">
      <c r="A76" s="4" t="s">
        <v>290</v>
      </c>
      <c r="B76" s="4" t="s">
        <v>10</v>
      </c>
      <c r="C76" s="58">
        <v>5</v>
      </c>
      <c r="D76" s="56">
        <v>6</v>
      </c>
      <c r="E76" s="51">
        <v>6</v>
      </c>
      <c r="F76" s="4" t="s">
        <v>69</v>
      </c>
      <c r="G76" s="4" t="s">
        <v>82</v>
      </c>
      <c r="H76" s="48">
        <f>IF(G76&gt;0,VLOOKUP(G76,Apoio!$A$2:$B$25,2,0),"")</f>
        <v>6</v>
      </c>
      <c r="I76" s="44">
        <f t="shared" si="6"/>
        <v>30</v>
      </c>
      <c r="J76" s="98"/>
      <c r="K76" s="103"/>
      <c r="L76" s="103"/>
      <c r="M76" s="103" t="s">
        <v>235</v>
      </c>
    </row>
    <row r="77" spans="1:13" s="10" customFormat="1" x14ac:dyDescent="0.3">
      <c r="A77" s="4" t="s">
        <v>290</v>
      </c>
      <c r="B77" s="4" t="s">
        <v>10</v>
      </c>
      <c r="C77" s="58">
        <v>5</v>
      </c>
      <c r="D77" s="56">
        <v>6</v>
      </c>
      <c r="E77" s="51">
        <v>6</v>
      </c>
      <c r="F77" s="4" t="s">
        <v>69</v>
      </c>
      <c r="G77" s="4" t="s">
        <v>89</v>
      </c>
      <c r="H77" s="48">
        <f>IF(G77&gt;0,VLOOKUP(G77,Apoio!$A$2:$B$25,2,0),"")</f>
        <v>8</v>
      </c>
      <c r="I77" s="44">
        <f t="shared" si="6"/>
        <v>40</v>
      </c>
      <c r="J77" s="98"/>
      <c r="K77" s="103"/>
      <c r="L77" s="103"/>
      <c r="M77" s="103" t="s">
        <v>235</v>
      </c>
    </row>
    <row r="78" spans="1:13" s="10" customFormat="1" x14ac:dyDescent="0.3">
      <c r="A78" s="4" t="s">
        <v>290</v>
      </c>
      <c r="B78" s="4" t="s">
        <v>10</v>
      </c>
      <c r="C78" s="58">
        <v>5</v>
      </c>
      <c r="D78" s="56">
        <v>6</v>
      </c>
      <c r="E78" s="51">
        <v>6</v>
      </c>
      <c r="F78" s="4" t="s">
        <v>69</v>
      </c>
      <c r="G78" s="4" t="s">
        <v>96</v>
      </c>
      <c r="H78" s="48">
        <f>IF(G78&gt;0,VLOOKUP(G78,Apoio!$A$2:$B$25,2,0),"")</f>
        <v>8</v>
      </c>
      <c r="I78" s="44">
        <f t="shared" si="6"/>
        <v>40</v>
      </c>
      <c r="J78" s="98"/>
      <c r="K78" s="103"/>
      <c r="L78" s="103"/>
      <c r="M78" s="103" t="s">
        <v>235</v>
      </c>
    </row>
    <row r="79" spans="1:13" s="10" customFormat="1" x14ac:dyDescent="0.3">
      <c r="A79" s="4" t="s">
        <v>290</v>
      </c>
      <c r="B79" s="4" t="s">
        <v>10</v>
      </c>
      <c r="C79" s="58">
        <v>5</v>
      </c>
      <c r="D79" s="56">
        <v>6</v>
      </c>
      <c r="E79" s="51">
        <v>6</v>
      </c>
      <c r="F79" s="4" t="s">
        <v>69</v>
      </c>
      <c r="G79" s="4" t="s">
        <v>99</v>
      </c>
      <c r="H79" s="48">
        <f>IF(G79&gt;0,VLOOKUP(G79,Apoio!$A$2:$B$25,2,0),"")</f>
        <v>2</v>
      </c>
      <c r="I79" s="44">
        <f t="shared" si="6"/>
        <v>10</v>
      </c>
      <c r="J79" s="98"/>
      <c r="K79" s="103"/>
      <c r="L79" s="103"/>
      <c r="M79" s="103" t="s">
        <v>235</v>
      </c>
    </row>
    <row r="80" spans="1:13" s="10" customFormat="1" x14ac:dyDescent="0.3">
      <c r="A80" s="4" t="s">
        <v>290</v>
      </c>
      <c r="B80" s="4" t="s">
        <v>10</v>
      </c>
      <c r="C80" s="58">
        <v>5</v>
      </c>
      <c r="D80" s="56">
        <v>6</v>
      </c>
      <c r="E80" s="51">
        <v>6</v>
      </c>
      <c r="F80" s="4" t="s">
        <v>76</v>
      </c>
      <c r="G80" s="4" t="s">
        <v>102</v>
      </c>
      <c r="H80" s="48">
        <f>IF(G80&gt;0,VLOOKUP(G80,Apoio!$A$2:$B$25,2,0),"")</f>
        <v>5</v>
      </c>
      <c r="I80" s="44">
        <f t="shared" si="6"/>
        <v>25</v>
      </c>
      <c r="J80" s="98"/>
      <c r="K80" s="103"/>
      <c r="L80" s="103"/>
      <c r="M80" s="103" t="s">
        <v>235</v>
      </c>
    </row>
    <row r="81" spans="1:13" s="10" customFormat="1" x14ac:dyDescent="0.3">
      <c r="A81" s="4" t="s">
        <v>290</v>
      </c>
      <c r="B81" s="4" t="s">
        <v>10</v>
      </c>
      <c r="C81" s="58">
        <v>5</v>
      </c>
      <c r="D81" s="56">
        <v>6</v>
      </c>
      <c r="E81" s="51">
        <v>6</v>
      </c>
      <c r="F81" s="4" t="s">
        <v>76</v>
      </c>
      <c r="G81" s="4" t="s">
        <v>105</v>
      </c>
      <c r="H81" s="48">
        <f>IF(G81&gt;0,VLOOKUP(G81,Apoio!$A$2:$B$25,2,0),"")</f>
        <v>7</v>
      </c>
      <c r="I81" s="44">
        <f t="shared" si="6"/>
        <v>35</v>
      </c>
      <c r="J81" s="98"/>
      <c r="K81" s="103"/>
      <c r="L81" s="103"/>
      <c r="M81" s="103" t="s">
        <v>235</v>
      </c>
    </row>
    <row r="82" spans="1:13" s="10" customFormat="1" x14ac:dyDescent="0.3">
      <c r="A82" s="4" t="s">
        <v>290</v>
      </c>
      <c r="B82" s="4" t="s">
        <v>10</v>
      </c>
      <c r="C82" s="58">
        <v>5</v>
      </c>
      <c r="D82" s="56">
        <v>6</v>
      </c>
      <c r="E82" s="51">
        <v>6</v>
      </c>
      <c r="F82" s="4" t="s">
        <v>76</v>
      </c>
      <c r="G82" s="4" t="s">
        <v>108</v>
      </c>
      <c r="H82" s="48">
        <f>IF(G82&gt;0,VLOOKUP(G82,Apoio!$A$2:$B$25,2,0),"")</f>
        <v>8</v>
      </c>
      <c r="I82" s="44">
        <f t="shared" si="6"/>
        <v>40</v>
      </c>
      <c r="J82" s="98"/>
      <c r="K82" s="103"/>
      <c r="L82" s="103"/>
      <c r="M82" s="103" t="s">
        <v>235</v>
      </c>
    </row>
    <row r="83" spans="1:13" s="10" customFormat="1" x14ac:dyDescent="0.3">
      <c r="A83" s="4" t="s">
        <v>290</v>
      </c>
      <c r="B83" s="4" t="s">
        <v>10</v>
      </c>
      <c r="C83" s="58">
        <v>5</v>
      </c>
      <c r="D83" s="56">
        <v>6</v>
      </c>
      <c r="E83" s="51">
        <v>6</v>
      </c>
      <c r="F83" s="4" t="s">
        <v>76</v>
      </c>
      <c r="G83" s="4" t="s">
        <v>111</v>
      </c>
      <c r="H83" s="48">
        <f>IF(G83&gt;0,VLOOKUP(G83,Apoio!$A$2:$B$25,2,0),"")</f>
        <v>7</v>
      </c>
      <c r="I83" s="44">
        <f t="shared" si="6"/>
        <v>35</v>
      </c>
      <c r="J83" s="98"/>
      <c r="K83" s="103"/>
      <c r="L83" s="103"/>
      <c r="M83" s="103" t="s">
        <v>235</v>
      </c>
    </row>
    <row r="84" spans="1:13" s="10" customFormat="1" x14ac:dyDescent="0.3">
      <c r="A84" s="4" t="s">
        <v>290</v>
      </c>
      <c r="B84" s="4" t="s">
        <v>10</v>
      </c>
      <c r="C84" s="58">
        <v>5</v>
      </c>
      <c r="D84" s="56">
        <v>6</v>
      </c>
      <c r="E84" s="51">
        <v>6</v>
      </c>
      <c r="F84" s="4" t="s">
        <v>76</v>
      </c>
      <c r="G84" s="4" t="s">
        <v>114</v>
      </c>
      <c r="H84" s="48">
        <f>IF(G84&gt;0,VLOOKUP(G84,Apoio!$A$2:$B$25,2,0),"")</f>
        <v>8</v>
      </c>
      <c r="I84" s="44">
        <f t="shared" si="6"/>
        <v>40</v>
      </c>
      <c r="J84" s="98"/>
      <c r="K84" s="103"/>
      <c r="L84" s="103"/>
      <c r="M84" s="103" t="s">
        <v>235</v>
      </c>
    </row>
    <row r="85" spans="1:13" s="10" customFormat="1" x14ac:dyDescent="0.3">
      <c r="A85" s="4" t="s">
        <v>290</v>
      </c>
      <c r="B85" s="4" t="s">
        <v>10</v>
      </c>
      <c r="C85" s="58">
        <v>5</v>
      </c>
      <c r="D85" s="56">
        <v>6</v>
      </c>
      <c r="E85" s="51">
        <v>6</v>
      </c>
      <c r="F85" s="4" t="s">
        <v>76</v>
      </c>
      <c r="G85" s="4" t="s">
        <v>117</v>
      </c>
      <c r="H85" s="48">
        <f>IF(G85&gt;0,VLOOKUP(G85,Apoio!$A$2:$B$25,2,0),"")</f>
        <v>3</v>
      </c>
      <c r="I85" s="44">
        <f t="shared" si="6"/>
        <v>15</v>
      </c>
      <c r="J85" s="98"/>
      <c r="K85" s="103"/>
      <c r="L85" s="103"/>
      <c r="M85" s="103" t="s">
        <v>235</v>
      </c>
    </row>
    <row r="86" spans="1:13" s="10" customFormat="1" x14ac:dyDescent="0.3">
      <c r="A86" s="4" t="s">
        <v>290</v>
      </c>
      <c r="B86" s="4" t="s">
        <v>10</v>
      </c>
      <c r="C86" s="58">
        <v>5</v>
      </c>
      <c r="D86" s="56">
        <v>6</v>
      </c>
      <c r="E86" s="51">
        <v>6</v>
      </c>
      <c r="F86" s="4" t="s">
        <v>83</v>
      </c>
      <c r="G86" s="4" t="s">
        <v>120</v>
      </c>
      <c r="H86" s="48">
        <f>IF(G86&gt;0,VLOOKUP(G86,Apoio!$A$2:$B$25,2,0),"")</f>
        <v>7</v>
      </c>
      <c r="I86" s="44">
        <f t="shared" si="6"/>
        <v>35</v>
      </c>
      <c r="J86" s="98"/>
      <c r="K86" s="103"/>
      <c r="L86" s="103"/>
      <c r="M86" s="103" t="s">
        <v>235</v>
      </c>
    </row>
    <row r="87" spans="1:13" s="10" customFormat="1" x14ac:dyDescent="0.3">
      <c r="A87" s="4" t="s">
        <v>290</v>
      </c>
      <c r="B87" s="4" t="s">
        <v>10</v>
      </c>
      <c r="C87" s="58">
        <v>5</v>
      </c>
      <c r="D87" s="56">
        <v>6</v>
      </c>
      <c r="E87" s="51">
        <v>6</v>
      </c>
      <c r="F87" s="4" t="s">
        <v>83</v>
      </c>
      <c r="G87" s="4" t="s">
        <v>123</v>
      </c>
      <c r="H87" s="48">
        <f>IF(G87&gt;0,VLOOKUP(G87,Apoio!$A$2:$B$25,2,0),"")</f>
        <v>8</v>
      </c>
      <c r="I87" s="44">
        <f t="shared" si="6"/>
        <v>40</v>
      </c>
      <c r="J87" s="98"/>
      <c r="K87" s="103"/>
      <c r="L87" s="103"/>
      <c r="M87" s="103" t="s">
        <v>235</v>
      </c>
    </row>
    <row r="88" spans="1:13" s="10" customFormat="1" x14ac:dyDescent="0.3">
      <c r="A88" s="4" t="s">
        <v>290</v>
      </c>
      <c r="B88" s="4" t="s">
        <v>10</v>
      </c>
      <c r="C88" s="58">
        <v>5</v>
      </c>
      <c r="D88" s="56">
        <v>6</v>
      </c>
      <c r="E88" s="51">
        <v>6</v>
      </c>
      <c r="F88" s="4" t="s">
        <v>83</v>
      </c>
      <c r="G88" s="4" t="s">
        <v>126</v>
      </c>
      <c r="H88" s="48">
        <f>IF(G88&gt;0,VLOOKUP(G88,Apoio!$A$2:$B$25,2,0),"")</f>
        <v>8</v>
      </c>
      <c r="I88" s="44">
        <f t="shared" si="6"/>
        <v>40</v>
      </c>
      <c r="J88" s="98"/>
      <c r="K88" s="103"/>
      <c r="L88" s="103"/>
      <c r="M88" s="103" t="s">
        <v>235</v>
      </c>
    </row>
    <row r="89" spans="1:13" s="10" customFormat="1" x14ac:dyDescent="0.3">
      <c r="A89" s="4" t="s">
        <v>290</v>
      </c>
      <c r="B89" s="4" t="s">
        <v>10</v>
      </c>
      <c r="C89" s="58">
        <v>5</v>
      </c>
      <c r="D89" s="56">
        <v>6</v>
      </c>
      <c r="E89" s="51">
        <v>6</v>
      </c>
      <c r="F89" s="4" t="s">
        <v>83</v>
      </c>
      <c r="G89" s="4" t="s">
        <v>129</v>
      </c>
      <c r="H89" s="48">
        <f>IF(G89&gt;0,VLOOKUP(G89,Apoio!$A$2:$B$25,2,0),"")</f>
        <v>8</v>
      </c>
      <c r="I89" s="44">
        <f t="shared" si="6"/>
        <v>40</v>
      </c>
      <c r="J89" s="98"/>
      <c r="K89" s="103"/>
      <c r="L89" s="103"/>
      <c r="M89" s="103" t="s">
        <v>235</v>
      </c>
    </row>
    <row r="90" spans="1:13" s="10" customFormat="1" x14ac:dyDescent="0.3">
      <c r="A90" s="4" t="s">
        <v>290</v>
      </c>
      <c r="B90" s="4" t="s">
        <v>10</v>
      </c>
      <c r="C90" s="58">
        <v>5</v>
      </c>
      <c r="D90" s="56">
        <v>6</v>
      </c>
      <c r="E90" s="51">
        <v>6</v>
      </c>
      <c r="F90" s="4" t="s">
        <v>83</v>
      </c>
      <c r="G90" s="4" t="s">
        <v>132</v>
      </c>
      <c r="H90" s="48">
        <f>IF(G90&gt;0,VLOOKUP(G90,Apoio!$A$2:$B$25,2,0),"")</f>
        <v>7</v>
      </c>
      <c r="I90" s="44">
        <f t="shared" si="6"/>
        <v>35</v>
      </c>
      <c r="J90" s="98"/>
      <c r="K90" s="103"/>
      <c r="L90" s="103"/>
      <c r="M90" s="103" t="s">
        <v>235</v>
      </c>
    </row>
    <row r="91" spans="1:13" s="10" customFormat="1" x14ac:dyDescent="0.3">
      <c r="A91" s="4" t="s">
        <v>290</v>
      </c>
      <c r="B91" s="4" t="s">
        <v>10</v>
      </c>
      <c r="C91" s="58">
        <v>5</v>
      </c>
      <c r="D91" s="56">
        <v>6</v>
      </c>
      <c r="E91" s="51">
        <v>6</v>
      </c>
      <c r="F91" s="4" t="s">
        <v>83</v>
      </c>
      <c r="G91" s="4" t="s">
        <v>135</v>
      </c>
      <c r="H91" s="48">
        <f>IF(G91&gt;0,VLOOKUP(G91,Apoio!$A$2:$B$25,2,0),"")</f>
        <v>3</v>
      </c>
      <c r="I91" s="44">
        <f t="shared" si="6"/>
        <v>15</v>
      </c>
      <c r="J91" s="98"/>
      <c r="K91" s="103"/>
      <c r="L91" s="103"/>
      <c r="M91" s="103" t="s">
        <v>235</v>
      </c>
    </row>
    <row r="92" spans="1:13" s="10" customFormat="1" x14ac:dyDescent="0.3">
      <c r="A92" s="4" t="s">
        <v>290</v>
      </c>
      <c r="B92" s="4" t="s">
        <v>10</v>
      </c>
      <c r="C92" s="108">
        <v>5</v>
      </c>
      <c r="D92" s="51">
        <v>6</v>
      </c>
      <c r="E92" s="51">
        <v>6</v>
      </c>
      <c r="F92" s="4" t="s">
        <v>90</v>
      </c>
      <c r="G92" s="4" t="s">
        <v>138</v>
      </c>
      <c r="H92" s="48">
        <f>IF(G92&gt;0,VLOOKUP(G92,Apoio!$A$2:$B$25,2,0),"")</f>
        <v>8</v>
      </c>
      <c r="I92" s="44">
        <f t="shared" si="6"/>
        <v>40</v>
      </c>
      <c r="J92" s="98">
        <v>8</v>
      </c>
      <c r="K92" s="406">
        <f t="shared" ref="K92:K97" si="7">I92-J92</f>
        <v>32</v>
      </c>
      <c r="L92" s="103"/>
      <c r="M92" s="103" t="s">
        <v>235</v>
      </c>
    </row>
    <row r="93" spans="1:13" s="10" customFormat="1" x14ac:dyDescent="0.3">
      <c r="A93" s="4" t="s">
        <v>290</v>
      </c>
      <c r="B93" s="4" t="s">
        <v>10</v>
      </c>
      <c r="C93" s="108">
        <v>5</v>
      </c>
      <c r="D93" s="51">
        <v>6</v>
      </c>
      <c r="E93" s="51">
        <v>6</v>
      </c>
      <c r="F93" s="4" t="s">
        <v>90</v>
      </c>
      <c r="G93" s="4" t="s">
        <v>141</v>
      </c>
      <c r="H93" s="48">
        <f>IF(G93&gt;0,VLOOKUP(G93,Apoio!$A$2:$B$25,2,0),"")</f>
        <v>7</v>
      </c>
      <c r="I93" s="44">
        <f t="shared" si="6"/>
        <v>35</v>
      </c>
      <c r="J93" s="98">
        <v>8</v>
      </c>
      <c r="K93" s="406">
        <f t="shared" si="7"/>
        <v>27</v>
      </c>
      <c r="L93" s="103"/>
      <c r="M93" s="103" t="s">
        <v>235</v>
      </c>
    </row>
    <row r="94" spans="1:13" s="10" customFormat="1" x14ac:dyDescent="0.3">
      <c r="A94" s="4" t="s">
        <v>290</v>
      </c>
      <c r="B94" s="4" t="s">
        <v>10</v>
      </c>
      <c r="C94" s="108">
        <v>5</v>
      </c>
      <c r="D94" s="51">
        <v>6</v>
      </c>
      <c r="E94" s="51">
        <v>6</v>
      </c>
      <c r="F94" s="4" t="s">
        <v>90</v>
      </c>
      <c r="G94" s="4" t="s">
        <v>144</v>
      </c>
      <c r="H94" s="48">
        <f>IF(G94&gt;0,VLOOKUP(G94,Apoio!$A$2:$B$25,2,0),"")</f>
        <v>7</v>
      </c>
      <c r="I94" s="44">
        <f t="shared" si="6"/>
        <v>35</v>
      </c>
      <c r="J94" s="98">
        <v>8</v>
      </c>
      <c r="K94" s="406">
        <f t="shared" si="7"/>
        <v>27</v>
      </c>
      <c r="L94" s="103"/>
      <c r="M94" s="103" t="s">
        <v>235</v>
      </c>
    </row>
    <row r="95" spans="1:13" s="10" customFormat="1" x14ac:dyDescent="0.3">
      <c r="A95" s="4" t="s">
        <v>290</v>
      </c>
      <c r="B95" s="4" t="s">
        <v>10</v>
      </c>
      <c r="C95" s="108">
        <v>5</v>
      </c>
      <c r="D95" s="51">
        <v>6</v>
      </c>
      <c r="E95" s="51">
        <v>6</v>
      </c>
      <c r="F95" s="4" t="s">
        <v>90</v>
      </c>
      <c r="G95" s="4" t="s">
        <v>147</v>
      </c>
      <c r="H95" s="48">
        <f>IF(G95&gt;0,VLOOKUP(G95,Apoio!$A$2:$B$25,2,0),"")</f>
        <v>7</v>
      </c>
      <c r="I95" s="44">
        <f t="shared" si="6"/>
        <v>35</v>
      </c>
      <c r="J95" s="98">
        <v>8</v>
      </c>
      <c r="K95" s="406">
        <f t="shared" si="7"/>
        <v>27</v>
      </c>
      <c r="L95" s="103"/>
      <c r="M95" s="103" t="s">
        <v>235</v>
      </c>
    </row>
    <row r="96" spans="1:13" s="10" customFormat="1" x14ac:dyDescent="0.3">
      <c r="A96" s="4" t="s">
        <v>290</v>
      </c>
      <c r="B96" s="4" t="s">
        <v>10</v>
      </c>
      <c r="C96" s="108">
        <v>5</v>
      </c>
      <c r="D96" s="51">
        <v>6</v>
      </c>
      <c r="E96" s="51">
        <v>6</v>
      </c>
      <c r="F96" s="4" t="s">
        <v>90</v>
      </c>
      <c r="G96" s="4" t="s">
        <v>150</v>
      </c>
      <c r="H96" s="48">
        <f>IF(G96&gt;0,VLOOKUP(G96,Apoio!$A$2:$B$25,2,0),"")</f>
        <v>8</v>
      </c>
      <c r="I96" s="44">
        <f t="shared" si="6"/>
        <v>40</v>
      </c>
      <c r="J96" s="98">
        <v>8</v>
      </c>
      <c r="K96" s="406">
        <f t="shared" si="7"/>
        <v>32</v>
      </c>
      <c r="L96" s="103"/>
      <c r="M96" s="103" t="s">
        <v>235</v>
      </c>
    </row>
    <row r="97" spans="1:14" x14ac:dyDescent="0.3">
      <c r="A97" s="4" t="s">
        <v>290</v>
      </c>
      <c r="B97" s="4" t="s">
        <v>10</v>
      </c>
      <c r="C97" s="108">
        <v>5</v>
      </c>
      <c r="D97" s="51">
        <v>6</v>
      </c>
      <c r="E97" s="51">
        <v>6</v>
      </c>
      <c r="F97" s="4" t="s">
        <v>90</v>
      </c>
      <c r="G97" s="4" t="s">
        <v>153</v>
      </c>
      <c r="H97" s="48">
        <f>IF(G97&gt;0,VLOOKUP(G97,Apoio!$A$2:$B$25,2,0),"")</f>
        <v>8</v>
      </c>
      <c r="I97" s="44">
        <f t="shared" si="6"/>
        <v>40</v>
      </c>
      <c r="J97" s="98">
        <v>8</v>
      </c>
      <c r="K97" s="406">
        <f t="shared" si="7"/>
        <v>32</v>
      </c>
      <c r="L97" s="103"/>
      <c r="M97" s="103" t="s">
        <v>235</v>
      </c>
      <c r="N97" s="10"/>
    </row>
    <row r="98" spans="1:14" x14ac:dyDescent="0.3">
      <c r="A98" s="4" t="s">
        <v>291</v>
      </c>
      <c r="B98" s="120" t="s">
        <v>44</v>
      </c>
      <c r="C98" s="121">
        <v>5</v>
      </c>
      <c r="D98" s="122">
        <v>6</v>
      </c>
      <c r="E98" s="123">
        <v>6</v>
      </c>
      <c r="F98" s="120" t="s">
        <v>69</v>
      </c>
      <c r="G98" s="120" t="s">
        <v>68</v>
      </c>
      <c r="H98" s="120">
        <v>7</v>
      </c>
      <c r="I98" s="124">
        <f t="shared" si="6"/>
        <v>35</v>
      </c>
      <c r="J98" s="125">
        <v>8</v>
      </c>
      <c r="K98" s="126">
        <f t="shared" ref="K98:K109" si="8">I98-J98</f>
        <v>27</v>
      </c>
      <c r="L98" s="180">
        <f>2647.87*I98</f>
        <v>92675.45</v>
      </c>
      <c r="M98" s="103" t="s">
        <v>236</v>
      </c>
      <c r="N98" s="36" t="s">
        <v>237</v>
      </c>
    </row>
    <row r="99" spans="1:14" x14ac:dyDescent="0.3">
      <c r="A99" s="4" t="s">
        <v>291</v>
      </c>
      <c r="B99" s="120" t="s">
        <v>44</v>
      </c>
      <c r="C99" s="121">
        <v>4</v>
      </c>
      <c r="D99" s="122">
        <v>6</v>
      </c>
      <c r="E99" s="123">
        <v>6</v>
      </c>
      <c r="F99" s="120" t="s">
        <v>69</v>
      </c>
      <c r="G99" s="120" t="s">
        <v>75</v>
      </c>
      <c r="H99" s="120">
        <f>IF(G99&gt;0,VLOOKUP(G99,Apoio!$A$2:$B$25,2,0),"")</f>
        <v>8</v>
      </c>
      <c r="I99" s="124">
        <f t="shared" si="6"/>
        <v>32</v>
      </c>
      <c r="J99" s="125">
        <v>8</v>
      </c>
      <c r="K99" s="126">
        <f t="shared" si="8"/>
        <v>24</v>
      </c>
      <c r="L99" s="180">
        <f t="shared" ref="L99:L109" si="9">2647.87*I99</f>
        <v>84731.839999999997</v>
      </c>
      <c r="M99" s="103" t="s">
        <v>236</v>
      </c>
      <c r="N99" s="10" t="s">
        <v>238</v>
      </c>
    </row>
    <row r="100" spans="1:14" x14ac:dyDescent="0.3">
      <c r="A100" s="4" t="s">
        <v>291</v>
      </c>
      <c r="B100" s="120" t="s">
        <v>44</v>
      </c>
      <c r="C100" s="121">
        <v>4</v>
      </c>
      <c r="D100" s="122">
        <v>6</v>
      </c>
      <c r="E100" s="123">
        <v>6</v>
      </c>
      <c r="F100" s="120" t="s">
        <v>69</v>
      </c>
      <c r="G100" s="120" t="s">
        <v>82</v>
      </c>
      <c r="H100" s="120">
        <f>IF(G100&gt;0,VLOOKUP(G100,Apoio!$A$2:$B$25,2,0),"")</f>
        <v>6</v>
      </c>
      <c r="I100" s="124">
        <f t="shared" si="6"/>
        <v>24</v>
      </c>
      <c r="J100" s="125">
        <v>8</v>
      </c>
      <c r="K100" s="126">
        <f t="shared" si="8"/>
        <v>16</v>
      </c>
      <c r="L100" s="180">
        <f t="shared" si="9"/>
        <v>63548.88</v>
      </c>
      <c r="M100" s="103" t="s">
        <v>236</v>
      </c>
      <c r="N100" s="10"/>
    </row>
    <row r="101" spans="1:14" x14ac:dyDescent="0.3">
      <c r="A101" s="4" t="s">
        <v>291</v>
      </c>
      <c r="B101" s="120" t="s">
        <v>44</v>
      </c>
      <c r="C101" s="154">
        <v>3</v>
      </c>
      <c r="D101" s="122">
        <v>6</v>
      </c>
      <c r="E101" s="123">
        <v>6</v>
      </c>
      <c r="F101" s="120" t="s">
        <v>69</v>
      </c>
      <c r="G101" s="120" t="s">
        <v>89</v>
      </c>
      <c r="H101" s="120">
        <f>IF(G101&gt;0,VLOOKUP(G101,Apoio!$A$2:$B$25,2,0),"")</f>
        <v>8</v>
      </c>
      <c r="I101" s="124">
        <f t="shared" ref="I101:I127" si="10">IF(D101&gt;0,(((H101*E101)*C101)/D101),"")</f>
        <v>24</v>
      </c>
      <c r="J101" s="125">
        <v>5</v>
      </c>
      <c r="K101" s="155">
        <f>I101-J101</f>
        <v>19</v>
      </c>
      <c r="L101" s="180">
        <f t="shared" si="9"/>
        <v>63548.88</v>
      </c>
      <c r="M101" s="103" t="s">
        <v>236</v>
      </c>
      <c r="N101" s="10" t="s">
        <v>239</v>
      </c>
    </row>
    <row r="102" spans="1:14" x14ac:dyDescent="0.3">
      <c r="A102" s="4" t="s">
        <v>291</v>
      </c>
      <c r="B102" s="120" t="s">
        <v>44</v>
      </c>
      <c r="C102" s="154">
        <v>3.5</v>
      </c>
      <c r="D102" s="122">
        <v>6</v>
      </c>
      <c r="E102" s="123">
        <v>6</v>
      </c>
      <c r="F102" s="120" t="s">
        <v>69</v>
      </c>
      <c r="G102" s="120" t="s">
        <v>96</v>
      </c>
      <c r="H102" s="120">
        <f>IF(G102&gt;0,VLOOKUP(G102,Apoio!$A$2:$B$25,2,0),"")</f>
        <v>8</v>
      </c>
      <c r="I102" s="124">
        <f t="shared" si="10"/>
        <v>28</v>
      </c>
      <c r="J102" s="125">
        <v>5</v>
      </c>
      <c r="K102" s="155">
        <f t="shared" si="8"/>
        <v>23</v>
      </c>
      <c r="L102" s="180">
        <f t="shared" si="9"/>
        <v>74140.36</v>
      </c>
      <c r="M102" s="103" t="s">
        <v>236</v>
      </c>
      <c r="N102" s="10" t="s">
        <v>239</v>
      </c>
    </row>
    <row r="103" spans="1:14" ht="15" thickBot="1" x14ac:dyDescent="0.35">
      <c r="A103" s="4" t="s">
        <v>291</v>
      </c>
      <c r="B103" s="189" t="s">
        <v>44</v>
      </c>
      <c r="C103" s="190">
        <v>4</v>
      </c>
      <c r="D103" s="191">
        <v>6</v>
      </c>
      <c r="E103" s="192">
        <v>6</v>
      </c>
      <c r="F103" s="189" t="s">
        <v>69</v>
      </c>
      <c r="G103" s="189" t="s">
        <v>99</v>
      </c>
      <c r="H103" s="189">
        <f>IF(G103&gt;0,VLOOKUP(G103,Apoio!$A$2:$B$25,2,0),"")</f>
        <v>2</v>
      </c>
      <c r="I103" s="193">
        <f t="shared" si="10"/>
        <v>8</v>
      </c>
      <c r="J103" s="194">
        <v>3</v>
      </c>
      <c r="K103" s="195">
        <f t="shared" si="8"/>
        <v>5</v>
      </c>
      <c r="L103" s="196">
        <f t="shared" si="9"/>
        <v>21182.959999999999</v>
      </c>
      <c r="M103" s="103" t="s">
        <v>236</v>
      </c>
      <c r="N103" s="10" t="s">
        <v>239</v>
      </c>
    </row>
    <row r="104" spans="1:14" x14ac:dyDescent="0.3">
      <c r="A104" s="4" t="s">
        <v>291</v>
      </c>
      <c r="B104" s="198" t="s">
        <v>44</v>
      </c>
      <c r="C104" s="199">
        <v>4.5</v>
      </c>
      <c r="D104" s="200">
        <v>6</v>
      </c>
      <c r="E104" s="201">
        <v>6</v>
      </c>
      <c r="F104" s="202" t="s">
        <v>76</v>
      </c>
      <c r="G104" s="202" t="s">
        <v>102</v>
      </c>
      <c r="H104" s="202">
        <f>IF(G104&gt;0,VLOOKUP(G104,Apoio!$A$2:$B$25,2,0),"")</f>
        <v>5</v>
      </c>
      <c r="I104" s="203">
        <f t="shared" si="10"/>
        <v>22.5</v>
      </c>
      <c r="J104" s="204">
        <v>5</v>
      </c>
      <c r="K104" s="326">
        <f>I104-J104+9-1</f>
        <v>25.5</v>
      </c>
      <c r="L104" s="243">
        <f t="shared" si="9"/>
        <v>59577.074999999997</v>
      </c>
      <c r="M104" s="188" t="s">
        <v>240</v>
      </c>
      <c r="N104" s="10" t="s">
        <v>241</v>
      </c>
    </row>
    <row r="105" spans="1:14" x14ac:dyDescent="0.3">
      <c r="A105" s="4" t="s">
        <v>291</v>
      </c>
      <c r="B105" s="206" t="s">
        <v>44</v>
      </c>
      <c r="C105" s="142">
        <v>5</v>
      </c>
      <c r="D105" s="143">
        <v>6</v>
      </c>
      <c r="E105" s="144">
        <v>6</v>
      </c>
      <c r="F105" s="141" t="s">
        <v>76</v>
      </c>
      <c r="G105" s="141" t="s">
        <v>105</v>
      </c>
      <c r="H105" s="141">
        <f>IF(G105&gt;0,VLOOKUP(G105,Apoio!$A$2:$B$25,2,0),"")</f>
        <v>7</v>
      </c>
      <c r="I105" s="145">
        <f>IF(D105&gt;0,(((H105*E105)*C105)/D105),"")</f>
        <v>35</v>
      </c>
      <c r="J105" s="146">
        <v>8</v>
      </c>
      <c r="K105" s="327">
        <f>I105-J105+10</f>
        <v>37</v>
      </c>
      <c r="L105" s="244">
        <f t="shared" si="9"/>
        <v>92675.45</v>
      </c>
      <c r="M105" s="188" t="s">
        <v>240</v>
      </c>
      <c r="N105" s="10" t="s">
        <v>242</v>
      </c>
    </row>
    <row r="106" spans="1:14" x14ac:dyDescent="0.3">
      <c r="A106" s="4" t="s">
        <v>291</v>
      </c>
      <c r="B106" s="206" t="s">
        <v>44</v>
      </c>
      <c r="C106" s="142">
        <v>5.3</v>
      </c>
      <c r="D106" s="143">
        <v>6</v>
      </c>
      <c r="E106" s="144">
        <v>6</v>
      </c>
      <c r="F106" s="141" t="s">
        <v>76</v>
      </c>
      <c r="G106" s="141" t="s">
        <v>108</v>
      </c>
      <c r="H106" s="141">
        <f>IF(G106&gt;0,VLOOKUP(G106,Apoio!$A$2:$B$25,2,0),"")</f>
        <v>8</v>
      </c>
      <c r="I106" s="145">
        <f t="shared" si="10"/>
        <v>42.4</v>
      </c>
      <c r="J106" s="146">
        <v>8</v>
      </c>
      <c r="K106" s="327">
        <f>I106-J106+10+3</f>
        <v>47.4</v>
      </c>
      <c r="L106" s="244">
        <f t="shared" si="9"/>
        <v>112269.68799999999</v>
      </c>
      <c r="M106" s="188" t="s">
        <v>240</v>
      </c>
      <c r="N106" s="10" t="s">
        <v>242</v>
      </c>
    </row>
    <row r="107" spans="1:14" x14ac:dyDescent="0.3">
      <c r="A107" s="4" t="s">
        <v>291</v>
      </c>
      <c r="B107" s="206" t="s">
        <v>44</v>
      </c>
      <c r="C107" s="142">
        <v>6</v>
      </c>
      <c r="D107" s="143">
        <v>6</v>
      </c>
      <c r="E107" s="144">
        <v>6</v>
      </c>
      <c r="F107" s="141" t="s">
        <v>76</v>
      </c>
      <c r="G107" s="141" t="s">
        <v>111</v>
      </c>
      <c r="H107" s="141">
        <f>IF(G107&gt;0,VLOOKUP(G107,Apoio!$A$2:$B$25,2,0),"")</f>
        <v>7</v>
      </c>
      <c r="I107" s="145">
        <f t="shared" si="10"/>
        <v>42</v>
      </c>
      <c r="J107" s="146">
        <v>8</v>
      </c>
      <c r="K107" s="327">
        <f>I107-J107+10+5</f>
        <v>49</v>
      </c>
      <c r="L107" s="244">
        <f t="shared" si="9"/>
        <v>111210.54</v>
      </c>
      <c r="M107" s="188" t="s">
        <v>240</v>
      </c>
      <c r="N107" s="10" t="s">
        <v>242</v>
      </c>
    </row>
    <row r="108" spans="1:14" x14ac:dyDescent="0.3">
      <c r="A108" s="4" t="s">
        <v>291</v>
      </c>
      <c r="B108" s="206" t="s">
        <v>44</v>
      </c>
      <c r="C108" s="142">
        <v>6.5</v>
      </c>
      <c r="D108" s="143">
        <v>6</v>
      </c>
      <c r="E108" s="144">
        <v>6</v>
      </c>
      <c r="F108" s="141" t="s">
        <v>76</v>
      </c>
      <c r="G108" s="141" t="s">
        <v>114</v>
      </c>
      <c r="H108" s="141">
        <f>IF(G108&gt;0,VLOOKUP(G108,Apoio!$A$2:$B$25,2,0),"")</f>
        <v>8</v>
      </c>
      <c r="I108" s="145">
        <f t="shared" si="10"/>
        <v>52</v>
      </c>
      <c r="J108" s="146">
        <v>8</v>
      </c>
      <c r="K108" s="327">
        <f>I108-J108+10+8</f>
        <v>62</v>
      </c>
      <c r="L108" s="244">
        <f t="shared" si="9"/>
        <v>137689.24</v>
      </c>
      <c r="M108" s="188" t="s">
        <v>240</v>
      </c>
      <c r="N108" s="10" t="s">
        <v>242</v>
      </c>
    </row>
    <row r="109" spans="1:14" ht="15" thickBot="1" x14ac:dyDescent="0.35">
      <c r="A109" s="4" t="s">
        <v>291</v>
      </c>
      <c r="B109" s="208" t="s">
        <v>44</v>
      </c>
      <c r="C109" s="209">
        <v>6.5</v>
      </c>
      <c r="D109" s="210">
        <v>6</v>
      </c>
      <c r="E109" s="211">
        <v>6</v>
      </c>
      <c r="F109" s="212" t="s">
        <v>76</v>
      </c>
      <c r="G109" s="212" t="s">
        <v>117</v>
      </c>
      <c r="H109" s="212">
        <f>IF(G109&gt;0,VLOOKUP(G109,Apoio!$A$2:$B$25,2,0),"")</f>
        <v>3</v>
      </c>
      <c r="I109" s="213">
        <f t="shared" si="10"/>
        <v>19.5</v>
      </c>
      <c r="J109" s="214">
        <v>5</v>
      </c>
      <c r="K109" s="328">
        <f t="shared" si="8"/>
        <v>14.5</v>
      </c>
      <c r="L109" s="245">
        <f t="shared" si="9"/>
        <v>51633.464999999997</v>
      </c>
      <c r="M109" s="188" t="s">
        <v>240</v>
      </c>
      <c r="N109" s="10"/>
    </row>
    <row r="110" spans="1:14" x14ac:dyDescent="0.3">
      <c r="A110" s="4" t="s">
        <v>291</v>
      </c>
      <c r="B110" s="338" t="s">
        <v>44</v>
      </c>
      <c r="C110" s="339">
        <v>6.5</v>
      </c>
      <c r="D110" s="340">
        <v>7</v>
      </c>
      <c r="E110" s="341">
        <v>6</v>
      </c>
      <c r="F110" s="338" t="s">
        <v>83</v>
      </c>
      <c r="G110" s="338" t="s">
        <v>120</v>
      </c>
      <c r="H110" s="338">
        <f>IF(G110&gt;0,VLOOKUP(G110,Apoio!$A$2:$B$25,2,0),"")</f>
        <v>7</v>
      </c>
      <c r="I110" s="342">
        <f>IF(D110&gt;0,(((H110*E110)*C110)/D110),"")</f>
        <v>39</v>
      </c>
      <c r="J110" s="343">
        <v>7</v>
      </c>
      <c r="K110" s="344">
        <f>I110-J110-2</f>
        <v>30</v>
      </c>
      <c r="L110" s="197"/>
      <c r="M110" s="379" t="s">
        <v>236</v>
      </c>
      <c r="N110" s="77" t="s">
        <v>243</v>
      </c>
    </row>
    <row r="111" spans="1:14" x14ac:dyDescent="0.3">
      <c r="A111" s="4" t="s">
        <v>291</v>
      </c>
      <c r="B111" s="345" t="s">
        <v>44</v>
      </c>
      <c r="C111" s="346">
        <v>6.5</v>
      </c>
      <c r="D111" s="340">
        <v>7</v>
      </c>
      <c r="E111" s="347">
        <v>6</v>
      </c>
      <c r="F111" s="345" t="s">
        <v>83</v>
      </c>
      <c r="G111" s="345" t="s">
        <v>123</v>
      </c>
      <c r="H111" s="345">
        <f>IF(G111&gt;0,VLOOKUP(G111,Apoio!$A$2:$B$25,2,0),"")</f>
        <v>8</v>
      </c>
      <c r="I111" s="348">
        <f t="shared" si="10"/>
        <v>44.571428571428569</v>
      </c>
      <c r="J111" s="343">
        <v>7</v>
      </c>
      <c r="K111" s="344">
        <f>I111-J111-2</f>
        <v>35.571428571428569</v>
      </c>
      <c r="L111" s="103"/>
      <c r="M111" s="379" t="s">
        <v>236</v>
      </c>
      <c r="N111" s="77" t="s">
        <v>244</v>
      </c>
    </row>
    <row r="112" spans="1:14" x14ac:dyDescent="0.3">
      <c r="A112" s="4" t="s">
        <v>291</v>
      </c>
      <c r="B112" s="345" t="s">
        <v>44</v>
      </c>
      <c r="C112" s="346">
        <v>6.5</v>
      </c>
      <c r="D112" s="340">
        <v>7</v>
      </c>
      <c r="E112" s="347">
        <v>6</v>
      </c>
      <c r="F112" s="345" t="s">
        <v>83</v>
      </c>
      <c r="G112" s="345" t="s">
        <v>126</v>
      </c>
      <c r="H112" s="345">
        <f>IF(G112&gt;0,VLOOKUP(G112,Apoio!$A$2:$B$25,2,0),"")</f>
        <v>8</v>
      </c>
      <c r="I112" s="348">
        <f t="shared" si="10"/>
        <v>44.571428571428569</v>
      </c>
      <c r="J112" s="343">
        <v>10</v>
      </c>
      <c r="K112" s="344">
        <f t="shared" ref="K112:K115" si="11">I112-J112</f>
        <v>34.571428571428569</v>
      </c>
      <c r="L112" s="103"/>
      <c r="M112" s="379" t="s">
        <v>236</v>
      </c>
    </row>
    <row r="113" spans="1:14" x14ac:dyDescent="0.3">
      <c r="A113" s="4" t="s">
        <v>291</v>
      </c>
      <c r="B113" s="345" t="s">
        <v>44</v>
      </c>
      <c r="C113" s="346">
        <v>5.5</v>
      </c>
      <c r="D113" s="340">
        <v>7</v>
      </c>
      <c r="E113" s="347">
        <v>6</v>
      </c>
      <c r="F113" s="345" t="s">
        <v>83</v>
      </c>
      <c r="G113" s="345" t="s">
        <v>129</v>
      </c>
      <c r="H113" s="345">
        <f>IF(G113&gt;0,VLOOKUP(G113,Apoio!$A$2:$B$25,2,0),"")</f>
        <v>8</v>
      </c>
      <c r="I113" s="348">
        <f t="shared" si="10"/>
        <v>37.714285714285715</v>
      </c>
      <c r="J113" s="343">
        <v>10</v>
      </c>
      <c r="K113" s="344">
        <f t="shared" si="11"/>
        <v>27.714285714285715</v>
      </c>
      <c r="L113" s="103"/>
      <c r="M113" s="379" t="s">
        <v>236</v>
      </c>
    </row>
    <row r="114" spans="1:14" x14ac:dyDescent="0.3">
      <c r="A114" s="4" t="s">
        <v>291</v>
      </c>
      <c r="B114" s="345" t="s">
        <v>44</v>
      </c>
      <c r="C114" s="346">
        <v>6.5</v>
      </c>
      <c r="D114" s="340">
        <v>7</v>
      </c>
      <c r="E114" s="347">
        <v>6</v>
      </c>
      <c r="F114" s="345" t="s">
        <v>83</v>
      </c>
      <c r="G114" s="345" t="s">
        <v>132</v>
      </c>
      <c r="H114" s="345">
        <f>IF(G114&gt;0,VLOOKUP(G114,Apoio!$A$2:$B$25,2,0),"")</f>
        <v>7</v>
      </c>
      <c r="I114" s="348">
        <f>IF(D114&gt;0,(((H114*E114)*C114)/D114),"")-1</f>
        <v>38</v>
      </c>
      <c r="J114" s="343">
        <v>7</v>
      </c>
      <c r="K114" s="344">
        <f t="shared" si="11"/>
        <v>31</v>
      </c>
      <c r="L114" s="103"/>
      <c r="M114" s="379" t="s">
        <v>245</v>
      </c>
    </row>
    <row r="115" spans="1:14" x14ac:dyDescent="0.3">
      <c r="A115" s="4" t="s">
        <v>291</v>
      </c>
      <c r="B115" s="345" t="s">
        <v>44</v>
      </c>
      <c r="C115" s="346">
        <v>6.5</v>
      </c>
      <c r="D115" s="340">
        <v>7</v>
      </c>
      <c r="E115" s="347">
        <v>6</v>
      </c>
      <c r="F115" s="345" t="s">
        <v>83</v>
      </c>
      <c r="G115" s="345" t="s">
        <v>135</v>
      </c>
      <c r="H115" s="345">
        <f>IF(G115&gt;0,VLOOKUP(G115,Apoio!$A$2:$B$25,2,0),"")</f>
        <v>3</v>
      </c>
      <c r="I115" s="348">
        <f t="shared" si="10"/>
        <v>16.714285714285715</v>
      </c>
      <c r="J115" s="343">
        <v>5</v>
      </c>
      <c r="K115" s="344">
        <f t="shared" si="11"/>
        <v>11.714285714285715</v>
      </c>
      <c r="L115" s="103"/>
      <c r="M115" s="379" t="s">
        <v>236</v>
      </c>
    </row>
    <row r="116" spans="1:14" x14ac:dyDescent="0.3">
      <c r="A116" s="4" t="s">
        <v>291</v>
      </c>
      <c r="B116" s="4" t="s">
        <v>44</v>
      </c>
      <c r="C116" s="108">
        <v>7</v>
      </c>
      <c r="D116" s="89">
        <v>7</v>
      </c>
      <c r="E116" s="51">
        <v>6</v>
      </c>
      <c r="F116" s="4" t="s">
        <v>90</v>
      </c>
      <c r="G116" s="4" t="s">
        <v>138</v>
      </c>
      <c r="H116" s="48">
        <f>IF(G116&gt;0,VLOOKUP(G116,Apoio!$A$2:$B$25,2,0),"")</f>
        <v>8</v>
      </c>
      <c r="I116" s="392">
        <f t="shared" si="10"/>
        <v>48</v>
      </c>
      <c r="J116" s="98">
        <v>8</v>
      </c>
      <c r="K116" s="396">
        <f>I116-J116-4</f>
        <v>36</v>
      </c>
      <c r="L116" s="103"/>
      <c r="M116" s="103" t="s">
        <v>240</v>
      </c>
      <c r="N116" s="10"/>
    </row>
    <row r="117" spans="1:14" x14ac:dyDescent="0.3">
      <c r="A117" s="4" t="s">
        <v>291</v>
      </c>
      <c r="B117" s="4" t="s">
        <v>44</v>
      </c>
      <c r="C117" s="108">
        <v>7</v>
      </c>
      <c r="D117" s="89">
        <v>7</v>
      </c>
      <c r="E117" s="51">
        <v>6</v>
      </c>
      <c r="F117" s="4" t="s">
        <v>90</v>
      </c>
      <c r="G117" s="4" t="s">
        <v>141</v>
      </c>
      <c r="H117" s="48">
        <f>IF(G117&gt;0,VLOOKUP(G117,Apoio!$A$2:$B$25,2,0),"")</f>
        <v>7</v>
      </c>
      <c r="I117" s="392">
        <f t="shared" si="10"/>
        <v>42</v>
      </c>
      <c r="J117" s="98">
        <v>8</v>
      </c>
      <c r="K117" s="396">
        <f t="shared" ref="K117:K119" si="12">I117-J117-4</f>
        <v>30</v>
      </c>
      <c r="L117" s="103"/>
      <c r="M117" s="103" t="s">
        <v>240</v>
      </c>
      <c r="N117" s="10"/>
    </row>
    <row r="118" spans="1:14" x14ac:dyDescent="0.3">
      <c r="A118" s="4" t="s">
        <v>291</v>
      </c>
      <c r="B118" s="4" t="s">
        <v>44</v>
      </c>
      <c r="C118" s="108">
        <v>7</v>
      </c>
      <c r="D118" s="89">
        <v>7</v>
      </c>
      <c r="E118" s="51">
        <v>6</v>
      </c>
      <c r="F118" s="4" t="s">
        <v>90</v>
      </c>
      <c r="G118" s="4" t="s">
        <v>144</v>
      </c>
      <c r="H118" s="48">
        <f>IF(G118&gt;0,VLOOKUP(G118,Apoio!$A$2:$B$25,2,0),"")</f>
        <v>7</v>
      </c>
      <c r="I118" s="392">
        <f t="shared" si="10"/>
        <v>42</v>
      </c>
      <c r="J118" s="98">
        <v>8</v>
      </c>
      <c r="K118" s="396">
        <f t="shared" si="12"/>
        <v>30</v>
      </c>
      <c r="L118" s="103"/>
      <c r="M118" s="103" t="s">
        <v>240</v>
      </c>
      <c r="N118" s="10"/>
    </row>
    <row r="119" spans="1:14" x14ac:dyDescent="0.3">
      <c r="A119" s="4" t="s">
        <v>291</v>
      </c>
      <c r="B119" s="4" t="s">
        <v>44</v>
      </c>
      <c r="C119" s="108">
        <v>7</v>
      </c>
      <c r="D119" s="89">
        <v>7</v>
      </c>
      <c r="E119" s="51">
        <v>6</v>
      </c>
      <c r="F119" s="4" t="s">
        <v>90</v>
      </c>
      <c r="G119" s="4" t="s">
        <v>147</v>
      </c>
      <c r="H119" s="48">
        <f>IF(G119&gt;0,VLOOKUP(G119,Apoio!$A$2:$B$25,2,0),"")</f>
        <v>7</v>
      </c>
      <c r="I119" s="392">
        <f t="shared" si="10"/>
        <v>42</v>
      </c>
      <c r="J119" s="98">
        <v>8</v>
      </c>
      <c r="K119" s="396">
        <f t="shared" si="12"/>
        <v>30</v>
      </c>
      <c r="L119" s="103"/>
      <c r="M119" s="103" t="s">
        <v>240</v>
      </c>
      <c r="N119" s="10"/>
    </row>
    <row r="120" spans="1:14" x14ac:dyDescent="0.3">
      <c r="A120" s="4" t="s">
        <v>291</v>
      </c>
      <c r="B120" s="4" t="s">
        <v>44</v>
      </c>
      <c r="C120" s="108">
        <v>7</v>
      </c>
      <c r="D120" s="89">
        <v>7</v>
      </c>
      <c r="E120" s="51">
        <v>6</v>
      </c>
      <c r="F120" s="4" t="s">
        <v>90</v>
      </c>
      <c r="G120" s="4" t="s">
        <v>150</v>
      </c>
      <c r="H120" s="48">
        <f>IF(G120&gt;0,VLOOKUP(G120,Apoio!$A$2:$B$25,2,0),"")</f>
        <v>8</v>
      </c>
      <c r="I120" s="392">
        <f t="shared" ref="I120:I121" si="13">IF(D120&gt;0,(((H120*E120)*C120)/D120),"")</f>
        <v>48</v>
      </c>
      <c r="J120" s="98">
        <v>8</v>
      </c>
      <c r="K120" s="396">
        <f>I120-J120-4</f>
        <v>36</v>
      </c>
      <c r="L120" s="103"/>
      <c r="M120" s="103" t="s">
        <v>240</v>
      </c>
      <c r="N120" s="10"/>
    </row>
    <row r="121" spans="1:14" ht="15" thickBot="1" x14ac:dyDescent="0.35">
      <c r="A121" s="4" t="s">
        <v>291</v>
      </c>
      <c r="B121" s="9" t="s">
        <v>44</v>
      </c>
      <c r="C121" s="108">
        <v>7</v>
      </c>
      <c r="D121" s="89">
        <v>7</v>
      </c>
      <c r="E121" s="51">
        <v>6</v>
      </c>
      <c r="F121" s="9" t="s">
        <v>90</v>
      </c>
      <c r="G121" s="9" t="s">
        <v>153</v>
      </c>
      <c r="H121" s="247">
        <f>IF(G121&gt;0,VLOOKUP(G121,Apoio!$A$2:$B$25,2,0),"")</f>
        <v>8</v>
      </c>
      <c r="I121" s="393">
        <f t="shared" si="13"/>
        <v>48</v>
      </c>
      <c r="J121" s="98">
        <v>8</v>
      </c>
      <c r="K121" s="396">
        <f>I121-J121-4</f>
        <v>36</v>
      </c>
      <c r="L121" s="248"/>
      <c r="M121" s="103" t="s">
        <v>240</v>
      </c>
      <c r="N121" s="10"/>
    </row>
    <row r="122" spans="1:14" x14ac:dyDescent="0.3">
      <c r="A122" s="4" t="s">
        <v>291</v>
      </c>
      <c r="B122" s="249" t="s">
        <v>45</v>
      </c>
      <c r="C122" s="250">
        <v>9</v>
      </c>
      <c r="D122" s="251">
        <v>6</v>
      </c>
      <c r="E122" s="252">
        <v>6</v>
      </c>
      <c r="F122" s="253" t="s">
        <v>69</v>
      </c>
      <c r="G122" s="253" t="s">
        <v>68</v>
      </c>
      <c r="H122" s="253">
        <f>IF(G122&gt;0,VLOOKUP(G122,Apoio!$A$2:$B$25,2,0),"")</f>
        <v>7</v>
      </c>
      <c r="I122" s="254">
        <f t="shared" si="10"/>
        <v>63</v>
      </c>
      <c r="J122" s="255">
        <v>16</v>
      </c>
      <c r="K122" s="256">
        <f t="shared" ref="K122:K126" si="14">I122-J122</f>
        <v>47</v>
      </c>
      <c r="L122" s="205">
        <f t="shared" ref="L122:L133" si="15">2647.87*I122</f>
        <v>166815.81</v>
      </c>
      <c r="M122" s="188" t="s">
        <v>236</v>
      </c>
      <c r="N122" s="10"/>
    </row>
    <row r="123" spans="1:14" x14ac:dyDescent="0.3">
      <c r="A123" s="4" t="s">
        <v>291</v>
      </c>
      <c r="B123" s="257" t="s">
        <v>45</v>
      </c>
      <c r="C123" s="128">
        <v>8</v>
      </c>
      <c r="D123" s="129">
        <v>6</v>
      </c>
      <c r="E123" s="130">
        <v>6</v>
      </c>
      <c r="F123" s="127" t="s">
        <v>69</v>
      </c>
      <c r="G123" s="127" t="s">
        <v>75</v>
      </c>
      <c r="H123" s="127">
        <f>IF(G123&gt;0,VLOOKUP(G123,Apoio!$A$2:$B$25,2,0),"")</f>
        <v>8</v>
      </c>
      <c r="I123" s="131">
        <f t="shared" si="10"/>
        <v>64</v>
      </c>
      <c r="J123" s="132">
        <v>16</v>
      </c>
      <c r="K123" s="133">
        <f t="shared" si="14"/>
        <v>48</v>
      </c>
      <c r="L123" s="207">
        <f t="shared" si="15"/>
        <v>169463.67999999999</v>
      </c>
      <c r="M123" s="188" t="s">
        <v>236</v>
      </c>
      <c r="N123" s="77" t="s">
        <v>246</v>
      </c>
    </row>
    <row r="124" spans="1:14" x14ac:dyDescent="0.3">
      <c r="A124" s="4" t="s">
        <v>291</v>
      </c>
      <c r="B124" s="257" t="s">
        <v>45</v>
      </c>
      <c r="C124" s="128">
        <v>9</v>
      </c>
      <c r="D124" s="129">
        <v>6</v>
      </c>
      <c r="E124" s="130">
        <v>6</v>
      </c>
      <c r="F124" s="127" t="s">
        <v>69</v>
      </c>
      <c r="G124" s="127" t="s">
        <v>82</v>
      </c>
      <c r="H124" s="127">
        <f>IF(G124&gt;0,VLOOKUP(G124,Apoio!$A$2:$B$25,2,0),"")</f>
        <v>6</v>
      </c>
      <c r="I124" s="131">
        <f t="shared" si="10"/>
        <v>54</v>
      </c>
      <c r="J124" s="132">
        <v>16</v>
      </c>
      <c r="K124" s="133">
        <f t="shared" si="14"/>
        <v>38</v>
      </c>
      <c r="L124" s="207">
        <f t="shared" si="15"/>
        <v>142984.97999999998</v>
      </c>
      <c r="M124" s="188" t="s">
        <v>236</v>
      </c>
      <c r="N124" s="10" t="s">
        <v>247</v>
      </c>
    </row>
    <row r="125" spans="1:14" x14ac:dyDescent="0.3">
      <c r="A125" s="4" t="s">
        <v>291</v>
      </c>
      <c r="B125" s="257" t="s">
        <v>45</v>
      </c>
      <c r="C125" s="156">
        <v>7</v>
      </c>
      <c r="D125" s="129">
        <v>6</v>
      </c>
      <c r="E125" s="130">
        <v>6</v>
      </c>
      <c r="F125" s="127" t="s">
        <v>69</v>
      </c>
      <c r="G125" s="127" t="s">
        <v>89</v>
      </c>
      <c r="H125" s="127">
        <f>IF(G125&gt;0,VLOOKUP(G125,Apoio!$A$2:$B$25,2,0),"")</f>
        <v>8</v>
      </c>
      <c r="I125" s="131">
        <f t="shared" si="10"/>
        <v>56</v>
      </c>
      <c r="J125" s="132">
        <v>8</v>
      </c>
      <c r="K125" s="159">
        <f t="shared" si="14"/>
        <v>48</v>
      </c>
      <c r="L125" s="207">
        <f t="shared" si="15"/>
        <v>148280.72</v>
      </c>
      <c r="M125" s="188" t="s">
        <v>236</v>
      </c>
      <c r="N125" s="10" t="s">
        <v>248</v>
      </c>
    </row>
    <row r="126" spans="1:14" x14ac:dyDescent="0.3">
      <c r="A126" s="4" t="s">
        <v>291</v>
      </c>
      <c r="B126" s="257" t="s">
        <v>45</v>
      </c>
      <c r="C126" s="156">
        <v>5</v>
      </c>
      <c r="D126" s="129">
        <v>6</v>
      </c>
      <c r="E126" s="130">
        <v>6</v>
      </c>
      <c r="F126" s="127" t="s">
        <v>69</v>
      </c>
      <c r="G126" s="127" t="s">
        <v>96</v>
      </c>
      <c r="H126" s="127">
        <f>IF(G126&gt;0,VLOOKUP(G126,Apoio!$A$2:$B$25,2,0),"")</f>
        <v>8</v>
      </c>
      <c r="I126" s="131">
        <f t="shared" si="10"/>
        <v>40</v>
      </c>
      <c r="J126" s="132">
        <v>8</v>
      </c>
      <c r="K126" s="159">
        <f t="shared" si="14"/>
        <v>32</v>
      </c>
      <c r="L126" s="207">
        <f t="shared" si="15"/>
        <v>105914.79999999999</v>
      </c>
      <c r="M126" s="188" t="s">
        <v>236</v>
      </c>
      <c r="N126" s="10" t="s">
        <v>249</v>
      </c>
    </row>
    <row r="127" spans="1:14" ht="15" thickBot="1" x14ac:dyDescent="0.35">
      <c r="A127" s="4" t="s">
        <v>291</v>
      </c>
      <c r="B127" s="258" t="s">
        <v>45</v>
      </c>
      <c r="C127" s="259">
        <v>5</v>
      </c>
      <c r="D127" s="260">
        <v>6</v>
      </c>
      <c r="E127" s="261">
        <v>6</v>
      </c>
      <c r="F127" s="262" t="s">
        <v>69</v>
      </c>
      <c r="G127" s="262" t="s">
        <v>99</v>
      </c>
      <c r="H127" s="262">
        <f>IF(G127&gt;0,VLOOKUP(G127,Apoio!$A$2:$B$25,2,0),"")</f>
        <v>2</v>
      </c>
      <c r="I127" s="263">
        <f t="shared" si="10"/>
        <v>10</v>
      </c>
      <c r="J127" s="264">
        <v>5</v>
      </c>
      <c r="K127" s="265">
        <f t="shared" ref="K127:K137" si="16">I127-J127</f>
        <v>5</v>
      </c>
      <c r="L127" s="215">
        <f t="shared" si="15"/>
        <v>26478.699999999997</v>
      </c>
      <c r="M127" s="188" t="s">
        <v>236</v>
      </c>
      <c r="N127" s="10" t="s">
        <v>249</v>
      </c>
    </row>
    <row r="128" spans="1:14" x14ac:dyDescent="0.3">
      <c r="A128" s="4" t="s">
        <v>291</v>
      </c>
      <c r="B128" s="216" t="s">
        <v>45</v>
      </c>
      <c r="C128" s="217">
        <v>7</v>
      </c>
      <c r="D128" s="218">
        <v>6</v>
      </c>
      <c r="E128" s="219">
        <v>6</v>
      </c>
      <c r="F128" s="220" t="s">
        <v>76</v>
      </c>
      <c r="G128" s="220" t="s">
        <v>102</v>
      </c>
      <c r="H128" s="220">
        <f>IF(G128&gt;0,VLOOKUP(G128,Apoio!$A$2:$B$25,2,0),"")</f>
        <v>5</v>
      </c>
      <c r="I128" s="221">
        <f t="shared" ref="I128:I182" si="17">IF(D128&gt;0,(((H128*E128)*C128)/D128),"")</f>
        <v>35</v>
      </c>
      <c r="J128" s="222">
        <v>13</v>
      </c>
      <c r="K128" s="329">
        <f>I128-J128+13</f>
        <v>35</v>
      </c>
      <c r="L128" s="243">
        <f t="shared" si="15"/>
        <v>92675.45</v>
      </c>
      <c r="M128" s="188" t="s">
        <v>240</v>
      </c>
      <c r="N128" s="10" t="s">
        <v>250</v>
      </c>
    </row>
    <row r="129" spans="1:14" x14ac:dyDescent="0.3">
      <c r="A129" s="4" t="s">
        <v>291</v>
      </c>
      <c r="B129" s="223" t="s">
        <v>45</v>
      </c>
      <c r="C129" s="161">
        <v>6.5</v>
      </c>
      <c r="D129" s="162">
        <v>6</v>
      </c>
      <c r="E129" s="163">
        <v>6</v>
      </c>
      <c r="F129" s="160" t="s">
        <v>76</v>
      </c>
      <c r="G129" s="160" t="s">
        <v>105</v>
      </c>
      <c r="H129" s="160">
        <f>IF(G129&gt;0,VLOOKUP(G129,Apoio!$A$2:$B$25,2,0),"")</f>
        <v>7</v>
      </c>
      <c r="I129" s="164">
        <f t="shared" si="17"/>
        <v>45.5</v>
      </c>
      <c r="J129" s="165">
        <v>13</v>
      </c>
      <c r="K129" s="325">
        <f>I129-J129+12</f>
        <v>44.5</v>
      </c>
      <c r="L129" s="244">
        <f t="shared" si="15"/>
        <v>120478.08499999999</v>
      </c>
      <c r="M129" s="188" t="s">
        <v>240</v>
      </c>
      <c r="N129" s="10" t="s">
        <v>251</v>
      </c>
    </row>
    <row r="130" spans="1:14" x14ac:dyDescent="0.3">
      <c r="A130" s="4" t="s">
        <v>291</v>
      </c>
      <c r="B130" s="223" t="s">
        <v>45</v>
      </c>
      <c r="C130" s="161">
        <v>6.9</v>
      </c>
      <c r="D130" s="162">
        <v>6</v>
      </c>
      <c r="E130" s="163">
        <v>6</v>
      </c>
      <c r="F130" s="160" t="s">
        <v>76</v>
      </c>
      <c r="G130" s="160" t="s">
        <v>108</v>
      </c>
      <c r="H130" s="160">
        <f>IF(G130&gt;0,VLOOKUP(G130,Apoio!$A$2:$B$25,2,0),"")</f>
        <v>8</v>
      </c>
      <c r="I130" s="164">
        <f t="shared" si="17"/>
        <v>55.20000000000001</v>
      </c>
      <c r="J130" s="165">
        <v>13</v>
      </c>
      <c r="K130" s="325">
        <f>I130-J130+12</f>
        <v>54.20000000000001</v>
      </c>
      <c r="L130" s="244">
        <f t="shared" si="15"/>
        <v>146162.42400000003</v>
      </c>
      <c r="M130" s="188" t="s">
        <v>240</v>
      </c>
      <c r="N130" s="10" t="s">
        <v>252</v>
      </c>
    </row>
    <row r="131" spans="1:14" x14ac:dyDescent="0.3">
      <c r="A131" s="4" t="s">
        <v>291</v>
      </c>
      <c r="B131" s="223" t="s">
        <v>45</v>
      </c>
      <c r="C131" s="161">
        <v>8.5</v>
      </c>
      <c r="D131" s="162">
        <v>6</v>
      </c>
      <c r="E131" s="163">
        <v>6</v>
      </c>
      <c r="F131" s="160" t="s">
        <v>76</v>
      </c>
      <c r="G131" s="160" t="s">
        <v>111</v>
      </c>
      <c r="H131" s="160">
        <f>IF(G131&gt;0,VLOOKUP(G131,Apoio!$A$2:$B$25,2,0),"")</f>
        <v>7</v>
      </c>
      <c r="I131" s="164">
        <f t="shared" si="17"/>
        <v>59.5</v>
      </c>
      <c r="J131" s="165">
        <v>13</v>
      </c>
      <c r="K131" s="325">
        <f>I131-J131+12</f>
        <v>58.5</v>
      </c>
      <c r="L131" s="244">
        <f t="shared" si="15"/>
        <v>157548.26499999998</v>
      </c>
      <c r="M131" s="188" t="s">
        <v>240</v>
      </c>
      <c r="N131" s="10" t="s">
        <v>253</v>
      </c>
    </row>
    <row r="132" spans="1:14" x14ac:dyDescent="0.3">
      <c r="A132" s="4" t="s">
        <v>291</v>
      </c>
      <c r="B132" s="223" t="s">
        <v>45</v>
      </c>
      <c r="C132" s="161">
        <v>10</v>
      </c>
      <c r="D132" s="162">
        <v>6</v>
      </c>
      <c r="E132" s="163">
        <v>6</v>
      </c>
      <c r="F132" s="160" t="s">
        <v>76</v>
      </c>
      <c r="G132" s="160" t="s">
        <v>114</v>
      </c>
      <c r="H132" s="160">
        <f>IF(G132&gt;0,VLOOKUP(G132,Apoio!$A$2:$B$25,2,0),"")</f>
        <v>8</v>
      </c>
      <c r="I132" s="164">
        <f t="shared" si="17"/>
        <v>80</v>
      </c>
      <c r="J132" s="165">
        <v>13</v>
      </c>
      <c r="K132" s="325">
        <f>I132-J132+12</f>
        <v>79</v>
      </c>
      <c r="L132" s="244">
        <f t="shared" si="15"/>
        <v>211829.59999999998</v>
      </c>
      <c r="M132" s="188" t="s">
        <v>240</v>
      </c>
      <c r="N132" s="10" t="s">
        <v>254</v>
      </c>
    </row>
    <row r="133" spans="1:14" ht="15" thickBot="1" x14ac:dyDescent="0.35">
      <c r="A133" s="4" t="s">
        <v>291</v>
      </c>
      <c r="B133" s="224" t="s">
        <v>45</v>
      </c>
      <c r="C133" s="225">
        <v>7</v>
      </c>
      <c r="D133" s="226">
        <v>6</v>
      </c>
      <c r="E133" s="227">
        <v>6</v>
      </c>
      <c r="F133" s="228" t="s">
        <v>76</v>
      </c>
      <c r="G133" s="228" t="s">
        <v>117</v>
      </c>
      <c r="H133" s="228">
        <f>IF(G133&gt;0,VLOOKUP(G133,Apoio!$A$2:$B$25,2,0),"")</f>
        <v>3</v>
      </c>
      <c r="I133" s="229">
        <f t="shared" si="17"/>
        <v>21</v>
      </c>
      <c r="J133" s="230">
        <v>5</v>
      </c>
      <c r="K133" s="330">
        <f t="shared" si="16"/>
        <v>16</v>
      </c>
      <c r="L133" s="245">
        <f t="shared" si="15"/>
        <v>55605.27</v>
      </c>
      <c r="M133" s="188" t="s">
        <v>240</v>
      </c>
      <c r="N133" s="10"/>
    </row>
    <row r="134" spans="1:14" x14ac:dyDescent="0.3">
      <c r="A134" s="4" t="s">
        <v>291</v>
      </c>
      <c r="B134" s="349" t="s">
        <v>45</v>
      </c>
      <c r="C134" s="350">
        <v>8</v>
      </c>
      <c r="D134" s="351">
        <v>7</v>
      </c>
      <c r="E134" s="352">
        <v>6</v>
      </c>
      <c r="F134" s="349" t="s">
        <v>83</v>
      </c>
      <c r="G134" s="349" t="s">
        <v>120</v>
      </c>
      <c r="H134" s="349">
        <f>IF(G134&gt;0,VLOOKUP(G134,Apoio!$A$2:$B$25,2,0),"")</f>
        <v>7</v>
      </c>
      <c r="I134" s="353">
        <f t="shared" si="17"/>
        <v>48</v>
      </c>
      <c r="J134" s="354">
        <v>10</v>
      </c>
      <c r="K134" s="355">
        <f>I134-J134-5</f>
        <v>33</v>
      </c>
      <c r="L134" s="197"/>
      <c r="M134" s="380" t="s">
        <v>240</v>
      </c>
      <c r="N134" s="77" t="s">
        <v>255</v>
      </c>
    </row>
    <row r="135" spans="1:14" x14ac:dyDescent="0.3">
      <c r="A135" s="4" t="s">
        <v>291</v>
      </c>
      <c r="B135" s="356" t="s">
        <v>45</v>
      </c>
      <c r="C135" s="357">
        <v>8</v>
      </c>
      <c r="D135" s="351">
        <v>7</v>
      </c>
      <c r="E135" s="358">
        <v>6</v>
      </c>
      <c r="F135" s="356" t="s">
        <v>83</v>
      </c>
      <c r="G135" s="356" t="s">
        <v>123</v>
      </c>
      <c r="H135" s="356">
        <f>IF(G135&gt;0,VLOOKUP(G135,Apoio!$A$2:$B$25,2,0),"")</f>
        <v>8</v>
      </c>
      <c r="I135" s="359">
        <f t="shared" si="17"/>
        <v>54.857142857142854</v>
      </c>
      <c r="J135" s="354">
        <v>9</v>
      </c>
      <c r="K135" s="355">
        <f>I135-J135-3</f>
        <v>42.857142857142854</v>
      </c>
      <c r="L135" s="103"/>
      <c r="M135" s="380" t="s">
        <v>240</v>
      </c>
      <c r="N135" s="77" t="s">
        <v>256</v>
      </c>
    </row>
    <row r="136" spans="1:14" x14ac:dyDescent="0.3">
      <c r="A136" s="4" t="s">
        <v>291</v>
      </c>
      <c r="B136" s="356" t="s">
        <v>45</v>
      </c>
      <c r="C136" s="357">
        <v>8</v>
      </c>
      <c r="D136" s="351">
        <v>7</v>
      </c>
      <c r="E136" s="358">
        <v>6</v>
      </c>
      <c r="F136" s="356" t="s">
        <v>83</v>
      </c>
      <c r="G136" s="356" t="s">
        <v>126</v>
      </c>
      <c r="H136" s="356">
        <f>IF(G136&gt;0,VLOOKUP(G136,Apoio!$A$2:$B$25,2,0),"")</f>
        <v>8</v>
      </c>
      <c r="I136" s="359">
        <f t="shared" si="17"/>
        <v>54.857142857142854</v>
      </c>
      <c r="J136" s="354">
        <v>12</v>
      </c>
      <c r="K136" s="355">
        <f t="shared" si="16"/>
        <v>42.857142857142854</v>
      </c>
      <c r="L136" s="103"/>
      <c r="M136" s="380" t="s">
        <v>240</v>
      </c>
    </row>
    <row r="137" spans="1:14" x14ac:dyDescent="0.3">
      <c r="A137" s="4" t="s">
        <v>291</v>
      </c>
      <c r="B137" s="356" t="s">
        <v>45</v>
      </c>
      <c r="C137" s="357">
        <v>8</v>
      </c>
      <c r="D137" s="351">
        <v>7</v>
      </c>
      <c r="E137" s="358">
        <v>6</v>
      </c>
      <c r="F137" s="356" t="s">
        <v>83</v>
      </c>
      <c r="G137" s="356" t="s">
        <v>129</v>
      </c>
      <c r="H137" s="356">
        <f>IF(G137&gt;0,VLOOKUP(G137,Apoio!$A$2:$B$25,2,0),"")</f>
        <v>8</v>
      </c>
      <c r="I137" s="359">
        <f t="shared" si="17"/>
        <v>54.857142857142854</v>
      </c>
      <c r="J137" s="354">
        <v>12</v>
      </c>
      <c r="K137" s="355">
        <f t="shared" si="16"/>
        <v>42.857142857142854</v>
      </c>
      <c r="L137" s="103"/>
      <c r="M137" s="380" t="s">
        <v>240</v>
      </c>
    </row>
    <row r="138" spans="1:14" x14ac:dyDescent="0.3">
      <c r="A138" s="4" t="s">
        <v>291</v>
      </c>
      <c r="B138" s="356" t="s">
        <v>45</v>
      </c>
      <c r="C138" s="357">
        <v>8</v>
      </c>
      <c r="D138" s="351">
        <v>7</v>
      </c>
      <c r="E138" s="358">
        <v>6</v>
      </c>
      <c r="F138" s="356" t="s">
        <v>83</v>
      </c>
      <c r="G138" s="356" t="s">
        <v>132</v>
      </c>
      <c r="H138" s="356">
        <f>IF(G138&gt;0,VLOOKUP(G138,Apoio!$A$2:$B$25,2,0),"")</f>
        <v>7</v>
      </c>
      <c r="I138" s="359">
        <f t="shared" si="17"/>
        <v>48</v>
      </c>
      <c r="J138" s="354">
        <v>12</v>
      </c>
      <c r="K138" s="355">
        <f>I138-J138</f>
        <v>36</v>
      </c>
      <c r="L138" s="103"/>
      <c r="M138" s="380" t="s">
        <v>240</v>
      </c>
      <c r="N138" s="77" t="s">
        <v>257</v>
      </c>
    </row>
    <row r="139" spans="1:14" x14ac:dyDescent="0.3">
      <c r="A139" s="4" t="s">
        <v>291</v>
      </c>
      <c r="B139" s="356" t="s">
        <v>45</v>
      </c>
      <c r="C139" s="357">
        <v>8</v>
      </c>
      <c r="D139" s="351">
        <v>7</v>
      </c>
      <c r="E139" s="358">
        <v>6</v>
      </c>
      <c r="F139" s="356" t="s">
        <v>83</v>
      </c>
      <c r="G139" s="356" t="s">
        <v>135</v>
      </c>
      <c r="H139" s="356">
        <f>IF(G139&gt;0,VLOOKUP(G139,Apoio!$A$2:$B$25,2,0),"")</f>
        <v>3</v>
      </c>
      <c r="I139" s="359">
        <f t="shared" si="17"/>
        <v>20.571428571428573</v>
      </c>
      <c r="J139" s="354">
        <v>8</v>
      </c>
      <c r="K139" s="355">
        <f>I139-J139-3</f>
        <v>9.571428571428573</v>
      </c>
      <c r="L139" s="103"/>
      <c r="M139" s="380" t="s">
        <v>240</v>
      </c>
      <c r="N139" s="77" t="s">
        <v>258</v>
      </c>
    </row>
    <row r="140" spans="1:14" x14ac:dyDescent="0.3">
      <c r="A140" s="4" t="s">
        <v>291</v>
      </c>
      <c r="B140" s="4" t="s">
        <v>45</v>
      </c>
      <c r="C140" s="108">
        <v>7</v>
      </c>
      <c r="D140" s="89">
        <v>7</v>
      </c>
      <c r="E140" s="51">
        <v>6</v>
      </c>
      <c r="F140" s="4" t="s">
        <v>90</v>
      </c>
      <c r="G140" s="4" t="s">
        <v>138</v>
      </c>
      <c r="H140" s="48">
        <f>IF(G140&gt;0,VLOOKUP(G140,Apoio!$A$2:$B$25,2,0),"")</f>
        <v>8</v>
      </c>
      <c r="I140" s="392">
        <f t="shared" si="17"/>
        <v>48</v>
      </c>
      <c r="J140" s="98">
        <v>13</v>
      </c>
      <c r="K140" s="396">
        <f>I140-J140-4-3.5</f>
        <v>27.5</v>
      </c>
      <c r="L140" s="103"/>
      <c r="M140" s="103" t="s">
        <v>240</v>
      </c>
      <c r="N140" s="10"/>
    </row>
    <row r="141" spans="1:14" x14ac:dyDescent="0.3">
      <c r="A141" s="4" t="s">
        <v>291</v>
      </c>
      <c r="B141" s="4" t="s">
        <v>45</v>
      </c>
      <c r="C141" s="108">
        <v>10</v>
      </c>
      <c r="D141" s="89">
        <v>7</v>
      </c>
      <c r="E141" s="51">
        <v>6</v>
      </c>
      <c r="F141" s="4" t="s">
        <v>90</v>
      </c>
      <c r="G141" s="4" t="s">
        <v>141</v>
      </c>
      <c r="H141" s="48">
        <f>IF(G141&gt;0,VLOOKUP(G141,Apoio!$A$2:$B$25,2,0),"")</f>
        <v>7</v>
      </c>
      <c r="I141" s="392">
        <f t="shared" si="17"/>
        <v>60</v>
      </c>
      <c r="J141" s="98">
        <v>13</v>
      </c>
      <c r="K141" s="396">
        <f>I141-J141-4-7</f>
        <v>36</v>
      </c>
      <c r="L141" s="103"/>
      <c r="M141" s="103" t="s">
        <v>240</v>
      </c>
      <c r="N141" s="10" t="s">
        <v>289</v>
      </c>
    </row>
    <row r="142" spans="1:14" x14ac:dyDescent="0.3">
      <c r="A142" s="4" t="s">
        <v>291</v>
      </c>
      <c r="B142" s="4" t="s">
        <v>45</v>
      </c>
      <c r="C142" s="108">
        <v>10</v>
      </c>
      <c r="D142" s="89">
        <v>7</v>
      </c>
      <c r="E142" s="51">
        <v>6</v>
      </c>
      <c r="F142" s="4" t="s">
        <v>90</v>
      </c>
      <c r="G142" s="4" t="s">
        <v>144</v>
      </c>
      <c r="H142" s="48">
        <f>IF(G142&gt;0,VLOOKUP(G142,Apoio!$A$2:$B$25,2,0),"")</f>
        <v>7</v>
      </c>
      <c r="I142" s="392">
        <f t="shared" si="17"/>
        <v>60</v>
      </c>
      <c r="J142" s="98">
        <v>13</v>
      </c>
      <c r="K142" s="396">
        <f t="shared" ref="K142:K145" si="18">I142-J142-4</f>
        <v>43</v>
      </c>
      <c r="L142" s="103"/>
      <c r="M142" s="103" t="s">
        <v>240</v>
      </c>
      <c r="N142" s="10"/>
    </row>
    <row r="143" spans="1:14" x14ac:dyDescent="0.3">
      <c r="A143" s="4" t="s">
        <v>291</v>
      </c>
      <c r="B143" s="4" t="s">
        <v>45</v>
      </c>
      <c r="C143" s="108">
        <v>10</v>
      </c>
      <c r="D143" s="89">
        <v>7</v>
      </c>
      <c r="E143" s="51">
        <v>6</v>
      </c>
      <c r="F143" s="4" t="s">
        <v>90</v>
      </c>
      <c r="G143" s="4" t="s">
        <v>147</v>
      </c>
      <c r="H143" s="48">
        <f>IF(G143&gt;0,VLOOKUP(G143,Apoio!$A$2:$B$25,2,0),"")</f>
        <v>7</v>
      </c>
      <c r="I143" s="392">
        <f t="shared" si="17"/>
        <v>60</v>
      </c>
      <c r="J143" s="98">
        <v>13</v>
      </c>
      <c r="K143" s="396">
        <f>I143-J143-4-7</f>
        <v>36</v>
      </c>
      <c r="L143" s="103"/>
      <c r="M143" s="103" t="s">
        <v>240</v>
      </c>
      <c r="N143" s="10" t="s">
        <v>288</v>
      </c>
    </row>
    <row r="144" spans="1:14" x14ac:dyDescent="0.3">
      <c r="A144" s="4" t="s">
        <v>291</v>
      </c>
      <c r="B144" s="4" t="s">
        <v>45</v>
      </c>
      <c r="C144" s="108">
        <v>10</v>
      </c>
      <c r="D144" s="89">
        <v>7</v>
      </c>
      <c r="E144" s="51">
        <v>6</v>
      </c>
      <c r="F144" s="4" t="s">
        <v>90</v>
      </c>
      <c r="G144" s="4" t="s">
        <v>150</v>
      </c>
      <c r="H144" s="48">
        <f>IF(G144&gt;0,VLOOKUP(G144,Apoio!$A$2:$B$25,2,0),"")</f>
        <v>8</v>
      </c>
      <c r="I144" s="392">
        <f t="shared" ref="I144:I145" si="19">IF(D144&gt;0,(((H144*E144)*C144)/D144),"")</f>
        <v>68.571428571428569</v>
      </c>
      <c r="J144" s="98">
        <v>13</v>
      </c>
      <c r="K144" s="396">
        <f t="shared" si="18"/>
        <v>51.571428571428569</v>
      </c>
      <c r="L144" s="103"/>
      <c r="M144" s="103" t="s">
        <v>240</v>
      </c>
      <c r="N144" s="10"/>
    </row>
    <row r="145" spans="1:14" ht="15" thickBot="1" x14ac:dyDescent="0.35">
      <c r="A145" s="4" t="s">
        <v>291</v>
      </c>
      <c r="B145" s="9" t="s">
        <v>45</v>
      </c>
      <c r="C145" s="401">
        <v>10</v>
      </c>
      <c r="D145" s="89">
        <v>7</v>
      </c>
      <c r="E145" s="51">
        <v>6</v>
      </c>
      <c r="F145" s="9" t="s">
        <v>90</v>
      </c>
      <c r="G145" s="9" t="s">
        <v>153</v>
      </c>
      <c r="H145" s="247">
        <f>IF(G145&gt;0,VLOOKUP(G145,Apoio!$A$2:$B$25,2,0),"")</f>
        <v>8</v>
      </c>
      <c r="I145" s="393">
        <f t="shared" si="19"/>
        <v>68.571428571428569</v>
      </c>
      <c r="J145" s="98">
        <v>13</v>
      </c>
      <c r="K145" s="396">
        <f t="shared" si="18"/>
        <v>51.571428571428569</v>
      </c>
      <c r="L145" s="248"/>
      <c r="M145" s="103" t="s">
        <v>240</v>
      </c>
      <c r="N145" s="10"/>
    </row>
    <row r="146" spans="1:14" x14ac:dyDescent="0.3">
      <c r="A146" s="4" t="s">
        <v>291</v>
      </c>
      <c r="B146" s="266" t="s">
        <v>46</v>
      </c>
      <c r="C146" s="267">
        <v>7</v>
      </c>
      <c r="D146" s="268">
        <v>5</v>
      </c>
      <c r="E146" s="269">
        <v>6</v>
      </c>
      <c r="F146" s="270" t="s">
        <v>69</v>
      </c>
      <c r="G146" s="270" t="s">
        <v>68</v>
      </c>
      <c r="H146" s="270">
        <f>IF(G146&gt;0,VLOOKUP(G146,Apoio!$A$2:$B$25,2,0),"")</f>
        <v>7</v>
      </c>
      <c r="I146" s="271">
        <f>IF(D146&gt;0,(((H146*E146)*C146)/D146),"")</f>
        <v>58.8</v>
      </c>
      <c r="J146" s="272">
        <v>5</v>
      </c>
      <c r="K146" s="273">
        <f t="shared" ref="K146:K160" si="20">I146-J146</f>
        <v>53.8</v>
      </c>
      <c r="L146" s="205">
        <f t="shared" ref="L146:L157" si="21">2647.87*I146</f>
        <v>155694.75599999999</v>
      </c>
      <c r="M146" s="188" t="s">
        <v>236</v>
      </c>
      <c r="N146" s="10" t="s">
        <v>259</v>
      </c>
    </row>
    <row r="147" spans="1:14" x14ac:dyDescent="0.3">
      <c r="A147" s="4" t="s">
        <v>291</v>
      </c>
      <c r="B147" s="274" t="s">
        <v>46</v>
      </c>
      <c r="C147" s="135">
        <v>7</v>
      </c>
      <c r="D147" s="136">
        <v>5</v>
      </c>
      <c r="E147" s="137">
        <v>6</v>
      </c>
      <c r="F147" s="134" t="s">
        <v>69</v>
      </c>
      <c r="G147" s="134" t="s">
        <v>75</v>
      </c>
      <c r="H147" s="134">
        <f>IF(G147&gt;0,VLOOKUP(G147,Apoio!$A$2:$B$25,2,0),"")</f>
        <v>8</v>
      </c>
      <c r="I147" s="138">
        <f t="shared" si="17"/>
        <v>67.2</v>
      </c>
      <c r="J147" s="139">
        <v>5</v>
      </c>
      <c r="K147" s="140">
        <f t="shared" si="20"/>
        <v>62.2</v>
      </c>
      <c r="L147" s="207">
        <f t="shared" si="21"/>
        <v>177936.864</v>
      </c>
      <c r="M147" s="188" t="s">
        <v>236</v>
      </c>
      <c r="N147" s="10"/>
    </row>
    <row r="148" spans="1:14" x14ac:dyDescent="0.3">
      <c r="A148" s="4" t="s">
        <v>291</v>
      </c>
      <c r="B148" s="274" t="s">
        <v>46</v>
      </c>
      <c r="C148" s="135">
        <v>8</v>
      </c>
      <c r="D148" s="136">
        <v>5</v>
      </c>
      <c r="E148" s="137">
        <v>6</v>
      </c>
      <c r="F148" s="134" t="s">
        <v>69</v>
      </c>
      <c r="G148" s="134" t="s">
        <v>82</v>
      </c>
      <c r="H148" s="134">
        <f>IF(G148&gt;0,VLOOKUP(G148,Apoio!$A$2:$B$25,2,0),"")</f>
        <v>6</v>
      </c>
      <c r="I148" s="138">
        <f t="shared" si="17"/>
        <v>57.6</v>
      </c>
      <c r="J148" s="139">
        <v>5</v>
      </c>
      <c r="K148" s="140">
        <f t="shared" si="20"/>
        <v>52.6</v>
      </c>
      <c r="L148" s="207">
        <f t="shared" si="21"/>
        <v>152517.31200000001</v>
      </c>
      <c r="M148" s="188" t="s">
        <v>236</v>
      </c>
      <c r="N148" s="10"/>
    </row>
    <row r="149" spans="1:14" x14ac:dyDescent="0.3">
      <c r="A149" s="4" t="s">
        <v>291</v>
      </c>
      <c r="B149" s="274" t="s">
        <v>46</v>
      </c>
      <c r="C149" s="157">
        <v>5</v>
      </c>
      <c r="D149" s="136">
        <v>5</v>
      </c>
      <c r="E149" s="137">
        <v>6</v>
      </c>
      <c r="F149" s="134" t="s">
        <v>69</v>
      </c>
      <c r="G149" s="134" t="s">
        <v>89</v>
      </c>
      <c r="H149" s="134">
        <f>IF(G149&gt;0,VLOOKUP(G149,Apoio!$A$2:$B$25,2,0),"")</f>
        <v>8</v>
      </c>
      <c r="I149" s="138">
        <f t="shared" si="17"/>
        <v>48</v>
      </c>
      <c r="J149" s="139">
        <v>11</v>
      </c>
      <c r="K149" s="158">
        <f t="shared" si="20"/>
        <v>37</v>
      </c>
      <c r="L149" s="207">
        <f t="shared" si="21"/>
        <v>127097.76</v>
      </c>
      <c r="M149" s="188" t="s">
        <v>236</v>
      </c>
      <c r="N149" s="10"/>
    </row>
    <row r="150" spans="1:14" x14ac:dyDescent="0.3">
      <c r="A150" s="4" t="s">
        <v>291</v>
      </c>
      <c r="B150" s="274" t="s">
        <v>46</v>
      </c>
      <c r="C150" s="157">
        <v>5.5</v>
      </c>
      <c r="D150" s="136">
        <v>5</v>
      </c>
      <c r="E150" s="137">
        <v>6</v>
      </c>
      <c r="F150" s="134" t="s">
        <v>69</v>
      </c>
      <c r="G150" s="134" t="s">
        <v>96</v>
      </c>
      <c r="H150" s="134">
        <f>IF(G150&gt;0,VLOOKUP(G150,Apoio!$A$2:$B$25,2,0),"")</f>
        <v>8</v>
      </c>
      <c r="I150" s="138">
        <f t="shared" si="17"/>
        <v>52.8</v>
      </c>
      <c r="J150" s="139">
        <v>11</v>
      </c>
      <c r="K150" s="158">
        <f t="shared" si="20"/>
        <v>41.8</v>
      </c>
      <c r="L150" s="207">
        <f t="shared" si="21"/>
        <v>139807.53599999999</v>
      </c>
      <c r="M150" s="188" t="s">
        <v>236</v>
      </c>
      <c r="N150" s="10" t="s">
        <v>260</v>
      </c>
    </row>
    <row r="151" spans="1:14" ht="15" thickBot="1" x14ac:dyDescent="0.35">
      <c r="A151" s="4" t="s">
        <v>291</v>
      </c>
      <c r="B151" s="275" t="s">
        <v>46</v>
      </c>
      <c r="C151" s="334">
        <v>6</v>
      </c>
      <c r="D151" s="276">
        <v>5</v>
      </c>
      <c r="E151" s="277">
        <v>6</v>
      </c>
      <c r="F151" s="278" t="s">
        <v>69</v>
      </c>
      <c r="G151" s="278" t="s">
        <v>99</v>
      </c>
      <c r="H151" s="278">
        <f>IF(G151&gt;0,VLOOKUP(G151,Apoio!$A$2:$B$25,2,0),"")</f>
        <v>2</v>
      </c>
      <c r="I151" s="279">
        <f t="shared" si="17"/>
        <v>14.4</v>
      </c>
      <c r="J151" s="280">
        <v>5</v>
      </c>
      <c r="K151" s="281">
        <f t="shared" si="20"/>
        <v>9.4</v>
      </c>
      <c r="L151" s="215">
        <f t="shared" si="21"/>
        <v>38129.328000000001</v>
      </c>
      <c r="M151" s="188" t="s">
        <v>236</v>
      </c>
      <c r="N151" s="10" t="s">
        <v>261</v>
      </c>
    </row>
    <row r="152" spans="1:14" x14ac:dyDescent="0.3">
      <c r="A152" s="4" t="s">
        <v>291</v>
      </c>
      <c r="B152" s="231" t="s">
        <v>46</v>
      </c>
      <c r="C152" s="148">
        <v>6</v>
      </c>
      <c r="D152" s="232">
        <v>6</v>
      </c>
      <c r="E152" s="233">
        <v>6</v>
      </c>
      <c r="F152" s="234" t="s">
        <v>76</v>
      </c>
      <c r="G152" s="234" t="s">
        <v>102</v>
      </c>
      <c r="H152" s="147">
        <f>IF(G152&gt;0,VLOOKUP(G152,Apoio!$A$2:$B$25,2,0),"")</f>
        <v>5</v>
      </c>
      <c r="I152" s="235">
        <f>IF(D152&gt;0,(((H152*E152)*C152)/D152),"")+4</f>
        <v>34</v>
      </c>
      <c r="J152" s="236">
        <v>11</v>
      </c>
      <c r="K152" s="331">
        <f t="shared" si="20"/>
        <v>23</v>
      </c>
      <c r="L152" s="243">
        <f t="shared" si="21"/>
        <v>90027.58</v>
      </c>
      <c r="M152" s="188" t="s">
        <v>236</v>
      </c>
      <c r="N152" s="10" t="s">
        <v>262</v>
      </c>
    </row>
    <row r="153" spans="1:14" x14ac:dyDescent="0.3">
      <c r="A153" s="4" t="s">
        <v>291</v>
      </c>
      <c r="B153" s="237" t="s">
        <v>46</v>
      </c>
      <c r="C153" s="148">
        <v>7</v>
      </c>
      <c r="D153" s="149">
        <v>6</v>
      </c>
      <c r="E153" s="150">
        <v>6</v>
      </c>
      <c r="F153" s="147" t="s">
        <v>76</v>
      </c>
      <c r="G153" s="147" t="s">
        <v>105</v>
      </c>
      <c r="H153" s="147">
        <f>IF(G153&gt;0,VLOOKUP(G153,Apoio!$A$2:$B$25,2,0),"")</f>
        <v>7</v>
      </c>
      <c r="I153" s="151">
        <f>IF(D153&gt;0,(((H153*E153)*C153)/D153),"")+5</f>
        <v>54</v>
      </c>
      <c r="J153" s="152">
        <v>11</v>
      </c>
      <c r="K153" s="332">
        <f t="shared" si="20"/>
        <v>43</v>
      </c>
      <c r="L153" s="244">
        <f t="shared" si="21"/>
        <v>142984.97999999998</v>
      </c>
      <c r="M153" s="188" t="s">
        <v>236</v>
      </c>
      <c r="N153" s="10" t="s">
        <v>263</v>
      </c>
    </row>
    <row r="154" spans="1:14" x14ac:dyDescent="0.3">
      <c r="A154" s="4" t="s">
        <v>291</v>
      </c>
      <c r="B154" s="237" t="s">
        <v>46</v>
      </c>
      <c r="C154" s="148">
        <v>7</v>
      </c>
      <c r="D154" s="149">
        <v>6</v>
      </c>
      <c r="E154" s="150">
        <v>6</v>
      </c>
      <c r="F154" s="147" t="s">
        <v>76</v>
      </c>
      <c r="G154" s="147" t="s">
        <v>108</v>
      </c>
      <c r="H154" s="147">
        <f>IF(G154&gt;0,VLOOKUP(G154,Apoio!$A$2:$B$25,2,0),"")</f>
        <v>8</v>
      </c>
      <c r="I154" s="151">
        <f>IF(D154&gt;0,(((H154*E154)*C154)/D154),"")+9</f>
        <v>65</v>
      </c>
      <c r="J154" s="152">
        <v>11</v>
      </c>
      <c r="K154" s="332">
        <f t="shared" si="20"/>
        <v>54</v>
      </c>
      <c r="L154" s="244">
        <f t="shared" si="21"/>
        <v>172111.55</v>
      </c>
      <c r="M154" s="188" t="s">
        <v>236</v>
      </c>
      <c r="N154" s="10" t="s">
        <v>264</v>
      </c>
    </row>
    <row r="155" spans="1:14" x14ac:dyDescent="0.3">
      <c r="A155" s="4" t="s">
        <v>291</v>
      </c>
      <c r="B155" s="237" t="s">
        <v>46</v>
      </c>
      <c r="C155" s="148">
        <v>6.5</v>
      </c>
      <c r="D155" s="149">
        <v>6</v>
      </c>
      <c r="E155" s="150">
        <v>6</v>
      </c>
      <c r="F155" s="147" t="s">
        <v>76</v>
      </c>
      <c r="G155" s="147" t="s">
        <v>111</v>
      </c>
      <c r="H155" s="147">
        <f>IF(G155&gt;0,VLOOKUP(G155,Apoio!$A$2:$B$25,2,0),"")</f>
        <v>7</v>
      </c>
      <c r="I155" s="151">
        <f>IF(D155&gt;0,(((H155*E155)*C155)/D155),"")+10</f>
        <v>55.5</v>
      </c>
      <c r="J155" s="152">
        <v>11</v>
      </c>
      <c r="K155" s="332">
        <f t="shared" si="20"/>
        <v>44.5</v>
      </c>
      <c r="L155" s="244">
        <f t="shared" si="21"/>
        <v>146956.785</v>
      </c>
      <c r="M155" s="188" t="s">
        <v>236</v>
      </c>
      <c r="N155" s="10" t="s">
        <v>265</v>
      </c>
    </row>
    <row r="156" spans="1:14" x14ac:dyDescent="0.3">
      <c r="A156" s="4" t="s">
        <v>291</v>
      </c>
      <c r="B156" s="237" t="s">
        <v>46</v>
      </c>
      <c r="C156" s="336">
        <v>6.5</v>
      </c>
      <c r="D156" s="149">
        <v>6</v>
      </c>
      <c r="E156" s="150">
        <v>6</v>
      </c>
      <c r="F156" s="147" t="s">
        <v>76</v>
      </c>
      <c r="G156" s="147" t="s">
        <v>114</v>
      </c>
      <c r="H156" s="147">
        <f>IF(G156&gt;0,VLOOKUP(G156,Apoio!$A$2:$B$25,2,0),"")</f>
        <v>8</v>
      </c>
      <c r="I156" s="151">
        <f>IF(D156&gt;0,(((H156*E156)*C156)/D156),"")+14</f>
        <v>66</v>
      </c>
      <c r="J156" s="152">
        <v>11</v>
      </c>
      <c r="K156" s="332">
        <f t="shared" si="20"/>
        <v>55</v>
      </c>
      <c r="L156" s="244">
        <f t="shared" si="21"/>
        <v>174759.41999999998</v>
      </c>
      <c r="M156" s="188" t="s">
        <v>236</v>
      </c>
      <c r="N156" s="10" t="s">
        <v>266</v>
      </c>
    </row>
    <row r="157" spans="1:14" ht="15" thickBot="1" x14ac:dyDescent="0.35">
      <c r="A157" s="4" t="s">
        <v>291</v>
      </c>
      <c r="B157" s="335" t="s">
        <v>46</v>
      </c>
      <c r="C157" s="337">
        <v>7</v>
      </c>
      <c r="D157" s="238">
        <v>6</v>
      </c>
      <c r="E157" s="239">
        <v>6</v>
      </c>
      <c r="F157" s="240" t="s">
        <v>76</v>
      </c>
      <c r="G157" s="240" t="s">
        <v>117</v>
      </c>
      <c r="H157" s="240">
        <f>IF(G157&gt;0,VLOOKUP(G157,Apoio!$A$2:$B$25,2,0),"")</f>
        <v>3</v>
      </c>
      <c r="I157" s="241">
        <f t="shared" si="17"/>
        <v>21</v>
      </c>
      <c r="J157" s="242">
        <v>11</v>
      </c>
      <c r="K157" s="333">
        <f t="shared" si="20"/>
        <v>10</v>
      </c>
      <c r="L157" s="245">
        <f t="shared" si="21"/>
        <v>55605.27</v>
      </c>
      <c r="M157" s="188" t="s">
        <v>236</v>
      </c>
      <c r="N157" s="10" t="s">
        <v>267</v>
      </c>
    </row>
    <row r="158" spans="1:14" x14ac:dyDescent="0.3">
      <c r="A158" s="4" t="s">
        <v>291</v>
      </c>
      <c r="B158" s="360" t="s">
        <v>46</v>
      </c>
      <c r="C158" s="361">
        <v>8.5</v>
      </c>
      <c r="D158" s="362">
        <v>7</v>
      </c>
      <c r="E158" s="363">
        <v>6</v>
      </c>
      <c r="F158" s="360" t="s">
        <v>83</v>
      </c>
      <c r="G158" s="360" t="s">
        <v>120</v>
      </c>
      <c r="H158" s="360">
        <f>IF(G158&gt;0,VLOOKUP(G158,Apoio!$A$2:$B$25,2,0),"")</f>
        <v>7</v>
      </c>
      <c r="I158" s="364">
        <f t="shared" si="17"/>
        <v>51</v>
      </c>
      <c r="J158" s="365">
        <v>8</v>
      </c>
      <c r="K158" s="366">
        <f>I158-J158-1</f>
        <v>42</v>
      </c>
      <c r="L158" s="197"/>
      <c r="M158" s="379" t="s">
        <v>236</v>
      </c>
      <c r="N158" s="77" t="s">
        <v>268</v>
      </c>
    </row>
    <row r="159" spans="1:14" x14ac:dyDescent="0.3">
      <c r="A159" s="4" t="s">
        <v>291</v>
      </c>
      <c r="B159" s="120" t="s">
        <v>46</v>
      </c>
      <c r="C159" s="121">
        <v>8.5</v>
      </c>
      <c r="D159" s="362">
        <v>7</v>
      </c>
      <c r="E159" s="123">
        <v>6</v>
      </c>
      <c r="F159" s="120" t="s">
        <v>83</v>
      </c>
      <c r="G159" s="120" t="s">
        <v>123</v>
      </c>
      <c r="H159" s="120">
        <f>IF(G159&gt;0,VLOOKUP(G159,Apoio!$A$2:$B$25,2,0),"")</f>
        <v>8</v>
      </c>
      <c r="I159" s="124">
        <f t="shared" si="17"/>
        <v>58.285714285714285</v>
      </c>
      <c r="J159" s="365">
        <v>8</v>
      </c>
      <c r="K159" s="366">
        <f t="shared" si="20"/>
        <v>50.285714285714285</v>
      </c>
      <c r="L159" s="103"/>
      <c r="M159" s="379" t="s">
        <v>236</v>
      </c>
    </row>
    <row r="160" spans="1:14" x14ac:dyDescent="0.3">
      <c r="A160" s="4" t="s">
        <v>291</v>
      </c>
      <c r="B160" s="120" t="s">
        <v>46</v>
      </c>
      <c r="C160" s="121">
        <v>8.5</v>
      </c>
      <c r="D160" s="362">
        <v>7</v>
      </c>
      <c r="E160" s="123">
        <v>6</v>
      </c>
      <c r="F160" s="120" t="s">
        <v>83</v>
      </c>
      <c r="G160" s="120" t="s">
        <v>126</v>
      </c>
      <c r="H160" s="120">
        <f>IF(G160&gt;0,VLOOKUP(G160,Apoio!$A$2:$B$25,2,0),"")</f>
        <v>8</v>
      </c>
      <c r="I160" s="124">
        <f t="shared" si="17"/>
        <v>58.285714285714285</v>
      </c>
      <c r="J160" s="365">
        <v>8</v>
      </c>
      <c r="K160" s="366">
        <f t="shared" si="20"/>
        <v>50.285714285714285</v>
      </c>
      <c r="L160" s="103"/>
      <c r="M160" s="379" t="s">
        <v>236</v>
      </c>
    </row>
    <row r="161" spans="1:14" x14ac:dyDescent="0.3">
      <c r="A161" s="4" t="s">
        <v>291</v>
      </c>
      <c r="B161" s="120" t="s">
        <v>46</v>
      </c>
      <c r="C161" s="121">
        <v>8.5</v>
      </c>
      <c r="D161" s="362">
        <v>7</v>
      </c>
      <c r="E161" s="123">
        <v>6</v>
      </c>
      <c r="F161" s="120" t="s">
        <v>83</v>
      </c>
      <c r="G161" s="120" t="s">
        <v>129</v>
      </c>
      <c r="H161" s="120">
        <f>IF(G161&gt;0,VLOOKUP(G161,Apoio!$A$2:$B$25,2,0),"")</f>
        <v>8</v>
      </c>
      <c r="I161" s="124">
        <f t="shared" si="17"/>
        <v>58.285714285714285</v>
      </c>
      <c r="J161" s="365">
        <v>8</v>
      </c>
      <c r="K161" s="366">
        <f>I161-J161-3</f>
        <v>47.285714285714285</v>
      </c>
      <c r="L161" s="103"/>
      <c r="M161" s="379" t="s">
        <v>236</v>
      </c>
      <c r="N161" s="77" t="s">
        <v>269</v>
      </c>
    </row>
    <row r="162" spans="1:14" x14ac:dyDescent="0.3">
      <c r="A162" s="4" t="s">
        <v>291</v>
      </c>
      <c r="B162" s="120" t="s">
        <v>46</v>
      </c>
      <c r="C162" s="121">
        <v>8.5</v>
      </c>
      <c r="D162" s="362">
        <v>7</v>
      </c>
      <c r="E162" s="123">
        <v>6</v>
      </c>
      <c r="F162" s="120" t="s">
        <v>83</v>
      </c>
      <c r="G162" s="120" t="s">
        <v>132</v>
      </c>
      <c r="H162" s="120">
        <f>IF(G162&gt;0,VLOOKUP(G162,Apoio!$A$2:$B$25,2,0),"")</f>
        <v>7</v>
      </c>
      <c r="I162" s="124">
        <f t="shared" si="17"/>
        <v>51</v>
      </c>
      <c r="J162" s="365">
        <v>8</v>
      </c>
      <c r="K162" s="366">
        <f>I162-J162-6-3-4</f>
        <v>30</v>
      </c>
      <c r="L162" s="103"/>
      <c r="M162" s="379" t="s">
        <v>236</v>
      </c>
      <c r="N162" s="77" t="s">
        <v>270</v>
      </c>
    </row>
    <row r="163" spans="1:14" x14ac:dyDescent="0.3">
      <c r="A163" s="4" t="s">
        <v>291</v>
      </c>
      <c r="B163" s="120" t="s">
        <v>46</v>
      </c>
      <c r="C163" s="121">
        <v>8.5</v>
      </c>
      <c r="D163" s="362">
        <v>7</v>
      </c>
      <c r="E163" s="123">
        <v>6</v>
      </c>
      <c r="F163" s="120" t="s">
        <v>83</v>
      </c>
      <c r="G163" s="120" t="s">
        <v>135</v>
      </c>
      <c r="H163" s="120">
        <f>IF(G163&gt;0,VLOOKUP(G163,Apoio!$A$2:$B$25,2,0),"")</f>
        <v>3</v>
      </c>
      <c r="I163" s="124">
        <f t="shared" si="17"/>
        <v>21.857142857142858</v>
      </c>
      <c r="J163" s="365">
        <v>8</v>
      </c>
      <c r="K163" s="366">
        <f>I163-J163-2.5-2.5</f>
        <v>8.8571428571428577</v>
      </c>
      <c r="L163" s="103"/>
      <c r="M163" s="379" t="s">
        <v>236</v>
      </c>
      <c r="N163" s="77" t="s">
        <v>271</v>
      </c>
    </row>
    <row r="164" spans="1:14" x14ac:dyDescent="0.3">
      <c r="A164" s="4" t="s">
        <v>291</v>
      </c>
      <c r="B164" s="4" t="s">
        <v>46</v>
      </c>
      <c r="C164" s="108">
        <v>7.5</v>
      </c>
      <c r="D164" s="89">
        <v>6.5</v>
      </c>
      <c r="E164" s="51">
        <v>6</v>
      </c>
      <c r="F164" s="4" t="s">
        <v>90</v>
      </c>
      <c r="G164" s="4" t="s">
        <v>138</v>
      </c>
      <c r="H164" s="48">
        <f>IF(G164&gt;0,VLOOKUP(G164,Apoio!$A$2:$B$25,2,0),"")</f>
        <v>8</v>
      </c>
      <c r="I164" s="392">
        <f t="shared" si="17"/>
        <v>55.384615384615387</v>
      </c>
      <c r="J164" s="98">
        <v>10</v>
      </c>
      <c r="K164" s="396">
        <f>I164-J164</f>
        <v>45.384615384615387</v>
      </c>
      <c r="L164" s="103"/>
      <c r="M164" s="103" t="s">
        <v>236</v>
      </c>
      <c r="N164" s="10"/>
    </row>
    <row r="165" spans="1:14" x14ac:dyDescent="0.3">
      <c r="A165" s="4" t="s">
        <v>291</v>
      </c>
      <c r="B165" s="4" t="s">
        <v>46</v>
      </c>
      <c r="C165" s="108">
        <v>7.5</v>
      </c>
      <c r="D165" s="89">
        <v>6.5</v>
      </c>
      <c r="E165" s="51">
        <v>6</v>
      </c>
      <c r="F165" s="4" t="s">
        <v>90</v>
      </c>
      <c r="G165" s="4" t="s">
        <v>141</v>
      </c>
      <c r="H165" s="48">
        <f>IF(G165&gt;0,VLOOKUP(G165,Apoio!$A$2:$B$25,2,0),"")</f>
        <v>7</v>
      </c>
      <c r="I165" s="392">
        <f t="shared" si="17"/>
        <v>48.46153846153846</v>
      </c>
      <c r="J165" s="98">
        <v>8</v>
      </c>
      <c r="K165" s="396">
        <f>I165-J165-1</f>
        <v>39.46153846153846</v>
      </c>
      <c r="L165" s="103"/>
      <c r="M165" s="103" t="s">
        <v>236</v>
      </c>
      <c r="N165" s="10" t="s">
        <v>259</v>
      </c>
    </row>
    <row r="166" spans="1:14" x14ac:dyDescent="0.3">
      <c r="A166" s="4" t="s">
        <v>291</v>
      </c>
      <c r="B166" s="4" t="s">
        <v>46</v>
      </c>
      <c r="C166" s="108">
        <v>7.5</v>
      </c>
      <c r="D166" s="89">
        <v>6.5</v>
      </c>
      <c r="E166" s="51">
        <v>6</v>
      </c>
      <c r="F166" s="4" t="s">
        <v>90</v>
      </c>
      <c r="G166" s="4" t="s">
        <v>144</v>
      </c>
      <c r="H166" s="48">
        <f>IF(G166&gt;0,VLOOKUP(G166,Apoio!$A$2:$B$25,2,0),"")</f>
        <v>7</v>
      </c>
      <c r="I166" s="392">
        <f t="shared" si="17"/>
        <v>48.46153846153846</v>
      </c>
      <c r="J166" s="98">
        <v>11</v>
      </c>
      <c r="K166" s="396">
        <f>I166-J166</f>
        <v>37.46153846153846</v>
      </c>
      <c r="L166" s="103"/>
      <c r="M166" s="103" t="s">
        <v>236</v>
      </c>
      <c r="N166" s="10"/>
    </row>
    <row r="167" spans="1:14" x14ac:dyDescent="0.3">
      <c r="A167" s="4" t="s">
        <v>291</v>
      </c>
      <c r="B167" s="4" t="s">
        <v>46</v>
      </c>
      <c r="C167" s="108">
        <v>7.5</v>
      </c>
      <c r="D167" s="89">
        <v>6.5</v>
      </c>
      <c r="E167" s="51">
        <v>6</v>
      </c>
      <c r="F167" s="4" t="s">
        <v>90</v>
      </c>
      <c r="G167" s="4" t="s">
        <v>147</v>
      </c>
      <c r="H167" s="48">
        <f>IF(G167&gt;0,VLOOKUP(G167,Apoio!$A$2:$B$25,2,0),"")</f>
        <v>7</v>
      </c>
      <c r="I167" s="392">
        <f t="shared" si="17"/>
        <v>48.46153846153846</v>
      </c>
      <c r="J167" s="98">
        <v>11</v>
      </c>
      <c r="K167" s="396">
        <f>I167-J167</f>
        <v>37.46153846153846</v>
      </c>
      <c r="L167" s="103"/>
      <c r="M167" s="103" t="s">
        <v>236</v>
      </c>
      <c r="N167" s="10"/>
    </row>
    <row r="168" spans="1:14" x14ac:dyDescent="0.3">
      <c r="A168" s="4" t="s">
        <v>291</v>
      </c>
      <c r="B168" s="4" t="s">
        <v>46</v>
      </c>
      <c r="C168" s="108">
        <v>7.5</v>
      </c>
      <c r="D168" s="89">
        <v>6.5</v>
      </c>
      <c r="E168" s="51">
        <v>6</v>
      </c>
      <c r="F168" s="4" t="s">
        <v>90</v>
      </c>
      <c r="G168" s="4" t="s">
        <v>150</v>
      </c>
      <c r="H168" s="48">
        <f>IF(G168&gt;0,VLOOKUP(G168,Apoio!$A$2:$B$25,2,0),"")</f>
        <v>8</v>
      </c>
      <c r="I168" s="392">
        <f t="shared" ref="I168:I169" si="22">IF(D168&gt;0,(((H168*E168)*C168)/D168),"")</f>
        <v>55.384615384615387</v>
      </c>
      <c r="J168" s="98">
        <v>11</v>
      </c>
      <c r="K168" s="396">
        <f>I168-J168</f>
        <v>44.384615384615387</v>
      </c>
      <c r="L168" s="103"/>
      <c r="M168" s="103" t="s">
        <v>236</v>
      </c>
      <c r="N168" s="10"/>
    </row>
    <row r="169" spans="1:14" ht="15" thickBot="1" x14ac:dyDescent="0.35">
      <c r="A169" s="4" t="s">
        <v>291</v>
      </c>
      <c r="B169" s="4" t="s">
        <v>46</v>
      </c>
      <c r="C169" s="108">
        <v>7.5</v>
      </c>
      <c r="D169" s="89">
        <v>6.5</v>
      </c>
      <c r="E169" s="51">
        <v>6</v>
      </c>
      <c r="F169" s="4" t="s">
        <v>90</v>
      </c>
      <c r="G169" s="4" t="s">
        <v>153</v>
      </c>
      <c r="H169" s="48">
        <f>IF(G169&gt;0,VLOOKUP(G169,Apoio!$A$2:$B$25,2,0),"")</f>
        <v>8</v>
      </c>
      <c r="I169" s="392">
        <f t="shared" si="22"/>
        <v>55.384615384615387</v>
      </c>
      <c r="J169" s="98">
        <v>11</v>
      </c>
      <c r="K169" s="396">
        <f>I169-J169-1</f>
        <v>43.384615384615387</v>
      </c>
      <c r="L169" s="248"/>
      <c r="M169" s="103" t="s">
        <v>236</v>
      </c>
      <c r="N169" s="10" t="s">
        <v>260</v>
      </c>
    </row>
    <row r="170" spans="1:14" x14ac:dyDescent="0.3">
      <c r="A170" s="4" t="s">
        <v>291</v>
      </c>
      <c r="B170" s="381" t="s">
        <v>47</v>
      </c>
      <c r="C170" s="382">
        <v>4</v>
      </c>
      <c r="D170" s="383">
        <v>5</v>
      </c>
      <c r="E170" s="384">
        <v>7</v>
      </c>
      <c r="F170" s="385" t="s">
        <v>69</v>
      </c>
      <c r="G170" s="385" t="s">
        <v>68</v>
      </c>
      <c r="H170" s="385">
        <f>IF(G170&gt;0,VLOOKUP(G170,Apoio!$A$2:$B$25,2,0),"")</f>
        <v>7</v>
      </c>
      <c r="I170" s="386">
        <f>IF(D170&gt;0,(((H170*E170)*C170)/D170),"")</f>
        <v>39.200000000000003</v>
      </c>
      <c r="J170" s="387">
        <v>11</v>
      </c>
      <c r="K170" s="388">
        <f>I170-J170</f>
        <v>28.200000000000003</v>
      </c>
      <c r="L170" s="205">
        <f t="shared" ref="L170:L175" si="23">2647.87*I170</f>
        <v>103796.504</v>
      </c>
      <c r="M170" s="188" t="s">
        <v>236</v>
      </c>
      <c r="N170" s="10" t="s">
        <v>272</v>
      </c>
    </row>
    <row r="171" spans="1:14" x14ac:dyDescent="0.3">
      <c r="A171" s="4" t="s">
        <v>291</v>
      </c>
      <c r="B171" s="282" t="s">
        <v>47</v>
      </c>
      <c r="C171" s="167">
        <v>4</v>
      </c>
      <c r="D171" s="168">
        <v>5</v>
      </c>
      <c r="E171" s="169">
        <v>7</v>
      </c>
      <c r="F171" s="166" t="s">
        <v>69</v>
      </c>
      <c r="G171" s="166" t="s">
        <v>75</v>
      </c>
      <c r="H171" s="166">
        <f>IF(G171&gt;0,VLOOKUP(G171,Apoio!$A$2:$B$25,2,0),"")</f>
        <v>8</v>
      </c>
      <c r="I171" s="170">
        <f t="shared" si="17"/>
        <v>44.8</v>
      </c>
      <c r="J171" s="171">
        <v>11</v>
      </c>
      <c r="K171" s="172">
        <f t="shared" ref="K171:K175" si="24">I171-J171</f>
        <v>33.799999999999997</v>
      </c>
      <c r="L171" s="207">
        <f t="shared" si="23"/>
        <v>118624.57599999999</v>
      </c>
      <c r="M171" s="188" t="s">
        <v>236</v>
      </c>
      <c r="N171" s="10"/>
    </row>
    <row r="172" spans="1:14" x14ac:dyDescent="0.3">
      <c r="A172" s="4" t="s">
        <v>291</v>
      </c>
      <c r="B172" s="282" t="s">
        <v>47</v>
      </c>
      <c r="C172" s="167">
        <v>4</v>
      </c>
      <c r="D172" s="168">
        <v>5</v>
      </c>
      <c r="E172" s="169">
        <v>7</v>
      </c>
      <c r="F172" s="166" t="s">
        <v>69</v>
      </c>
      <c r="G172" s="166" t="s">
        <v>82</v>
      </c>
      <c r="H172" s="166">
        <f>IF(G172&gt;0,VLOOKUP(G172,Apoio!$A$2:$B$25,2,0),"")</f>
        <v>6</v>
      </c>
      <c r="I172" s="170">
        <f t="shared" si="17"/>
        <v>33.6</v>
      </c>
      <c r="J172" s="171">
        <v>11</v>
      </c>
      <c r="K172" s="172">
        <f t="shared" si="24"/>
        <v>22.6</v>
      </c>
      <c r="L172" s="207">
        <f t="shared" si="23"/>
        <v>88968.432000000001</v>
      </c>
      <c r="M172" s="188" t="s">
        <v>236</v>
      </c>
      <c r="N172" s="10"/>
    </row>
    <row r="173" spans="1:14" x14ac:dyDescent="0.3">
      <c r="A173" s="4" t="s">
        <v>291</v>
      </c>
      <c r="B173" s="282" t="s">
        <v>47</v>
      </c>
      <c r="C173" s="167">
        <v>4</v>
      </c>
      <c r="D173" s="168">
        <v>5</v>
      </c>
      <c r="E173" s="169">
        <v>7</v>
      </c>
      <c r="F173" s="166" t="s">
        <v>69</v>
      </c>
      <c r="G173" s="166" t="s">
        <v>89</v>
      </c>
      <c r="H173" s="166">
        <f>IF(G173&gt;0,VLOOKUP(G173,Apoio!$A$2:$B$25,2,0),"")</f>
        <v>8</v>
      </c>
      <c r="I173" s="170">
        <f t="shared" si="17"/>
        <v>44.8</v>
      </c>
      <c r="J173" s="171">
        <v>8</v>
      </c>
      <c r="K173" s="172">
        <f t="shared" si="24"/>
        <v>36.799999999999997</v>
      </c>
      <c r="L173" s="207">
        <f t="shared" si="23"/>
        <v>118624.57599999999</v>
      </c>
      <c r="M173" s="188" t="s">
        <v>236</v>
      </c>
      <c r="N173" s="10"/>
    </row>
    <row r="174" spans="1:14" x14ac:dyDescent="0.3">
      <c r="A174" s="4" t="s">
        <v>291</v>
      </c>
      <c r="B174" s="282" t="s">
        <v>47</v>
      </c>
      <c r="C174" s="167">
        <v>4</v>
      </c>
      <c r="D174" s="168">
        <v>5</v>
      </c>
      <c r="E174" s="169">
        <v>7</v>
      </c>
      <c r="F174" s="166" t="s">
        <v>69</v>
      </c>
      <c r="G174" s="166" t="s">
        <v>96</v>
      </c>
      <c r="H174" s="166">
        <f>IF(G174&gt;0,VLOOKUP(G174,Apoio!$A$2:$B$25,2,0),"")</f>
        <v>8</v>
      </c>
      <c r="I174" s="170">
        <f t="shared" si="17"/>
        <v>44.8</v>
      </c>
      <c r="J174" s="171">
        <v>8</v>
      </c>
      <c r="K174" s="172">
        <f t="shared" si="24"/>
        <v>36.799999999999997</v>
      </c>
      <c r="L174" s="207">
        <f t="shared" si="23"/>
        <v>118624.57599999999</v>
      </c>
      <c r="M174" s="188" t="s">
        <v>236</v>
      </c>
      <c r="N174" s="10" t="s">
        <v>272</v>
      </c>
    </row>
    <row r="175" spans="1:14" ht="15" thickBot="1" x14ac:dyDescent="0.35">
      <c r="A175" s="4" t="s">
        <v>291</v>
      </c>
      <c r="B175" s="283" t="s">
        <v>47</v>
      </c>
      <c r="C175" s="284">
        <v>4</v>
      </c>
      <c r="D175" s="285">
        <v>5</v>
      </c>
      <c r="E175" s="286">
        <v>7</v>
      </c>
      <c r="F175" s="287" t="s">
        <v>69</v>
      </c>
      <c r="G175" s="287" t="s">
        <v>99</v>
      </c>
      <c r="H175" s="287">
        <v>5</v>
      </c>
      <c r="I175" s="288">
        <f t="shared" si="17"/>
        <v>28</v>
      </c>
      <c r="J175" s="289">
        <v>8</v>
      </c>
      <c r="K175" s="290">
        <f t="shared" si="24"/>
        <v>20</v>
      </c>
      <c r="L175" s="215">
        <f t="shared" si="23"/>
        <v>74140.36</v>
      </c>
      <c r="M175" s="188" t="s">
        <v>236</v>
      </c>
      <c r="N175" s="10"/>
    </row>
    <row r="176" spans="1:14" x14ac:dyDescent="0.3">
      <c r="A176" s="4" t="s">
        <v>291</v>
      </c>
      <c r="B176" s="4" t="s">
        <v>47</v>
      </c>
      <c r="C176" s="108">
        <v>6</v>
      </c>
      <c r="D176" s="89">
        <v>6</v>
      </c>
      <c r="E176" s="51">
        <v>7</v>
      </c>
      <c r="F176" s="4" t="s">
        <v>90</v>
      </c>
      <c r="G176" s="4" t="s">
        <v>138</v>
      </c>
      <c r="H176" s="48">
        <f>IF(G176&gt;0,VLOOKUP(G176,Apoio!$A$2:$B$25,2,0),"")</f>
        <v>8</v>
      </c>
      <c r="I176" s="44">
        <f t="shared" si="17"/>
        <v>56</v>
      </c>
      <c r="J176" s="98">
        <v>8</v>
      </c>
      <c r="K176" s="103"/>
      <c r="L176" s="103"/>
      <c r="M176" s="103" t="s">
        <v>240</v>
      </c>
      <c r="N176" s="10"/>
    </row>
    <row r="177" spans="1:14" x14ac:dyDescent="0.3">
      <c r="A177" s="4" t="s">
        <v>291</v>
      </c>
      <c r="B177" s="4" t="s">
        <v>47</v>
      </c>
      <c r="C177" s="108">
        <v>6</v>
      </c>
      <c r="D177" s="89">
        <v>6</v>
      </c>
      <c r="E177" s="51">
        <v>7</v>
      </c>
      <c r="F177" s="4" t="s">
        <v>90</v>
      </c>
      <c r="G177" s="4" t="s">
        <v>141</v>
      </c>
      <c r="H177" s="48">
        <f>IF(G177&gt;0,VLOOKUP(G177,Apoio!$A$2:$B$25,2,0),"")</f>
        <v>7</v>
      </c>
      <c r="I177" s="44">
        <f t="shared" si="17"/>
        <v>49</v>
      </c>
      <c r="J177" s="98">
        <v>8</v>
      </c>
      <c r="K177" s="103"/>
      <c r="L177" s="103"/>
      <c r="M177" s="103" t="s">
        <v>240</v>
      </c>
      <c r="N177" s="10"/>
    </row>
    <row r="178" spans="1:14" x14ac:dyDescent="0.3">
      <c r="A178" s="4" t="s">
        <v>291</v>
      </c>
      <c r="B178" s="4" t="s">
        <v>47</v>
      </c>
      <c r="C178" s="108">
        <v>6</v>
      </c>
      <c r="D178" s="89">
        <v>6</v>
      </c>
      <c r="E178" s="51">
        <v>7</v>
      </c>
      <c r="F178" s="4" t="s">
        <v>90</v>
      </c>
      <c r="G178" s="4" t="s">
        <v>144</v>
      </c>
      <c r="H178" s="48">
        <f>IF(G178&gt;0,VLOOKUP(G178,Apoio!$A$2:$B$25,2,0),"")</f>
        <v>7</v>
      </c>
      <c r="I178" s="44">
        <f t="shared" si="17"/>
        <v>49</v>
      </c>
      <c r="J178" s="98">
        <v>8</v>
      </c>
      <c r="K178" s="103"/>
      <c r="L178" s="103"/>
      <c r="M178" s="103" t="s">
        <v>240</v>
      </c>
      <c r="N178" s="10"/>
    </row>
    <row r="179" spans="1:14" x14ac:dyDescent="0.3">
      <c r="A179" s="4" t="s">
        <v>291</v>
      </c>
      <c r="B179" s="4" t="s">
        <v>47</v>
      </c>
      <c r="C179" s="108">
        <v>6</v>
      </c>
      <c r="D179" s="89">
        <v>6</v>
      </c>
      <c r="E179" s="51">
        <v>7</v>
      </c>
      <c r="F179" s="4" t="s">
        <v>90</v>
      </c>
      <c r="G179" s="4" t="s">
        <v>147</v>
      </c>
      <c r="H179" s="48">
        <f>IF(G179&gt;0,VLOOKUP(G179,Apoio!$A$2:$B$25,2,0),"")</f>
        <v>7</v>
      </c>
      <c r="I179" s="44">
        <f t="shared" si="17"/>
        <v>49</v>
      </c>
      <c r="J179" s="98">
        <v>8</v>
      </c>
      <c r="K179" s="103"/>
      <c r="L179" s="103"/>
      <c r="M179" s="103" t="s">
        <v>240</v>
      </c>
      <c r="N179" s="10"/>
    </row>
    <row r="180" spans="1:14" x14ac:dyDescent="0.3">
      <c r="A180" s="4" t="s">
        <v>291</v>
      </c>
      <c r="B180" s="4" t="s">
        <v>47</v>
      </c>
      <c r="C180" s="108">
        <v>6</v>
      </c>
      <c r="D180" s="89">
        <v>6</v>
      </c>
      <c r="E180" s="51">
        <v>7</v>
      </c>
      <c r="F180" s="4" t="s">
        <v>90</v>
      </c>
      <c r="G180" s="4" t="s">
        <v>150</v>
      </c>
      <c r="H180" s="48">
        <f>IF(G180&gt;0,VLOOKUP(G180,Apoio!$A$2:$B$25,2,0),"")</f>
        <v>8</v>
      </c>
      <c r="I180" s="44">
        <f t="shared" ref="I180:I181" si="25">IF(D180&gt;0,(((H180*E180)*C180)/D180),"")</f>
        <v>56</v>
      </c>
      <c r="J180" s="98">
        <v>8</v>
      </c>
      <c r="K180" s="103"/>
      <c r="L180" s="103"/>
      <c r="M180" s="103" t="s">
        <v>240</v>
      </c>
      <c r="N180" s="10"/>
    </row>
    <row r="181" spans="1:14" ht="15" thickBot="1" x14ac:dyDescent="0.35">
      <c r="A181" s="4" t="s">
        <v>291</v>
      </c>
      <c r="B181" s="9" t="s">
        <v>47</v>
      </c>
      <c r="C181" s="402">
        <v>6</v>
      </c>
      <c r="D181" s="405">
        <v>6</v>
      </c>
      <c r="E181" s="246">
        <v>7</v>
      </c>
      <c r="F181" s="9" t="s">
        <v>90</v>
      </c>
      <c r="G181" s="9" t="s">
        <v>153</v>
      </c>
      <c r="H181" s="247">
        <f>IF(G181&gt;0,VLOOKUP(G181,Apoio!$A$2:$B$25,2,0),"")</f>
        <v>8</v>
      </c>
      <c r="I181" s="45">
        <f t="shared" si="25"/>
        <v>56</v>
      </c>
      <c r="J181" s="98">
        <v>8</v>
      </c>
      <c r="K181" s="248"/>
      <c r="L181" s="248"/>
      <c r="M181" s="103" t="s">
        <v>240</v>
      </c>
      <c r="N181" s="10"/>
    </row>
    <row r="182" spans="1:14" x14ac:dyDescent="0.3">
      <c r="A182" s="4" t="s">
        <v>291</v>
      </c>
      <c r="B182" s="291" t="s">
        <v>48</v>
      </c>
      <c r="C182" s="292">
        <v>3</v>
      </c>
      <c r="D182" s="293">
        <v>6</v>
      </c>
      <c r="E182" s="294">
        <v>7</v>
      </c>
      <c r="F182" s="295" t="s">
        <v>69</v>
      </c>
      <c r="G182" s="295" t="s">
        <v>68</v>
      </c>
      <c r="H182" s="295">
        <f>IF(G182&gt;0,VLOOKUP(G182,Apoio!$A$2:$B$25,2,0),"")</f>
        <v>7</v>
      </c>
      <c r="I182" s="296">
        <f t="shared" si="17"/>
        <v>24.5</v>
      </c>
      <c r="J182" s="297">
        <v>8</v>
      </c>
      <c r="K182" s="298">
        <f t="shared" ref="K182:K186" si="26">I182-J182</f>
        <v>16.5</v>
      </c>
      <c r="L182" s="205">
        <f t="shared" ref="L182:L187" si="27">2647.87*I182</f>
        <v>64872.814999999995</v>
      </c>
      <c r="M182" s="188" t="s">
        <v>236</v>
      </c>
      <c r="N182" s="10"/>
    </row>
    <row r="183" spans="1:14" x14ac:dyDescent="0.3">
      <c r="A183" s="4" t="s">
        <v>291</v>
      </c>
      <c r="B183" s="299" t="s">
        <v>48</v>
      </c>
      <c r="C183" s="174">
        <v>3</v>
      </c>
      <c r="D183" s="175">
        <v>6</v>
      </c>
      <c r="E183" s="176">
        <v>7</v>
      </c>
      <c r="F183" s="173" t="s">
        <v>69</v>
      </c>
      <c r="G183" s="173" t="s">
        <v>75</v>
      </c>
      <c r="H183" s="173">
        <f>IF(G183&gt;0,VLOOKUP(G183,Apoio!$A$2:$B$25,2,0),"")</f>
        <v>8</v>
      </c>
      <c r="I183" s="177">
        <f t="shared" ref="I183:I236" si="28">IF(D183&gt;0,(((H183*E183)*C183)/D183),"")</f>
        <v>28</v>
      </c>
      <c r="J183" s="178">
        <v>8</v>
      </c>
      <c r="K183" s="179">
        <f t="shared" si="26"/>
        <v>20</v>
      </c>
      <c r="L183" s="207">
        <f t="shared" si="27"/>
        <v>74140.36</v>
      </c>
      <c r="M183" s="188" t="s">
        <v>236</v>
      </c>
      <c r="N183" s="10"/>
    </row>
    <row r="184" spans="1:14" x14ac:dyDescent="0.3">
      <c r="A184" s="4" t="s">
        <v>291</v>
      </c>
      <c r="B184" s="299" t="s">
        <v>48</v>
      </c>
      <c r="C184" s="174">
        <v>3</v>
      </c>
      <c r="D184" s="175">
        <v>6</v>
      </c>
      <c r="E184" s="176">
        <v>7</v>
      </c>
      <c r="F184" s="173" t="s">
        <v>69</v>
      </c>
      <c r="G184" s="173" t="s">
        <v>82</v>
      </c>
      <c r="H184" s="173">
        <f>IF(G184&gt;0,VLOOKUP(G184,Apoio!$A$2:$B$25,2,0),"")</f>
        <v>6</v>
      </c>
      <c r="I184" s="177">
        <f t="shared" si="28"/>
        <v>21</v>
      </c>
      <c r="J184" s="178">
        <v>8</v>
      </c>
      <c r="K184" s="179">
        <f t="shared" si="26"/>
        <v>13</v>
      </c>
      <c r="L184" s="207">
        <f t="shared" si="27"/>
        <v>55605.27</v>
      </c>
      <c r="M184" s="188" t="s">
        <v>236</v>
      </c>
      <c r="N184" s="10"/>
    </row>
    <row r="185" spans="1:14" x14ac:dyDescent="0.3">
      <c r="A185" s="4" t="s">
        <v>291</v>
      </c>
      <c r="B185" s="299" t="s">
        <v>48</v>
      </c>
      <c r="C185" s="174">
        <v>3</v>
      </c>
      <c r="D185" s="175">
        <v>6</v>
      </c>
      <c r="E185" s="176">
        <v>7</v>
      </c>
      <c r="F185" s="173" t="s">
        <v>69</v>
      </c>
      <c r="G185" s="173" t="s">
        <v>89</v>
      </c>
      <c r="H185" s="173">
        <f>IF(G185&gt;0,VLOOKUP(G185,Apoio!$A$2:$B$25,2,0),"")</f>
        <v>8</v>
      </c>
      <c r="I185" s="177">
        <f t="shared" si="28"/>
        <v>28</v>
      </c>
      <c r="J185" s="178">
        <v>8</v>
      </c>
      <c r="K185" s="179">
        <f t="shared" si="26"/>
        <v>20</v>
      </c>
      <c r="L185" s="207">
        <f t="shared" si="27"/>
        <v>74140.36</v>
      </c>
      <c r="M185" s="188" t="s">
        <v>236</v>
      </c>
      <c r="N185" s="10"/>
    </row>
    <row r="186" spans="1:14" x14ac:dyDescent="0.3">
      <c r="A186" s="4" t="s">
        <v>291</v>
      </c>
      <c r="B186" s="299" t="s">
        <v>48</v>
      </c>
      <c r="C186" s="174">
        <v>3</v>
      </c>
      <c r="D186" s="175">
        <v>6</v>
      </c>
      <c r="E186" s="176">
        <v>7</v>
      </c>
      <c r="F186" s="173" t="s">
        <v>69</v>
      </c>
      <c r="G186" s="173" t="s">
        <v>96</v>
      </c>
      <c r="H186" s="173">
        <f>IF(G186&gt;0,VLOOKUP(G186,Apoio!$A$2:$B$25,2,0),"")</f>
        <v>8</v>
      </c>
      <c r="I186" s="177">
        <f t="shared" si="28"/>
        <v>28</v>
      </c>
      <c r="J186" s="178">
        <v>8</v>
      </c>
      <c r="K186" s="179">
        <f t="shared" si="26"/>
        <v>20</v>
      </c>
      <c r="L186" s="207">
        <f t="shared" si="27"/>
        <v>74140.36</v>
      </c>
      <c r="M186" s="188" t="s">
        <v>236</v>
      </c>
      <c r="N186" s="10"/>
    </row>
    <row r="187" spans="1:14" ht="15" thickBot="1" x14ac:dyDescent="0.35">
      <c r="A187" s="4" t="s">
        <v>291</v>
      </c>
      <c r="B187" s="300" t="s">
        <v>48</v>
      </c>
      <c r="C187" s="301">
        <v>3</v>
      </c>
      <c r="D187" s="302">
        <v>6</v>
      </c>
      <c r="E187" s="303">
        <v>7</v>
      </c>
      <c r="F187" s="304" t="s">
        <v>69</v>
      </c>
      <c r="G187" s="304" t="s">
        <v>99</v>
      </c>
      <c r="H187" s="304">
        <v>5</v>
      </c>
      <c r="I187" s="305">
        <f t="shared" si="28"/>
        <v>17.5</v>
      </c>
      <c r="J187" s="306">
        <v>3</v>
      </c>
      <c r="K187" s="307">
        <f t="shared" ref="K187" si="29">I187-J187</f>
        <v>14.5</v>
      </c>
      <c r="L187" s="215">
        <f t="shared" si="27"/>
        <v>46337.724999999999</v>
      </c>
      <c r="M187" s="188" t="s">
        <v>236</v>
      </c>
      <c r="N187" s="10"/>
    </row>
    <row r="188" spans="1:14" x14ac:dyDescent="0.3">
      <c r="A188" s="4" t="s">
        <v>291</v>
      </c>
      <c r="B188" s="4" t="s">
        <v>48</v>
      </c>
      <c r="C188" s="108">
        <v>4</v>
      </c>
      <c r="D188" s="89">
        <v>6</v>
      </c>
      <c r="E188" s="51">
        <v>7</v>
      </c>
      <c r="F188" s="4" t="s">
        <v>90</v>
      </c>
      <c r="G188" s="4" t="s">
        <v>138</v>
      </c>
      <c r="H188" s="48">
        <f>IF(G188&gt;0,VLOOKUP(G188,Apoio!$A$2:$B$25,2,0),"")</f>
        <v>8</v>
      </c>
      <c r="I188" s="44">
        <f t="shared" si="28"/>
        <v>37.333333333333336</v>
      </c>
      <c r="J188" s="98">
        <v>8</v>
      </c>
      <c r="K188" s="103"/>
      <c r="L188" s="103"/>
      <c r="M188" s="103" t="s">
        <v>240</v>
      </c>
      <c r="N188" s="10"/>
    </row>
    <row r="189" spans="1:14" x14ac:dyDescent="0.3">
      <c r="A189" s="4" t="s">
        <v>291</v>
      </c>
      <c r="B189" s="4" t="s">
        <v>48</v>
      </c>
      <c r="C189" s="108">
        <v>4</v>
      </c>
      <c r="D189" s="89">
        <v>6</v>
      </c>
      <c r="E189" s="51">
        <v>7</v>
      </c>
      <c r="F189" s="4" t="s">
        <v>90</v>
      </c>
      <c r="G189" s="4" t="s">
        <v>141</v>
      </c>
      <c r="H189" s="48">
        <f>IF(G189&gt;0,VLOOKUP(G189,Apoio!$A$2:$B$25,2,0),"")</f>
        <v>7</v>
      </c>
      <c r="I189" s="44">
        <f t="shared" si="28"/>
        <v>32.666666666666664</v>
      </c>
      <c r="J189" s="98">
        <v>8</v>
      </c>
      <c r="K189" s="103"/>
      <c r="L189" s="103"/>
      <c r="M189" s="103" t="s">
        <v>240</v>
      </c>
      <c r="N189" s="10"/>
    </row>
    <row r="190" spans="1:14" x14ac:dyDescent="0.3">
      <c r="A190" s="4" t="s">
        <v>291</v>
      </c>
      <c r="B190" s="4" t="s">
        <v>48</v>
      </c>
      <c r="C190" s="108">
        <v>4</v>
      </c>
      <c r="D190" s="89">
        <v>6</v>
      </c>
      <c r="E190" s="51">
        <v>7</v>
      </c>
      <c r="F190" s="4" t="s">
        <v>90</v>
      </c>
      <c r="G190" s="4" t="s">
        <v>144</v>
      </c>
      <c r="H190" s="48">
        <f>IF(G190&gt;0,VLOOKUP(G190,Apoio!$A$2:$B$25,2,0),"")</f>
        <v>7</v>
      </c>
      <c r="I190" s="44">
        <f t="shared" si="28"/>
        <v>32.666666666666664</v>
      </c>
      <c r="J190" s="98">
        <v>8</v>
      </c>
      <c r="K190" s="103"/>
      <c r="L190" s="103"/>
      <c r="M190" s="103" t="s">
        <v>240</v>
      </c>
      <c r="N190" s="10"/>
    </row>
    <row r="191" spans="1:14" x14ac:dyDescent="0.3">
      <c r="A191" s="4" t="s">
        <v>291</v>
      </c>
      <c r="B191" s="4" t="s">
        <v>48</v>
      </c>
      <c r="C191" s="108">
        <v>4</v>
      </c>
      <c r="D191" s="89">
        <v>6</v>
      </c>
      <c r="E191" s="51">
        <v>7</v>
      </c>
      <c r="F191" s="4" t="s">
        <v>90</v>
      </c>
      <c r="G191" s="4" t="s">
        <v>147</v>
      </c>
      <c r="H191" s="48">
        <f>IF(G191&gt;0,VLOOKUP(G191,Apoio!$A$2:$B$25,2,0),"")</f>
        <v>7</v>
      </c>
      <c r="I191" s="44">
        <f t="shared" si="28"/>
        <v>32.666666666666664</v>
      </c>
      <c r="J191" s="98">
        <v>8</v>
      </c>
      <c r="K191" s="103"/>
      <c r="L191" s="103"/>
      <c r="M191" s="103" t="s">
        <v>240</v>
      </c>
      <c r="N191" s="10"/>
    </row>
    <row r="192" spans="1:14" x14ac:dyDescent="0.3">
      <c r="A192" s="4" t="s">
        <v>291</v>
      </c>
      <c r="B192" s="4" t="s">
        <v>48</v>
      </c>
      <c r="C192" s="108">
        <v>4</v>
      </c>
      <c r="D192" s="89">
        <v>6</v>
      </c>
      <c r="E192" s="51">
        <v>7</v>
      </c>
      <c r="F192" s="4" t="s">
        <v>90</v>
      </c>
      <c r="G192" s="4" t="s">
        <v>150</v>
      </c>
      <c r="H192" s="48">
        <f>IF(G192&gt;0,VLOOKUP(G192,Apoio!$A$2:$B$25,2,0),"")</f>
        <v>8</v>
      </c>
      <c r="I192" s="44">
        <f t="shared" ref="I192:I193" si="30">IF(D192&gt;0,(((H192*E192)*C192)/D192),"")</f>
        <v>37.333333333333336</v>
      </c>
      <c r="J192" s="98">
        <v>8</v>
      </c>
      <c r="K192" s="103"/>
      <c r="L192" s="103"/>
      <c r="M192" s="103" t="s">
        <v>240</v>
      </c>
      <c r="N192" s="10"/>
    </row>
    <row r="193" spans="1:14" x14ac:dyDescent="0.3">
      <c r="A193" s="4" t="s">
        <v>291</v>
      </c>
      <c r="B193" s="4" t="s">
        <v>48</v>
      </c>
      <c r="C193" s="108">
        <v>4</v>
      </c>
      <c r="D193" s="89">
        <v>6</v>
      </c>
      <c r="E193" s="51">
        <v>7</v>
      </c>
      <c r="F193" s="4" t="s">
        <v>90</v>
      </c>
      <c r="G193" s="4" t="s">
        <v>153</v>
      </c>
      <c r="H193" s="48">
        <f>IF(G193&gt;0,VLOOKUP(G193,Apoio!$A$2:$B$25,2,0),"")</f>
        <v>8</v>
      </c>
      <c r="I193" s="44">
        <f t="shared" si="30"/>
        <v>37.333333333333336</v>
      </c>
      <c r="J193" s="98">
        <v>8</v>
      </c>
      <c r="K193" s="103"/>
      <c r="L193" s="103"/>
      <c r="M193" s="103" t="s">
        <v>240</v>
      </c>
      <c r="N193" s="10"/>
    </row>
    <row r="194" spans="1:14" x14ac:dyDescent="0.3">
      <c r="A194" s="59" t="s">
        <v>2</v>
      </c>
      <c r="B194" s="58" t="s">
        <v>3</v>
      </c>
      <c r="C194" s="58">
        <v>5</v>
      </c>
      <c r="D194" s="114">
        <v>8.3000000000000007</v>
      </c>
      <c r="E194" s="51">
        <v>7</v>
      </c>
      <c r="F194" s="4" t="s">
        <v>69</v>
      </c>
      <c r="G194" s="4" t="s">
        <v>68</v>
      </c>
      <c r="H194" s="48">
        <f>IF(G194&gt;0,VLOOKUP(G194,Apoio!$A$2:$B$25,2,0),"")</f>
        <v>7</v>
      </c>
      <c r="I194" s="44">
        <f t="shared" si="28"/>
        <v>29.518072289156624</v>
      </c>
      <c r="J194" s="98">
        <f>I194*30%</f>
        <v>8.8554216867469862</v>
      </c>
      <c r="K194" s="103"/>
      <c r="L194" s="103"/>
      <c r="M194" s="103"/>
      <c r="N194" s="10"/>
    </row>
    <row r="195" spans="1:14" x14ac:dyDescent="0.3">
      <c r="A195" s="59" t="s">
        <v>2</v>
      </c>
      <c r="B195" s="58" t="s">
        <v>3</v>
      </c>
      <c r="C195" s="58">
        <v>5</v>
      </c>
      <c r="D195" s="108">
        <v>8.3000000000000007</v>
      </c>
      <c r="E195" s="51">
        <v>7</v>
      </c>
      <c r="F195" s="4" t="s">
        <v>69</v>
      </c>
      <c r="G195" s="4" t="s">
        <v>75</v>
      </c>
      <c r="H195" s="48">
        <f>IF(G195&gt;0,VLOOKUP(G195,Apoio!$A$2:$B$25,2,0),"")</f>
        <v>8</v>
      </c>
      <c r="I195" s="44">
        <f t="shared" si="28"/>
        <v>33.734939759036145</v>
      </c>
      <c r="J195" s="98">
        <f t="shared" ref="J195:J240" si="31">I195*30%</f>
        <v>10.120481927710843</v>
      </c>
      <c r="K195" s="103"/>
      <c r="L195" s="103"/>
      <c r="M195" s="103"/>
      <c r="N195" s="10"/>
    </row>
    <row r="196" spans="1:14" x14ac:dyDescent="0.3">
      <c r="A196" s="59" t="s">
        <v>2</v>
      </c>
      <c r="B196" s="58" t="s">
        <v>3</v>
      </c>
      <c r="C196" s="58">
        <v>5</v>
      </c>
      <c r="D196" s="108">
        <v>8.3000000000000007</v>
      </c>
      <c r="E196" s="51">
        <v>7</v>
      </c>
      <c r="F196" s="4" t="s">
        <v>69</v>
      </c>
      <c r="G196" s="4" t="s">
        <v>82</v>
      </c>
      <c r="H196" s="48">
        <f>IF(G196&gt;0,VLOOKUP(G196,Apoio!$A$2:$B$25,2,0),"")</f>
        <v>6</v>
      </c>
      <c r="I196" s="44">
        <f t="shared" si="28"/>
        <v>25.301204819277107</v>
      </c>
      <c r="J196" s="98">
        <f t="shared" si="31"/>
        <v>7.5903614457831319</v>
      </c>
      <c r="K196" s="103"/>
      <c r="L196" s="103"/>
      <c r="M196" s="103"/>
      <c r="N196" s="10"/>
    </row>
    <row r="197" spans="1:14" x14ac:dyDescent="0.3">
      <c r="A197" s="59" t="s">
        <v>2</v>
      </c>
      <c r="B197" s="58" t="s">
        <v>3</v>
      </c>
      <c r="C197" s="58">
        <v>5</v>
      </c>
      <c r="D197" s="108">
        <v>8.3000000000000007</v>
      </c>
      <c r="E197" s="51">
        <v>7</v>
      </c>
      <c r="F197" s="4" t="s">
        <v>69</v>
      </c>
      <c r="G197" s="4" t="s">
        <v>89</v>
      </c>
      <c r="H197" s="48">
        <f>IF(G197&gt;0,VLOOKUP(G197,Apoio!$A$2:$B$25,2,0),"")</f>
        <v>8</v>
      </c>
      <c r="I197" s="44">
        <f t="shared" si="28"/>
        <v>33.734939759036145</v>
      </c>
      <c r="J197" s="98">
        <f t="shared" si="31"/>
        <v>10.120481927710843</v>
      </c>
      <c r="K197" s="103"/>
      <c r="L197" s="103"/>
      <c r="M197" s="103"/>
      <c r="N197" s="10"/>
    </row>
    <row r="198" spans="1:14" x14ac:dyDescent="0.3">
      <c r="A198" s="59" t="s">
        <v>2</v>
      </c>
      <c r="B198" s="58" t="s">
        <v>3</v>
      </c>
      <c r="C198" s="58">
        <v>5</v>
      </c>
      <c r="D198" s="108">
        <v>8.3000000000000007</v>
      </c>
      <c r="E198" s="51">
        <v>7</v>
      </c>
      <c r="F198" s="4" t="s">
        <v>69</v>
      </c>
      <c r="G198" s="4" t="s">
        <v>96</v>
      </c>
      <c r="H198" s="48">
        <f>IF(G198&gt;0,VLOOKUP(G198,Apoio!$A$2:$B$25,2,0),"")</f>
        <v>8</v>
      </c>
      <c r="I198" s="44">
        <f t="shared" si="28"/>
        <v>33.734939759036145</v>
      </c>
      <c r="J198" s="98">
        <f t="shared" si="31"/>
        <v>10.120481927710843</v>
      </c>
      <c r="K198" s="103"/>
      <c r="L198" s="103"/>
      <c r="M198" s="103"/>
      <c r="N198" s="10"/>
    </row>
    <row r="199" spans="1:14" x14ac:dyDescent="0.3">
      <c r="A199" s="59" t="s">
        <v>2</v>
      </c>
      <c r="B199" s="58" t="s">
        <v>3</v>
      </c>
      <c r="C199" s="58">
        <v>5</v>
      </c>
      <c r="D199" s="108">
        <v>8.3000000000000007</v>
      </c>
      <c r="E199" s="51">
        <v>7</v>
      </c>
      <c r="F199" s="4" t="s">
        <v>69</v>
      </c>
      <c r="G199" s="4" t="s">
        <v>99</v>
      </c>
      <c r="H199" s="48">
        <f>IF(G199&gt;0,VLOOKUP(G199,Apoio!$A$2:$B$25,2,0),"")</f>
        <v>2</v>
      </c>
      <c r="I199" s="44">
        <f t="shared" si="28"/>
        <v>8.4337349397590362</v>
      </c>
      <c r="J199" s="98">
        <f t="shared" si="31"/>
        <v>2.5301204819277108</v>
      </c>
      <c r="K199" s="103"/>
      <c r="L199" s="103"/>
      <c r="M199" s="103"/>
      <c r="N199" s="10"/>
    </row>
    <row r="200" spans="1:14" x14ac:dyDescent="0.3">
      <c r="A200" s="59" t="s">
        <v>2</v>
      </c>
      <c r="B200" s="58" t="s">
        <v>3</v>
      </c>
      <c r="C200" s="58">
        <v>7</v>
      </c>
      <c r="D200" s="108">
        <v>8.3000000000000007</v>
      </c>
      <c r="E200" s="51">
        <v>7</v>
      </c>
      <c r="F200" s="4" t="s">
        <v>76</v>
      </c>
      <c r="G200" s="4" t="s">
        <v>102</v>
      </c>
      <c r="H200" s="48">
        <f>IF(G200&gt;0,VLOOKUP(G200,Apoio!$A$2:$B$25,2,0),"")</f>
        <v>5</v>
      </c>
      <c r="I200" s="44">
        <f t="shared" si="28"/>
        <v>29.518072289156624</v>
      </c>
      <c r="J200" s="98">
        <f t="shared" ref="J200:J205" si="32">I200*15%</f>
        <v>4.4277108433734931</v>
      </c>
      <c r="K200" s="103"/>
      <c r="L200" s="103"/>
      <c r="M200" s="103"/>
      <c r="N200" s="10"/>
    </row>
    <row r="201" spans="1:14" x14ac:dyDescent="0.3">
      <c r="A201" s="59" t="s">
        <v>2</v>
      </c>
      <c r="B201" s="58" t="s">
        <v>3</v>
      </c>
      <c r="C201" s="58">
        <v>7</v>
      </c>
      <c r="D201" s="108">
        <v>8.3000000000000007</v>
      </c>
      <c r="E201" s="51">
        <v>7</v>
      </c>
      <c r="F201" s="4" t="s">
        <v>76</v>
      </c>
      <c r="G201" s="4" t="s">
        <v>105</v>
      </c>
      <c r="H201" s="48">
        <f>IF(G201&gt;0,VLOOKUP(G201,Apoio!$A$2:$B$25,2,0),"")</f>
        <v>7</v>
      </c>
      <c r="I201" s="44">
        <f t="shared" si="28"/>
        <v>41.325301204819276</v>
      </c>
      <c r="J201" s="98">
        <f t="shared" si="32"/>
        <v>6.1987951807228914</v>
      </c>
      <c r="K201" s="103"/>
      <c r="L201" s="103"/>
      <c r="M201" s="103"/>
      <c r="N201" s="10"/>
    </row>
    <row r="202" spans="1:14" x14ac:dyDescent="0.3">
      <c r="A202" s="59" t="s">
        <v>2</v>
      </c>
      <c r="B202" s="58" t="s">
        <v>3</v>
      </c>
      <c r="C202" s="58">
        <v>7</v>
      </c>
      <c r="D202" s="108">
        <v>8.3000000000000007</v>
      </c>
      <c r="E202" s="51">
        <v>7</v>
      </c>
      <c r="F202" s="4" t="s">
        <v>76</v>
      </c>
      <c r="G202" s="4" t="s">
        <v>108</v>
      </c>
      <c r="H202" s="48">
        <f>IF(G202&gt;0,VLOOKUP(G202,Apoio!$A$2:$B$25,2,0),"")</f>
        <v>8</v>
      </c>
      <c r="I202" s="44">
        <f t="shared" si="28"/>
        <v>47.2289156626506</v>
      </c>
      <c r="J202" s="98">
        <f t="shared" si="32"/>
        <v>7.0843373493975896</v>
      </c>
      <c r="K202" s="103"/>
      <c r="L202" s="103"/>
      <c r="M202" s="103"/>
      <c r="N202" s="10"/>
    </row>
    <row r="203" spans="1:14" x14ac:dyDescent="0.3">
      <c r="A203" s="59" t="s">
        <v>2</v>
      </c>
      <c r="B203" s="58" t="s">
        <v>3</v>
      </c>
      <c r="C203" s="58">
        <v>7</v>
      </c>
      <c r="D203" s="108">
        <v>8.3000000000000007</v>
      </c>
      <c r="E203" s="51">
        <v>7</v>
      </c>
      <c r="F203" s="4" t="s">
        <v>76</v>
      </c>
      <c r="G203" s="4" t="s">
        <v>111</v>
      </c>
      <c r="H203" s="48">
        <f>IF(G203&gt;0,VLOOKUP(G203,Apoio!$A$2:$B$25,2,0),"")</f>
        <v>7</v>
      </c>
      <c r="I203" s="44">
        <f t="shared" si="28"/>
        <v>41.325301204819276</v>
      </c>
      <c r="J203" s="98">
        <f t="shared" si="32"/>
        <v>6.1987951807228914</v>
      </c>
      <c r="K203" s="103"/>
      <c r="L203" s="103"/>
      <c r="M203" s="103"/>
      <c r="N203" s="10"/>
    </row>
    <row r="204" spans="1:14" x14ac:dyDescent="0.3">
      <c r="A204" s="59" t="s">
        <v>2</v>
      </c>
      <c r="B204" s="58" t="s">
        <v>3</v>
      </c>
      <c r="C204" s="58">
        <v>7</v>
      </c>
      <c r="D204" s="108">
        <v>8.3000000000000007</v>
      </c>
      <c r="E204" s="51">
        <v>7</v>
      </c>
      <c r="F204" s="4" t="s">
        <v>76</v>
      </c>
      <c r="G204" s="4" t="s">
        <v>114</v>
      </c>
      <c r="H204" s="48">
        <f>IF(G204&gt;0,VLOOKUP(G204,Apoio!$A$2:$B$25,2,0),"")</f>
        <v>8</v>
      </c>
      <c r="I204" s="44">
        <f t="shared" si="28"/>
        <v>47.2289156626506</v>
      </c>
      <c r="J204" s="98">
        <f t="shared" si="32"/>
        <v>7.0843373493975896</v>
      </c>
      <c r="K204" s="103"/>
      <c r="L204" s="103"/>
      <c r="M204" s="103"/>
      <c r="N204" s="10"/>
    </row>
    <row r="205" spans="1:14" x14ac:dyDescent="0.3">
      <c r="A205" s="58" t="s">
        <v>2</v>
      </c>
      <c r="B205" s="58" t="s">
        <v>3</v>
      </c>
      <c r="C205" s="58">
        <v>7</v>
      </c>
      <c r="D205" s="108">
        <v>8.3000000000000007</v>
      </c>
      <c r="E205" s="51">
        <v>7</v>
      </c>
      <c r="F205" s="4" t="s">
        <v>76</v>
      </c>
      <c r="G205" s="4" t="s">
        <v>117</v>
      </c>
      <c r="H205" s="48">
        <f>IF(G205&gt;0,VLOOKUP(G205,Apoio!$A$2:$B$25,2,0),"")</f>
        <v>3</v>
      </c>
      <c r="I205" s="44">
        <f t="shared" si="28"/>
        <v>17.710843373493976</v>
      </c>
      <c r="J205" s="98">
        <f t="shared" si="32"/>
        <v>2.6566265060240961</v>
      </c>
      <c r="K205" s="103"/>
      <c r="L205" s="103"/>
      <c r="M205" s="103"/>
      <c r="N205" s="10"/>
    </row>
    <row r="206" spans="1:14" x14ac:dyDescent="0.3">
      <c r="A206" s="58" t="s">
        <v>2</v>
      </c>
      <c r="B206" s="58" t="s">
        <v>3</v>
      </c>
      <c r="C206" s="58">
        <v>7</v>
      </c>
      <c r="D206" s="108">
        <v>8.3000000000000007</v>
      </c>
      <c r="E206" s="51">
        <v>7</v>
      </c>
      <c r="F206" s="4" t="s">
        <v>83</v>
      </c>
      <c r="G206" s="4" t="s">
        <v>120</v>
      </c>
      <c r="H206" s="48">
        <f>IF(G206&gt;0,VLOOKUP(G206,Apoio!$A$2:$B$25,2,0),"")</f>
        <v>7</v>
      </c>
      <c r="I206" s="44">
        <f t="shared" si="28"/>
        <v>41.325301204819276</v>
      </c>
      <c r="J206" s="98">
        <v>7</v>
      </c>
      <c r="K206" s="103"/>
      <c r="L206" s="103"/>
      <c r="M206" s="103" t="s">
        <v>221</v>
      </c>
      <c r="N206" s="10"/>
    </row>
    <row r="207" spans="1:14" x14ac:dyDescent="0.3">
      <c r="A207" s="58" t="s">
        <v>2</v>
      </c>
      <c r="B207" s="58" t="s">
        <v>3</v>
      </c>
      <c r="C207" s="58">
        <v>7</v>
      </c>
      <c r="D207" s="108">
        <v>8.3000000000000007</v>
      </c>
      <c r="E207" s="51">
        <v>7</v>
      </c>
      <c r="F207" s="4" t="s">
        <v>83</v>
      </c>
      <c r="G207" s="4" t="s">
        <v>123</v>
      </c>
      <c r="H207" s="48">
        <f>IF(G207&gt;0,VLOOKUP(G207,Apoio!$A$2:$B$25,2,0),"")</f>
        <v>8</v>
      </c>
      <c r="I207" s="44">
        <f t="shared" si="28"/>
        <v>47.2289156626506</v>
      </c>
      <c r="J207" s="98">
        <v>6</v>
      </c>
      <c r="K207" s="103"/>
      <c r="L207" s="103"/>
      <c r="M207" s="103" t="s">
        <v>221</v>
      </c>
      <c r="N207" s="10"/>
    </row>
    <row r="208" spans="1:14" x14ac:dyDescent="0.3">
      <c r="A208" s="58" t="s">
        <v>2</v>
      </c>
      <c r="B208" s="58" t="s">
        <v>3</v>
      </c>
      <c r="C208" s="58">
        <v>7</v>
      </c>
      <c r="D208" s="108">
        <v>8.3000000000000007</v>
      </c>
      <c r="E208" s="51">
        <v>7</v>
      </c>
      <c r="F208" s="4" t="s">
        <v>83</v>
      </c>
      <c r="G208" s="4" t="s">
        <v>126</v>
      </c>
      <c r="H208" s="48">
        <f>IF(G208&gt;0,VLOOKUP(G208,Apoio!$A$2:$B$25,2,0),"")</f>
        <v>8</v>
      </c>
      <c r="I208" s="44">
        <f t="shared" si="28"/>
        <v>47.2289156626506</v>
      </c>
      <c r="J208" s="98">
        <v>10</v>
      </c>
      <c r="K208" s="103"/>
      <c r="L208" s="103"/>
      <c r="M208" s="103" t="s">
        <v>221</v>
      </c>
      <c r="N208" s="10"/>
    </row>
    <row r="209" spans="1:14" x14ac:dyDescent="0.3">
      <c r="A209" s="58" t="s">
        <v>2</v>
      </c>
      <c r="B209" s="58" t="s">
        <v>3</v>
      </c>
      <c r="C209" s="58">
        <v>7</v>
      </c>
      <c r="D209" s="108">
        <v>8.3000000000000007</v>
      </c>
      <c r="E209" s="51">
        <v>7</v>
      </c>
      <c r="F209" s="4" t="s">
        <v>83</v>
      </c>
      <c r="G209" s="4" t="s">
        <v>129</v>
      </c>
      <c r="H209" s="48">
        <f>IF(G209&gt;0,VLOOKUP(G209,Apoio!$A$2:$B$25,2,0),"")</f>
        <v>8</v>
      </c>
      <c r="I209" s="44">
        <f t="shared" si="28"/>
        <v>47.2289156626506</v>
      </c>
      <c r="J209" s="98">
        <v>13</v>
      </c>
      <c r="K209" s="103"/>
      <c r="L209" s="103"/>
      <c r="M209" s="103" t="s">
        <v>221</v>
      </c>
      <c r="N209" s="10"/>
    </row>
    <row r="210" spans="1:14" x14ac:dyDescent="0.3">
      <c r="A210" s="58" t="s">
        <v>2</v>
      </c>
      <c r="B210" s="58" t="s">
        <v>3</v>
      </c>
      <c r="C210" s="58">
        <v>7</v>
      </c>
      <c r="D210" s="108">
        <v>8.3000000000000007</v>
      </c>
      <c r="E210" s="51">
        <v>7</v>
      </c>
      <c r="F210" s="4" t="s">
        <v>83</v>
      </c>
      <c r="G210" s="4" t="s">
        <v>132</v>
      </c>
      <c r="H210" s="48">
        <f>IF(G210&gt;0,VLOOKUP(G210,Apoio!$A$2:$B$25,2,0),"")</f>
        <v>7</v>
      </c>
      <c r="I210" s="44">
        <f t="shared" si="28"/>
        <v>41.325301204819276</v>
      </c>
      <c r="J210" s="98">
        <v>5</v>
      </c>
      <c r="K210" s="103"/>
      <c r="L210" s="103"/>
      <c r="M210" s="103" t="s">
        <v>221</v>
      </c>
      <c r="N210" s="10"/>
    </row>
    <row r="211" spans="1:14" x14ac:dyDescent="0.3">
      <c r="A211" s="59" t="s">
        <v>2</v>
      </c>
      <c r="B211" s="58" t="s">
        <v>3</v>
      </c>
      <c r="C211" s="58">
        <v>7</v>
      </c>
      <c r="D211" s="108">
        <v>8.3000000000000007</v>
      </c>
      <c r="E211" s="51">
        <v>7</v>
      </c>
      <c r="F211" s="4" t="s">
        <v>83</v>
      </c>
      <c r="G211" s="4" t="s">
        <v>135</v>
      </c>
      <c r="H211" s="48">
        <f>IF(G211&gt;0,VLOOKUP(G211,Apoio!$A$2:$B$25,2,0),"")</f>
        <v>3</v>
      </c>
      <c r="I211" s="44">
        <f t="shared" si="28"/>
        <v>17.710843373493976</v>
      </c>
      <c r="J211" s="98">
        <f t="shared" si="31"/>
        <v>5.3132530120481922</v>
      </c>
      <c r="K211" s="103"/>
      <c r="L211" s="103"/>
      <c r="M211" s="103"/>
      <c r="N211" s="10"/>
    </row>
    <row r="212" spans="1:14" x14ac:dyDescent="0.3">
      <c r="A212" s="59" t="s">
        <v>2</v>
      </c>
      <c r="B212" s="58" t="s">
        <v>3</v>
      </c>
      <c r="C212" s="108">
        <v>7</v>
      </c>
      <c r="D212" s="108">
        <v>8.3000000000000007</v>
      </c>
      <c r="E212" s="51">
        <v>7</v>
      </c>
      <c r="F212" s="4" t="s">
        <v>90</v>
      </c>
      <c r="G212" s="4" t="s">
        <v>138</v>
      </c>
      <c r="H212" s="48">
        <f>IF(G212&gt;0,VLOOKUP(G212,Apoio!$A$2:$B$25,2,0),"")</f>
        <v>8</v>
      </c>
      <c r="I212" s="44">
        <f t="shared" si="28"/>
        <v>47.2289156626506</v>
      </c>
      <c r="J212" s="98">
        <f t="shared" si="31"/>
        <v>14.168674698795179</v>
      </c>
      <c r="K212" s="406">
        <f t="shared" ref="K212:K217" si="33">I212-J212</f>
        <v>33.060240963855421</v>
      </c>
      <c r="L212" s="103"/>
      <c r="M212" s="103"/>
      <c r="N212" s="10"/>
    </row>
    <row r="213" spans="1:14" x14ac:dyDescent="0.3">
      <c r="A213" s="59" t="s">
        <v>2</v>
      </c>
      <c r="B213" s="58" t="s">
        <v>3</v>
      </c>
      <c r="C213" s="108">
        <v>7</v>
      </c>
      <c r="D213" s="108">
        <v>8.3000000000000007</v>
      </c>
      <c r="E213" s="51">
        <v>7</v>
      </c>
      <c r="F213" s="4" t="s">
        <v>90</v>
      </c>
      <c r="G213" s="4" t="s">
        <v>141</v>
      </c>
      <c r="H213" s="48">
        <f>IF(G213&gt;0,VLOOKUP(G213,Apoio!$A$2:$B$25,2,0),"")</f>
        <v>7</v>
      </c>
      <c r="I213" s="44">
        <f t="shared" si="28"/>
        <v>41.325301204819276</v>
      </c>
      <c r="J213" s="98">
        <f t="shared" si="31"/>
        <v>12.397590361445783</v>
      </c>
      <c r="K213" s="406">
        <f t="shared" si="33"/>
        <v>28.927710843373493</v>
      </c>
      <c r="L213" s="103"/>
      <c r="M213" s="103"/>
      <c r="N213" s="10"/>
    </row>
    <row r="214" spans="1:14" x14ac:dyDescent="0.3">
      <c r="A214" s="59" t="s">
        <v>2</v>
      </c>
      <c r="B214" s="58" t="s">
        <v>3</v>
      </c>
      <c r="C214" s="108">
        <v>7</v>
      </c>
      <c r="D214" s="108">
        <v>8.3000000000000007</v>
      </c>
      <c r="E214" s="51">
        <v>7</v>
      </c>
      <c r="F214" s="4" t="s">
        <v>90</v>
      </c>
      <c r="G214" s="4" t="s">
        <v>144</v>
      </c>
      <c r="H214" s="48">
        <f>IF(G214&gt;0,VLOOKUP(G214,Apoio!$A$2:$B$25,2,0),"")</f>
        <v>7</v>
      </c>
      <c r="I214" s="44">
        <f t="shared" si="28"/>
        <v>41.325301204819276</v>
      </c>
      <c r="J214" s="98">
        <f t="shared" si="31"/>
        <v>12.397590361445783</v>
      </c>
      <c r="K214" s="406">
        <f t="shared" si="33"/>
        <v>28.927710843373493</v>
      </c>
      <c r="L214" s="103"/>
      <c r="M214" s="103"/>
      <c r="N214" s="10"/>
    </row>
    <row r="215" spans="1:14" x14ac:dyDescent="0.3">
      <c r="A215" s="59" t="s">
        <v>2</v>
      </c>
      <c r="B215" s="58" t="s">
        <v>3</v>
      </c>
      <c r="C215" s="108">
        <v>7</v>
      </c>
      <c r="D215" s="108">
        <v>8.3000000000000007</v>
      </c>
      <c r="E215" s="51">
        <v>7</v>
      </c>
      <c r="F215" s="4" t="s">
        <v>90</v>
      </c>
      <c r="G215" s="4" t="s">
        <v>147</v>
      </c>
      <c r="H215" s="48">
        <f>IF(G215&gt;0,VLOOKUP(G215,Apoio!$A$2:$B$25,2,0),"")</f>
        <v>7</v>
      </c>
      <c r="I215" s="44">
        <f t="shared" si="28"/>
        <v>41.325301204819276</v>
      </c>
      <c r="J215" s="98">
        <f t="shared" si="31"/>
        <v>12.397590361445783</v>
      </c>
      <c r="K215" s="406">
        <f t="shared" si="33"/>
        <v>28.927710843373493</v>
      </c>
      <c r="L215" s="103"/>
      <c r="M215" s="103"/>
      <c r="N215" s="10"/>
    </row>
    <row r="216" spans="1:14" x14ac:dyDescent="0.3">
      <c r="A216" s="59" t="s">
        <v>2</v>
      </c>
      <c r="B216" s="58" t="s">
        <v>3</v>
      </c>
      <c r="C216" s="108">
        <v>7</v>
      </c>
      <c r="D216" s="108">
        <v>8.3000000000000007</v>
      </c>
      <c r="E216" s="51">
        <v>7</v>
      </c>
      <c r="F216" s="4" t="s">
        <v>90</v>
      </c>
      <c r="G216" s="4" t="s">
        <v>150</v>
      </c>
      <c r="H216" s="48">
        <f>IF(G216&gt;0,VLOOKUP(G216,Apoio!$A$2:$B$25,2,0),"")</f>
        <v>8</v>
      </c>
      <c r="I216" s="44">
        <f t="shared" ref="I216:I217" si="34">IF(D216&gt;0,(((H216*E216)*C216)/D216),"")</f>
        <v>47.2289156626506</v>
      </c>
      <c r="J216" s="98">
        <f t="shared" ref="J216:J217" si="35">I216*30%</f>
        <v>14.168674698795179</v>
      </c>
      <c r="K216" s="406">
        <f t="shared" si="33"/>
        <v>33.060240963855421</v>
      </c>
      <c r="L216" s="103"/>
      <c r="M216" s="103"/>
      <c r="N216" s="10"/>
    </row>
    <row r="217" spans="1:14" x14ac:dyDescent="0.3">
      <c r="A217" s="59" t="s">
        <v>2</v>
      </c>
      <c r="B217" s="58" t="s">
        <v>3</v>
      </c>
      <c r="C217" s="108">
        <v>7</v>
      </c>
      <c r="D217" s="108">
        <v>8.3000000000000007</v>
      </c>
      <c r="E217" s="51">
        <v>7</v>
      </c>
      <c r="F217" s="4" t="s">
        <v>90</v>
      </c>
      <c r="G217" s="4" t="s">
        <v>153</v>
      </c>
      <c r="H217" s="48">
        <f>IF(G217&gt;0,VLOOKUP(G217,Apoio!$A$2:$B$25,2,0),"")</f>
        <v>8</v>
      </c>
      <c r="I217" s="44">
        <f t="shared" si="34"/>
        <v>47.2289156626506</v>
      </c>
      <c r="J217" s="98">
        <f t="shared" si="35"/>
        <v>14.168674698795179</v>
      </c>
      <c r="K217" s="406">
        <f t="shared" si="33"/>
        <v>33.060240963855421</v>
      </c>
      <c r="L217" s="103"/>
      <c r="M217" s="103"/>
      <c r="N217" s="10"/>
    </row>
    <row r="218" spans="1:14" x14ac:dyDescent="0.3">
      <c r="A218" s="59" t="s">
        <v>2</v>
      </c>
      <c r="B218" s="58" t="s">
        <v>4</v>
      </c>
      <c r="C218" s="58">
        <v>6</v>
      </c>
      <c r="D218" s="108">
        <v>3.9</v>
      </c>
      <c r="E218" s="51">
        <v>7</v>
      </c>
      <c r="F218" s="4" t="s">
        <v>69</v>
      </c>
      <c r="G218" s="4" t="s">
        <v>68</v>
      </c>
      <c r="H218" s="48">
        <f>IF(G218&gt;0,VLOOKUP(G218,Apoio!$A$2:$B$25,2,0),"")</f>
        <v>7</v>
      </c>
      <c r="I218" s="44">
        <f t="shared" si="28"/>
        <v>75.384615384615387</v>
      </c>
      <c r="J218" s="98">
        <f>I218*30%</f>
        <v>22.615384615384617</v>
      </c>
      <c r="K218" s="103"/>
      <c r="L218" s="103"/>
      <c r="M218" s="103"/>
      <c r="N218" s="10"/>
    </row>
    <row r="219" spans="1:14" x14ac:dyDescent="0.3">
      <c r="A219" s="59" t="s">
        <v>2</v>
      </c>
      <c r="B219" s="58" t="s">
        <v>4</v>
      </c>
      <c r="C219" s="58">
        <v>6</v>
      </c>
      <c r="D219" s="108">
        <v>3.9</v>
      </c>
      <c r="E219" s="51">
        <v>7</v>
      </c>
      <c r="F219" s="4" t="s">
        <v>69</v>
      </c>
      <c r="G219" s="4" t="s">
        <v>75</v>
      </c>
      <c r="H219" s="48">
        <f>IF(G219&gt;0,VLOOKUP(G219,Apoio!$A$2:$B$25,2,0),"")</f>
        <v>8</v>
      </c>
      <c r="I219" s="44">
        <f t="shared" si="28"/>
        <v>86.15384615384616</v>
      </c>
      <c r="J219" s="98">
        <f t="shared" si="31"/>
        <v>25.846153846153847</v>
      </c>
      <c r="K219" s="103"/>
      <c r="L219" s="103"/>
      <c r="M219" s="103"/>
      <c r="N219" s="10"/>
    </row>
    <row r="220" spans="1:14" x14ac:dyDescent="0.3">
      <c r="A220" s="59" t="s">
        <v>2</v>
      </c>
      <c r="B220" s="58" t="s">
        <v>4</v>
      </c>
      <c r="C220" s="58">
        <v>6</v>
      </c>
      <c r="D220" s="108">
        <v>3.9</v>
      </c>
      <c r="E220" s="51">
        <v>7</v>
      </c>
      <c r="F220" s="4" t="s">
        <v>69</v>
      </c>
      <c r="G220" s="4" t="s">
        <v>82</v>
      </c>
      <c r="H220" s="48">
        <f>IF(G220&gt;0,VLOOKUP(G220,Apoio!$A$2:$B$25,2,0),"")</f>
        <v>6</v>
      </c>
      <c r="I220" s="44">
        <f t="shared" si="28"/>
        <v>64.615384615384613</v>
      </c>
      <c r="J220" s="98">
        <f t="shared" si="31"/>
        <v>19.384615384615383</v>
      </c>
      <c r="K220" s="103"/>
      <c r="L220" s="103"/>
      <c r="M220" s="103"/>
      <c r="N220" s="10"/>
    </row>
    <row r="221" spans="1:14" x14ac:dyDescent="0.3">
      <c r="A221" s="59" t="s">
        <v>2</v>
      </c>
      <c r="B221" s="58" t="s">
        <v>4</v>
      </c>
      <c r="C221" s="58">
        <v>6</v>
      </c>
      <c r="D221" s="108">
        <v>3.9</v>
      </c>
      <c r="E221" s="51">
        <v>7</v>
      </c>
      <c r="F221" s="4" t="s">
        <v>69</v>
      </c>
      <c r="G221" s="4" t="s">
        <v>89</v>
      </c>
      <c r="H221" s="48">
        <f>IF(G221&gt;0,VLOOKUP(G221,Apoio!$A$2:$B$25,2,0),"")</f>
        <v>8</v>
      </c>
      <c r="I221" s="44">
        <f t="shared" si="28"/>
        <v>86.15384615384616</v>
      </c>
      <c r="J221" s="98">
        <f t="shared" si="31"/>
        <v>25.846153846153847</v>
      </c>
      <c r="K221" s="103"/>
      <c r="L221" s="103"/>
      <c r="M221" s="103"/>
      <c r="N221" s="10"/>
    </row>
    <row r="222" spans="1:14" x14ac:dyDescent="0.3">
      <c r="A222" s="59" t="s">
        <v>2</v>
      </c>
      <c r="B222" s="58" t="s">
        <v>4</v>
      </c>
      <c r="C222" s="58">
        <v>6</v>
      </c>
      <c r="D222" s="108">
        <v>3.9</v>
      </c>
      <c r="E222" s="51">
        <v>7</v>
      </c>
      <c r="F222" s="4" t="s">
        <v>69</v>
      </c>
      <c r="G222" s="4" t="s">
        <v>96</v>
      </c>
      <c r="H222" s="48">
        <f>IF(G222&gt;0,VLOOKUP(G222,Apoio!$A$2:$B$25,2,0),"")</f>
        <v>8</v>
      </c>
      <c r="I222" s="44">
        <f t="shared" si="28"/>
        <v>86.15384615384616</v>
      </c>
      <c r="J222" s="98">
        <f t="shared" si="31"/>
        <v>25.846153846153847</v>
      </c>
      <c r="K222" s="103"/>
      <c r="L222" s="103"/>
      <c r="M222" s="103"/>
      <c r="N222" s="10"/>
    </row>
    <row r="223" spans="1:14" x14ac:dyDescent="0.3">
      <c r="A223" s="59" t="s">
        <v>2</v>
      </c>
      <c r="B223" s="58" t="s">
        <v>4</v>
      </c>
      <c r="C223" s="58">
        <v>6</v>
      </c>
      <c r="D223" s="108">
        <v>3.9</v>
      </c>
      <c r="E223" s="51">
        <v>7</v>
      </c>
      <c r="F223" s="4" t="s">
        <v>69</v>
      </c>
      <c r="G223" s="4" t="s">
        <v>99</v>
      </c>
      <c r="H223" s="48">
        <f>IF(G223&gt;0,VLOOKUP(G223,Apoio!$A$2:$B$25,2,0),"")</f>
        <v>2</v>
      </c>
      <c r="I223" s="44">
        <f t="shared" si="28"/>
        <v>21.53846153846154</v>
      </c>
      <c r="J223" s="98">
        <f t="shared" si="31"/>
        <v>6.4615384615384617</v>
      </c>
      <c r="K223" s="103"/>
      <c r="L223" s="103"/>
      <c r="M223" s="103"/>
      <c r="N223" s="10"/>
    </row>
    <row r="224" spans="1:14" x14ac:dyDescent="0.3">
      <c r="A224" s="59" t="s">
        <v>2</v>
      </c>
      <c r="B224" s="58" t="s">
        <v>4</v>
      </c>
      <c r="C224" s="58">
        <v>8</v>
      </c>
      <c r="D224" s="108">
        <v>3.9</v>
      </c>
      <c r="E224" s="51">
        <v>7</v>
      </c>
      <c r="F224" s="4" t="s">
        <v>76</v>
      </c>
      <c r="G224" s="4" t="s">
        <v>102</v>
      </c>
      <c r="H224" s="48">
        <f>IF(G224&gt;0,VLOOKUP(G224,Apoio!$A$2:$B$25,2,0),"")</f>
        <v>5</v>
      </c>
      <c r="I224" s="44">
        <f t="shared" si="28"/>
        <v>71.794871794871796</v>
      </c>
      <c r="J224" s="98">
        <f t="shared" ref="J224:J229" si="36">I224*15%</f>
        <v>10.769230769230768</v>
      </c>
      <c r="K224" s="103"/>
      <c r="L224" s="103"/>
      <c r="M224" s="103"/>
      <c r="N224" s="10"/>
    </row>
    <row r="225" spans="1:14" x14ac:dyDescent="0.3">
      <c r="A225" s="59" t="s">
        <v>2</v>
      </c>
      <c r="B225" s="58" t="s">
        <v>4</v>
      </c>
      <c r="C225" s="58">
        <v>8</v>
      </c>
      <c r="D225" s="108">
        <v>3.9</v>
      </c>
      <c r="E225" s="51">
        <v>7</v>
      </c>
      <c r="F225" s="4" t="s">
        <v>76</v>
      </c>
      <c r="G225" s="4" t="s">
        <v>105</v>
      </c>
      <c r="H225" s="48">
        <f>IF(G225&gt;0,VLOOKUP(G225,Apoio!$A$2:$B$25,2,0),"")</f>
        <v>7</v>
      </c>
      <c r="I225" s="44">
        <f t="shared" si="28"/>
        <v>100.51282051282051</v>
      </c>
      <c r="J225" s="98">
        <f t="shared" si="36"/>
        <v>15.076923076923077</v>
      </c>
      <c r="K225" s="103"/>
      <c r="L225" s="103"/>
      <c r="M225" s="103"/>
      <c r="N225" s="10"/>
    </row>
    <row r="226" spans="1:14" x14ac:dyDescent="0.3">
      <c r="A226" s="59" t="s">
        <v>2</v>
      </c>
      <c r="B226" s="58" t="s">
        <v>4</v>
      </c>
      <c r="C226" s="58">
        <v>8</v>
      </c>
      <c r="D226" s="108">
        <v>3.9</v>
      </c>
      <c r="E226" s="51">
        <v>7</v>
      </c>
      <c r="F226" s="4" t="s">
        <v>76</v>
      </c>
      <c r="G226" s="4" t="s">
        <v>108</v>
      </c>
      <c r="H226" s="48">
        <f>IF(G226&gt;0,VLOOKUP(G226,Apoio!$A$2:$B$25,2,0),"")</f>
        <v>8</v>
      </c>
      <c r="I226" s="44">
        <f t="shared" si="28"/>
        <v>114.87179487179488</v>
      </c>
      <c r="J226" s="98">
        <f t="shared" si="36"/>
        <v>17.23076923076923</v>
      </c>
      <c r="K226" s="103"/>
      <c r="L226" s="103"/>
      <c r="M226" s="103"/>
      <c r="N226" s="10"/>
    </row>
    <row r="227" spans="1:14" x14ac:dyDescent="0.3">
      <c r="A227" s="59" t="s">
        <v>2</v>
      </c>
      <c r="B227" s="58" t="s">
        <v>4</v>
      </c>
      <c r="C227" s="58">
        <v>8</v>
      </c>
      <c r="D227" s="108">
        <v>3.9</v>
      </c>
      <c r="E227" s="51">
        <v>7</v>
      </c>
      <c r="F227" s="4" t="s">
        <v>76</v>
      </c>
      <c r="G227" s="4" t="s">
        <v>111</v>
      </c>
      <c r="H227" s="48">
        <f>IF(G227&gt;0,VLOOKUP(G227,Apoio!$A$2:$B$25,2,0),"")</f>
        <v>7</v>
      </c>
      <c r="I227" s="44">
        <f t="shared" si="28"/>
        <v>100.51282051282051</v>
      </c>
      <c r="J227" s="98">
        <f t="shared" si="36"/>
        <v>15.076923076923077</v>
      </c>
      <c r="K227" s="103"/>
      <c r="L227" s="103"/>
      <c r="M227" s="103"/>
      <c r="N227" s="10"/>
    </row>
    <row r="228" spans="1:14" x14ac:dyDescent="0.3">
      <c r="A228" s="59" t="s">
        <v>2</v>
      </c>
      <c r="B228" s="58" t="s">
        <v>4</v>
      </c>
      <c r="C228" s="58">
        <v>8</v>
      </c>
      <c r="D228" s="108">
        <v>3.9</v>
      </c>
      <c r="E228" s="51">
        <v>7</v>
      </c>
      <c r="F228" s="4" t="s">
        <v>76</v>
      </c>
      <c r="G228" s="4" t="s">
        <v>114</v>
      </c>
      <c r="H228" s="48">
        <f>IF(G228&gt;0,VLOOKUP(G228,Apoio!$A$2:$B$25,2,0),"")</f>
        <v>8</v>
      </c>
      <c r="I228" s="44">
        <f t="shared" si="28"/>
        <v>114.87179487179488</v>
      </c>
      <c r="J228" s="98">
        <f t="shared" si="36"/>
        <v>17.23076923076923</v>
      </c>
      <c r="K228" s="103"/>
      <c r="L228" s="103"/>
      <c r="M228" s="103"/>
      <c r="N228" s="10"/>
    </row>
    <row r="229" spans="1:14" x14ac:dyDescent="0.3">
      <c r="A229" s="58" t="s">
        <v>2</v>
      </c>
      <c r="B229" s="58" t="s">
        <v>4</v>
      </c>
      <c r="C229" s="58">
        <v>8</v>
      </c>
      <c r="D229" s="108">
        <v>3.9</v>
      </c>
      <c r="E229" s="51">
        <v>7</v>
      </c>
      <c r="F229" s="4" t="s">
        <v>76</v>
      </c>
      <c r="G229" s="4" t="s">
        <v>117</v>
      </c>
      <c r="H229" s="48">
        <f>IF(G229&gt;0,VLOOKUP(G229,Apoio!$A$2:$B$25,2,0),"")</f>
        <v>3</v>
      </c>
      <c r="I229" s="44">
        <f t="shared" si="28"/>
        <v>43.07692307692308</v>
      </c>
      <c r="J229" s="98">
        <f t="shared" si="36"/>
        <v>6.4615384615384617</v>
      </c>
      <c r="K229" s="103"/>
      <c r="L229" s="103"/>
      <c r="M229" s="103"/>
      <c r="N229" s="10"/>
    </row>
    <row r="230" spans="1:14" x14ac:dyDescent="0.3">
      <c r="A230" s="58" t="s">
        <v>2</v>
      </c>
      <c r="B230" s="58" t="s">
        <v>4</v>
      </c>
      <c r="C230" s="58">
        <v>8</v>
      </c>
      <c r="D230" s="108">
        <v>3.9</v>
      </c>
      <c r="E230" s="51">
        <v>7</v>
      </c>
      <c r="F230" s="4" t="s">
        <v>83</v>
      </c>
      <c r="G230" s="4" t="s">
        <v>120</v>
      </c>
      <c r="H230" s="48">
        <f>IF(G230&gt;0,VLOOKUP(G230,Apoio!$A$2:$B$25,2,0),"")</f>
        <v>7</v>
      </c>
      <c r="I230" s="44">
        <f t="shared" si="28"/>
        <v>100.51282051282051</v>
      </c>
      <c r="J230" s="98">
        <v>16</v>
      </c>
      <c r="K230" s="103"/>
      <c r="L230" s="103"/>
      <c r="M230" s="103" t="s">
        <v>221</v>
      </c>
      <c r="N230" s="10"/>
    </row>
    <row r="231" spans="1:14" x14ac:dyDescent="0.3">
      <c r="A231" s="58" t="s">
        <v>2</v>
      </c>
      <c r="B231" s="58" t="s">
        <v>4</v>
      </c>
      <c r="C231" s="58">
        <v>8</v>
      </c>
      <c r="D231" s="108">
        <v>3.9</v>
      </c>
      <c r="E231" s="51">
        <v>7</v>
      </c>
      <c r="F231" s="4" t="s">
        <v>83</v>
      </c>
      <c r="G231" s="4" t="s">
        <v>123</v>
      </c>
      <c r="H231" s="48">
        <f>IF(G231&gt;0,VLOOKUP(G231,Apoio!$A$2:$B$25,2,0),"")</f>
        <v>8</v>
      </c>
      <c r="I231" s="44">
        <f t="shared" si="28"/>
        <v>114.87179487179488</v>
      </c>
      <c r="J231" s="98">
        <v>21</v>
      </c>
      <c r="K231" s="103"/>
      <c r="L231" s="103"/>
      <c r="M231" s="103" t="s">
        <v>221</v>
      </c>
      <c r="N231" s="10"/>
    </row>
    <row r="232" spans="1:14" x14ac:dyDescent="0.3">
      <c r="A232" s="58" t="s">
        <v>2</v>
      </c>
      <c r="B232" s="58" t="s">
        <v>4</v>
      </c>
      <c r="C232" s="58">
        <v>8</v>
      </c>
      <c r="D232" s="108">
        <v>3.9</v>
      </c>
      <c r="E232" s="51">
        <v>7</v>
      </c>
      <c r="F232" s="4" t="s">
        <v>83</v>
      </c>
      <c r="G232" s="4" t="s">
        <v>126</v>
      </c>
      <c r="H232" s="48">
        <f>IF(G232&gt;0,VLOOKUP(G232,Apoio!$A$2:$B$25,2,0),"")</f>
        <v>8</v>
      </c>
      <c r="I232" s="44">
        <f t="shared" si="28"/>
        <v>114.87179487179488</v>
      </c>
      <c r="J232" s="98">
        <v>25</v>
      </c>
      <c r="K232" s="103"/>
      <c r="L232" s="103"/>
      <c r="M232" s="103" t="s">
        <v>221</v>
      </c>
      <c r="N232" s="10"/>
    </row>
    <row r="233" spans="1:14" x14ac:dyDescent="0.3">
      <c r="A233" s="58" t="s">
        <v>2</v>
      </c>
      <c r="B233" s="58" t="s">
        <v>4</v>
      </c>
      <c r="C233" s="58">
        <v>8</v>
      </c>
      <c r="D233" s="108">
        <v>3.9</v>
      </c>
      <c r="E233" s="51">
        <v>7</v>
      </c>
      <c r="F233" s="4" t="s">
        <v>83</v>
      </c>
      <c r="G233" s="4" t="s">
        <v>129</v>
      </c>
      <c r="H233" s="48">
        <f>IF(G233&gt;0,VLOOKUP(G233,Apoio!$A$2:$B$25,2,0),"")</f>
        <v>8</v>
      </c>
      <c r="I233" s="44">
        <f t="shared" si="28"/>
        <v>114.87179487179488</v>
      </c>
      <c r="J233" s="98">
        <v>30</v>
      </c>
      <c r="K233" s="103"/>
      <c r="L233" s="103"/>
      <c r="M233" s="103" t="s">
        <v>221</v>
      </c>
      <c r="N233" s="10"/>
    </row>
    <row r="234" spans="1:14" x14ac:dyDescent="0.3">
      <c r="A234" s="58" t="s">
        <v>2</v>
      </c>
      <c r="B234" s="58" t="s">
        <v>4</v>
      </c>
      <c r="C234" s="58">
        <v>8</v>
      </c>
      <c r="D234" s="108">
        <v>3.9</v>
      </c>
      <c r="E234" s="51">
        <v>7</v>
      </c>
      <c r="F234" s="4" t="s">
        <v>83</v>
      </c>
      <c r="G234" s="4" t="s">
        <v>132</v>
      </c>
      <c r="H234" s="48">
        <f>IF(G234&gt;0,VLOOKUP(G234,Apoio!$A$2:$B$25,2,0),"")</f>
        <v>7</v>
      </c>
      <c r="I234" s="44">
        <f t="shared" si="28"/>
        <v>100.51282051282051</v>
      </c>
      <c r="J234" s="98">
        <v>10</v>
      </c>
      <c r="K234" s="103"/>
      <c r="L234" s="103"/>
      <c r="M234" s="103" t="s">
        <v>221</v>
      </c>
      <c r="N234" s="10"/>
    </row>
    <row r="235" spans="1:14" x14ac:dyDescent="0.3">
      <c r="A235" s="59" t="s">
        <v>2</v>
      </c>
      <c r="B235" s="58" t="s">
        <v>4</v>
      </c>
      <c r="C235" s="58">
        <v>8</v>
      </c>
      <c r="D235" s="108">
        <v>3.9</v>
      </c>
      <c r="E235" s="51">
        <v>7</v>
      </c>
      <c r="F235" s="4" t="s">
        <v>83</v>
      </c>
      <c r="G235" s="4" t="s">
        <v>135</v>
      </c>
      <c r="H235" s="48">
        <f>IF(G235&gt;0,VLOOKUP(G235,Apoio!$A$2:$B$25,2,0),"")</f>
        <v>3</v>
      </c>
      <c r="I235" s="44">
        <f t="shared" si="28"/>
        <v>43.07692307692308</v>
      </c>
      <c r="J235" s="98">
        <f t="shared" si="31"/>
        <v>12.923076923076923</v>
      </c>
      <c r="K235" s="103"/>
      <c r="L235" s="103"/>
      <c r="M235" s="103"/>
      <c r="N235" s="10"/>
    </row>
    <row r="236" spans="1:14" x14ac:dyDescent="0.3">
      <c r="A236" s="59" t="s">
        <v>2</v>
      </c>
      <c r="B236" s="58" t="s">
        <v>4</v>
      </c>
      <c r="C236" s="108">
        <v>8</v>
      </c>
      <c r="D236" s="108">
        <v>3.9</v>
      </c>
      <c r="E236" s="51">
        <v>7</v>
      </c>
      <c r="F236" s="4" t="s">
        <v>90</v>
      </c>
      <c r="G236" s="4" t="s">
        <v>138</v>
      </c>
      <c r="H236" s="48">
        <f>IF(G236&gt;0,VLOOKUP(G236,Apoio!$A$2:$B$25,2,0),"")</f>
        <v>8</v>
      </c>
      <c r="I236" s="44">
        <f t="shared" si="28"/>
        <v>114.87179487179488</v>
      </c>
      <c r="J236" s="98">
        <f t="shared" si="31"/>
        <v>34.46153846153846</v>
      </c>
      <c r="K236" s="406">
        <f t="shared" ref="K236:K241" si="37">I236-J236</f>
        <v>80.410256410256409</v>
      </c>
      <c r="L236" s="103"/>
      <c r="M236" s="103"/>
      <c r="N236" s="10"/>
    </row>
    <row r="237" spans="1:14" x14ac:dyDescent="0.3">
      <c r="A237" s="59" t="s">
        <v>2</v>
      </c>
      <c r="B237" s="58" t="s">
        <v>4</v>
      </c>
      <c r="C237" s="108">
        <v>8</v>
      </c>
      <c r="D237" s="108">
        <v>3.9</v>
      </c>
      <c r="E237" s="51">
        <v>7</v>
      </c>
      <c r="F237" s="4" t="s">
        <v>90</v>
      </c>
      <c r="G237" s="4" t="s">
        <v>141</v>
      </c>
      <c r="H237" s="48">
        <f>IF(G237&gt;0,VLOOKUP(G237,Apoio!$A$2:$B$25,2,0),"")</f>
        <v>7</v>
      </c>
      <c r="I237" s="44">
        <f t="shared" ref="I237:I279" si="38">IF(D237&gt;0,(((H237*E237)*C237)/D237),"")</f>
        <v>100.51282051282051</v>
      </c>
      <c r="J237" s="98">
        <f t="shared" si="31"/>
        <v>30.153846153846153</v>
      </c>
      <c r="K237" s="406">
        <f t="shared" si="37"/>
        <v>70.358974358974365</v>
      </c>
      <c r="L237" s="103"/>
      <c r="M237" s="103"/>
      <c r="N237" s="10"/>
    </row>
    <row r="238" spans="1:14" x14ac:dyDescent="0.3">
      <c r="A238" s="59" t="s">
        <v>2</v>
      </c>
      <c r="B238" s="58" t="s">
        <v>4</v>
      </c>
      <c r="C238" s="108">
        <v>8</v>
      </c>
      <c r="D238" s="108">
        <v>3.9</v>
      </c>
      <c r="E238" s="51">
        <v>7</v>
      </c>
      <c r="F238" s="4" t="s">
        <v>90</v>
      </c>
      <c r="G238" s="4" t="s">
        <v>144</v>
      </c>
      <c r="H238" s="48">
        <f>IF(G238&gt;0,VLOOKUP(G238,Apoio!$A$2:$B$25,2,0),"")</f>
        <v>7</v>
      </c>
      <c r="I238" s="44">
        <f t="shared" si="38"/>
        <v>100.51282051282051</v>
      </c>
      <c r="J238" s="98">
        <f t="shared" si="31"/>
        <v>30.153846153846153</v>
      </c>
      <c r="K238" s="406">
        <f t="shared" si="37"/>
        <v>70.358974358974365</v>
      </c>
      <c r="L238" s="103"/>
      <c r="M238" s="103"/>
      <c r="N238" s="10"/>
    </row>
    <row r="239" spans="1:14" x14ac:dyDescent="0.3">
      <c r="A239" s="59" t="s">
        <v>2</v>
      </c>
      <c r="B239" s="58" t="s">
        <v>4</v>
      </c>
      <c r="C239" s="108">
        <v>8</v>
      </c>
      <c r="D239" s="108">
        <v>3.9</v>
      </c>
      <c r="E239" s="51">
        <v>7</v>
      </c>
      <c r="F239" s="4" t="s">
        <v>90</v>
      </c>
      <c r="G239" s="4" t="s">
        <v>147</v>
      </c>
      <c r="H239" s="48">
        <f>IF(G239&gt;0,VLOOKUP(G239,Apoio!$A$2:$B$25,2,0),"")</f>
        <v>7</v>
      </c>
      <c r="I239" s="44">
        <f t="shared" si="38"/>
        <v>100.51282051282051</v>
      </c>
      <c r="J239" s="98">
        <f t="shared" si="31"/>
        <v>30.153846153846153</v>
      </c>
      <c r="K239" s="406">
        <f t="shared" si="37"/>
        <v>70.358974358974365</v>
      </c>
      <c r="L239" s="103"/>
      <c r="M239" s="103"/>
      <c r="N239" s="10"/>
    </row>
    <row r="240" spans="1:14" x14ac:dyDescent="0.3">
      <c r="A240" s="59" t="s">
        <v>2</v>
      </c>
      <c r="B240" s="58" t="s">
        <v>4</v>
      </c>
      <c r="C240" s="108">
        <v>8</v>
      </c>
      <c r="D240" s="108">
        <v>3.9</v>
      </c>
      <c r="E240" s="51">
        <v>7</v>
      </c>
      <c r="F240" s="4" t="s">
        <v>90</v>
      </c>
      <c r="G240" s="4" t="s">
        <v>150</v>
      </c>
      <c r="H240" s="48">
        <f>IF(G240&gt;0,VLOOKUP(G240,Apoio!$A$2:$B$25,2,0),"")</f>
        <v>8</v>
      </c>
      <c r="I240" s="44">
        <f t="shared" si="38"/>
        <v>114.87179487179488</v>
      </c>
      <c r="J240" s="98">
        <f t="shared" si="31"/>
        <v>34.46153846153846</v>
      </c>
      <c r="K240" s="406">
        <f t="shared" si="37"/>
        <v>80.410256410256409</v>
      </c>
      <c r="L240" s="103"/>
      <c r="M240" s="103"/>
      <c r="N240" s="10"/>
    </row>
    <row r="241" spans="1:14" x14ac:dyDescent="0.3">
      <c r="A241" s="59" t="s">
        <v>2</v>
      </c>
      <c r="B241" s="58" t="s">
        <v>4</v>
      </c>
      <c r="C241" s="108">
        <v>8</v>
      </c>
      <c r="D241" s="108">
        <v>3.9</v>
      </c>
      <c r="E241" s="51">
        <v>7</v>
      </c>
      <c r="F241" s="4" t="s">
        <v>90</v>
      </c>
      <c r="G241" s="4" t="s">
        <v>153</v>
      </c>
      <c r="H241" s="48">
        <f>IF(G241&gt;0,VLOOKUP(G241,Apoio!$A$2:$B$25,2,0),"")</f>
        <v>8</v>
      </c>
      <c r="I241" s="44">
        <f t="shared" ref="I241" si="39">IF(D241&gt;0,(((H241*E241)*C241)/D241),"")</f>
        <v>114.87179487179488</v>
      </c>
      <c r="J241" s="98">
        <f t="shared" ref="J241" si="40">I241*30%</f>
        <v>34.46153846153846</v>
      </c>
      <c r="K241" s="406">
        <f t="shared" si="37"/>
        <v>80.410256410256409</v>
      </c>
      <c r="L241" s="103"/>
      <c r="M241" s="103"/>
      <c r="N241" s="10"/>
    </row>
    <row r="242" spans="1:14" x14ac:dyDescent="0.3">
      <c r="A242" s="59" t="s">
        <v>2</v>
      </c>
      <c r="B242" s="58" t="s">
        <v>5</v>
      </c>
      <c r="C242" s="58">
        <v>6</v>
      </c>
      <c r="D242" s="108">
        <v>5.8</v>
      </c>
      <c r="E242" s="51">
        <v>7</v>
      </c>
      <c r="F242" s="4" t="s">
        <v>69</v>
      </c>
      <c r="G242" s="4" t="s">
        <v>68</v>
      </c>
      <c r="H242" s="48">
        <f>IF(G242&gt;0,VLOOKUP(G242,Apoio!$A$2:$B$25,2,0),"")</f>
        <v>7</v>
      </c>
      <c r="I242" s="44">
        <f t="shared" si="38"/>
        <v>50.689655172413794</v>
      </c>
      <c r="J242" s="98">
        <f>I242*15%</f>
        <v>7.6034482758620685</v>
      </c>
      <c r="K242" s="103"/>
      <c r="L242" s="103"/>
      <c r="M242" s="103"/>
      <c r="N242" s="10"/>
    </row>
    <row r="243" spans="1:14" x14ac:dyDescent="0.3">
      <c r="A243" s="59" t="s">
        <v>2</v>
      </c>
      <c r="B243" s="58" t="s">
        <v>5</v>
      </c>
      <c r="C243" s="58">
        <v>6</v>
      </c>
      <c r="D243" s="108">
        <v>5.8</v>
      </c>
      <c r="E243" s="51">
        <v>7</v>
      </c>
      <c r="F243" s="4" t="s">
        <v>69</v>
      </c>
      <c r="G243" s="4" t="s">
        <v>75</v>
      </c>
      <c r="H243" s="48">
        <f>IF(G243&gt;0,VLOOKUP(G243,Apoio!$A$2:$B$25,2,0),"")</f>
        <v>8</v>
      </c>
      <c r="I243" s="44">
        <f t="shared" si="38"/>
        <v>57.931034482758619</v>
      </c>
      <c r="J243" s="98">
        <f t="shared" ref="J243:J264" si="41">I243*15%</f>
        <v>8.6896551724137918</v>
      </c>
      <c r="K243" s="103"/>
      <c r="L243" s="103"/>
      <c r="M243" s="103"/>
      <c r="N243" s="10"/>
    </row>
    <row r="244" spans="1:14" x14ac:dyDescent="0.3">
      <c r="A244" s="59" t="s">
        <v>2</v>
      </c>
      <c r="B244" s="58" t="s">
        <v>5</v>
      </c>
      <c r="C244" s="58">
        <v>6</v>
      </c>
      <c r="D244" s="108">
        <v>5.8</v>
      </c>
      <c r="E244" s="51">
        <v>7</v>
      </c>
      <c r="F244" s="4" t="s">
        <v>69</v>
      </c>
      <c r="G244" s="4" t="s">
        <v>82</v>
      </c>
      <c r="H244" s="48">
        <f>IF(G244&gt;0,VLOOKUP(G244,Apoio!$A$2:$B$25,2,0),"")</f>
        <v>6</v>
      </c>
      <c r="I244" s="44">
        <f t="shared" si="38"/>
        <v>43.448275862068968</v>
      </c>
      <c r="J244" s="98">
        <f t="shared" si="41"/>
        <v>6.5172413793103452</v>
      </c>
      <c r="K244" s="103"/>
      <c r="L244" s="103"/>
      <c r="M244" s="103"/>
      <c r="N244" s="10"/>
    </row>
    <row r="245" spans="1:14" x14ac:dyDescent="0.3">
      <c r="A245" s="59" t="s">
        <v>2</v>
      </c>
      <c r="B245" s="58" t="s">
        <v>5</v>
      </c>
      <c r="C245" s="58">
        <v>6</v>
      </c>
      <c r="D245" s="108">
        <v>5.8</v>
      </c>
      <c r="E245" s="51">
        <v>7</v>
      </c>
      <c r="F245" s="4" t="s">
        <v>69</v>
      </c>
      <c r="G245" s="4" t="s">
        <v>89</v>
      </c>
      <c r="H245" s="48">
        <f>IF(G245&gt;0,VLOOKUP(G245,Apoio!$A$2:$B$25,2,0),"")</f>
        <v>8</v>
      </c>
      <c r="I245" s="44">
        <f t="shared" si="38"/>
        <v>57.931034482758619</v>
      </c>
      <c r="J245" s="98">
        <f t="shared" si="41"/>
        <v>8.6896551724137918</v>
      </c>
      <c r="K245" s="103"/>
      <c r="L245" s="103"/>
      <c r="M245" s="103"/>
      <c r="N245" s="10"/>
    </row>
    <row r="246" spans="1:14" x14ac:dyDescent="0.3">
      <c r="A246" s="59" t="s">
        <v>2</v>
      </c>
      <c r="B246" s="58" t="s">
        <v>5</v>
      </c>
      <c r="C246" s="58">
        <v>6</v>
      </c>
      <c r="D246" s="108">
        <v>5.8</v>
      </c>
      <c r="E246" s="51">
        <v>7</v>
      </c>
      <c r="F246" s="4" t="s">
        <v>69</v>
      </c>
      <c r="G246" s="4" t="s">
        <v>96</v>
      </c>
      <c r="H246" s="48">
        <f>IF(G246&gt;0,VLOOKUP(G246,Apoio!$A$2:$B$25,2,0),"")</f>
        <v>8</v>
      </c>
      <c r="I246" s="44">
        <f t="shared" si="38"/>
        <v>57.931034482758619</v>
      </c>
      <c r="J246" s="98">
        <f t="shared" si="41"/>
        <v>8.6896551724137918</v>
      </c>
      <c r="K246" s="103"/>
      <c r="L246" s="103"/>
      <c r="M246" s="103"/>
      <c r="N246" s="10"/>
    </row>
    <row r="247" spans="1:14" x14ac:dyDescent="0.3">
      <c r="A247" s="59" t="s">
        <v>2</v>
      </c>
      <c r="B247" s="58" t="s">
        <v>5</v>
      </c>
      <c r="C247" s="58">
        <v>6</v>
      </c>
      <c r="D247" s="108">
        <v>5.8</v>
      </c>
      <c r="E247" s="51">
        <v>7</v>
      </c>
      <c r="F247" s="4" t="s">
        <v>69</v>
      </c>
      <c r="G247" s="4" t="s">
        <v>99</v>
      </c>
      <c r="H247" s="48">
        <f>IF(G247&gt;0,VLOOKUP(G247,Apoio!$A$2:$B$25,2,0),"")</f>
        <v>2</v>
      </c>
      <c r="I247" s="44">
        <f t="shared" si="38"/>
        <v>14.482758620689655</v>
      </c>
      <c r="J247" s="98">
        <f t="shared" si="41"/>
        <v>2.172413793103448</v>
      </c>
      <c r="K247" s="103"/>
      <c r="L247" s="103"/>
      <c r="M247" s="103"/>
      <c r="N247" s="10"/>
    </row>
    <row r="248" spans="1:14" x14ac:dyDescent="0.3">
      <c r="A248" s="59" t="s">
        <v>2</v>
      </c>
      <c r="B248" s="58" t="s">
        <v>5</v>
      </c>
      <c r="C248" s="58">
        <v>6</v>
      </c>
      <c r="D248" s="108">
        <v>5.8</v>
      </c>
      <c r="E248" s="51">
        <v>7</v>
      </c>
      <c r="F248" s="4" t="s">
        <v>76</v>
      </c>
      <c r="G248" s="4" t="s">
        <v>102</v>
      </c>
      <c r="H248" s="48">
        <f>IF(G248&gt;0,VLOOKUP(G248,Apoio!$A$2:$B$25,2,0),"")</f>
        <v>5</v>
      </c>
      <c r="I248" s="44">
        <f t="shared" si="38"/>
        <v>36.206896551724142</v>
      </c>
      <c r="J248" s="98">
        <f t="shared" si="41"/>
        <v>5.431034482758621</v>
      </c>
      <c r="K248" s="103"/>
      <c r="L248" s="103"/>
      <c r="M248" s="103"/>
      <c r="N248" s="10"/>
    </row>
    <row r="249" spans="1:14" x14ac:dyDescent="0.3">
      <c r="A249" s="59" t="s">
        <v>2</v>
      </c>
      <c r="B249" s="58" t="s">
        <v>5</v>
      </c>
      <c r="C249" s="58">
        <v>6</v>
      </c>
      <c r="D249" s="108">
        <v>5.8</v>
      </c>
      <c r="E249" s="51">
        <v>7</v>
      </c>
      <c r="F249" s="4" t="s">
        <v>76</v>
      </c>
      <c r="G249" s="4" t="s">
        <v>105</v>
      </c>
      <c r="H249" s="48">
        <f>IF(G249&gt;0,VLOOKUP(G249,Apoio!$A$2:$B$25,2,0),"")</f>
        <v>7</v>
      </c>
      <c r="I249" s="44">
        <f t="shared" si="38"/>
        <v>50.689655172413794</v>
      </c>
      <c r="J249" s="98">
        <f t="shared" si="41"/>
        <v>7.6034482758620685</v>
      </c>
      <c r="K249" s="103"/>
      <c r="L249" s="103"/>
      <c r="M249" s="103"/>
      <c r="N249" s="10"/>
    </row>
    <row r="250" spans="1:14" x14ac:dyDescent="0.3">
      <c r="A250" s="59" t="s">
        <v>2</v>
      </c>
      <c r="B250" s="58" t="s">
        <v>5</v>
      </c>
      <c r="C250" s="58">
        <v>6</v>
      </c>
      <c r="D250" s="108">
        <v>5.8</v>
      </c>
      <c r="E250" s="51">
        <v>7</v>
      </c>
      <c r="F250" s="4" t="s">
        <v>76</v>
      </c>
      <c r="G250" s="4" t="s">
        <v>108</v>
      </c>
      <c r="H250" s="48">
        <f>IF(G250&gt;0,VLOOKUP(G250,Apoio!$A$2:$B$25,2,0),"")</f>
        <v>8</v>
      </c>
      <c r="I250" s="44">
        <f t="shared" si="38"/>
        <v>57.931034482758619</v>
      </c>
      <c r="J250" s="98">
        <f t="shared" si="41"/>
        <v>8.6896551724137918</v>
      </c>
      <c r="K250" s="103"/>
      <c r="L250" s="103"/>
      <c r="M250" s="103"/>
      <c r="N250" s="10"/>
    </row>
    <row r="251" spans="1:14" x14ac:dyDescent="0.3">
      <c r="A251" s="59" t="s">
        <v>2</v>
      </c>
      <c r="B251" s="58" t="s">
        <v>5</v>
      </c>
      <c r="C251" s="58">
        <v>6</v>
      </c>
      <c r="D251" s="108">
        <v>5.8</v>
      </c>
      <c r="E251" s="51">
        <v>7</v>
      </c>
      <c r="F251" s="4" t="s">
        <v>76</v>
      </c>
      <c r="G251" s="4" t="s">
        <v>111</v>
      </c>
      <c r="H251" s="48">
        <f>IF(G251&gt;0,VLOOKUP(G251,Apoio!$A$2:$B$25,2,0),"")</f>
        <v>7</v>
      </c>
      <c r="I251" s="44">
        <f t="shared" si="38"/>
        <v>50.689655172413794</v>
      </c>
      <c r="J251" s="98">
        <f t="shared" si="41"/>
        <v>7.6034482758620685</v>
      </c>
      <c r="K251" s="103"/>
      <c r="L251" s="103"/>
      <c r="M251" s="103"/>
      <c r="N251" s="10"/>
    </row>
    <row r="252" spans="1:14" x14ac:dyDescent="0.3">
      <c r="A252" s="59" t="s">
        <v>2</v>
      </c>
      <c r="B252" s="58" t="s">
        <v>5</v>
      </c>
      <c r="C252" s="58">
        <v>6</v>
      </c>
      <c r="D252" s="108">
        <v>5.8</v>
      </c>
      <c r="E252" s="51">
        <v>7</v>
      </c>
      <c r="F252" s="4" t="s">
        <v>76</v>
      </c>
      <c r="G252" s="4" t="s">
        <v>114</v>
      </c>
      <c r="H252" s="48">
        <f>IF(G252&gt;0,VLOOKUP(G252,Apoio!$A$2:$B$25,2,0),"")</f>
        <v>8</v>
      </c>
      <c r="I252" s="44">
        <f t="shared" si="38"/>
        <v>57.931034482758619</v>
      </c>
      <c r="J252" s="98">
        <f t="shared" si="41"/>
        <v>8.6896551724137918</v>
      </c>
      <c r="K252" s="103"/>
      <c r="L252" s="103"/>
      <c r="M252" s="103"/>
      <c r="N252" s="10"/>
    </row>
    <row r="253" spans="1:14" x14ac:dyDescent="0.3">
      <c r="A253" s="58" t="s">
        <v>2</v>
      </c>
      <c r="B253" s="58" t="s">
        <v>5</v>
      </c>
      <c r="C253" s="58">
        <v>6</v>
      </c>
      <c r="D253" s="108">
        <v>5.8</v>
      </c>
      <c r="E253" s="51">
        <v>7</v>
      </c>
      <c r="F253" s="4" t="s">
        <v>76</v>
      </c>
      <c r="G253" s="4" t="s">
        <v>117</v>
      </c>
      <c r="H253" s="48">
        <f>IF(G253&gt;0,VLOOKUP(G253,Apoio!$A$2:$B$25,2,0),"")</f>
        <v>3</v>
      </c>
      <c r="I253" s="44">
        <f t="shared" si="38"/>
        <v>21.724137931034484</v>
      </c>
      <c r="J253" s="98">
        <f t="shared" si="41"/>
        <v>3.2586206896551726</v>
      </c>
      <c r="K253" s="103"/>
      <c r="L253" s="103"/>
      <c r="M253" s="103"/>
      <c r="N253" s="10"/>
    </row>
    <row r="254" spans="1:14" x14ac:dyDescent="0.3">
      <c r="A254" s="58" t="s">
        <v>2</v>
      </c>
      <c r="B254" s="58" t="s">
        <v>5</v>
      </c>
      <c r="C254" s="58">
        <v>6</v>
      </c>
      <c r="D254" s="108">
        <v>5.8</v>
      </c>
      <c r="E254" s="51">
        <v>7</v>
      </c>
      <c r="F254" s="4" t="s">
        <v>83</v>
      </c>
      <c r="G254" s="4" t="s">
        <v>120</v>
      </c>
      <c r="H254" s="48">
        <f>IF(G254&gt;0,VLOOKUP(G254,Apoio!$A$2:$B$25,2,0),"")</f>
        <v>7</v>
      </c>
      <c r="I254" s="44">
        <f t="shared" si="38"/>
        <v>50.689655172413794</v>
      </c>
      <c r="J254" s="98">
        <v>7</v>
      </c>
      <c r="K254" s="103"/>
      <c r="L254" s="103"/>
      <c r="M254" s="103" t="s">
        <v>221</v>
      </c>
      <c r="N254" s="10"/>
    </row>
    <row r="255" spans="1:14" x14ac:dyDescent="0.3">
      <c r="A255" s="58" t="s">
        <v>2</v>
      </c>
      <c r="B255" s="58" t="s">
        <v>5</v>
      </c>
      <c r="C255" s="58">
        <v>6</v>
      </c>
      <c r="D255" s="108">
        <v>5.8</v>
      </c>
      <c r="E255" s="51">
        <v>7</v>
      </c>
      <c r="F255" s="4" t="s">
        <v>83</v>
      </c>
      <c r="G255" s="4" t="s">
        <v>123</v>
      </c>
      <c r="H255" s="48">
        <f>IF(G255&gt;0,VLOOKUP(G255,Apoio!$A$2:$B$25,2,0),"")</f>
        <v>8</v>
      </c>
      <c r="I255" s="44">
        <f t="shared" si="38"/>
        <v>57.931034482758619</v>
      </c>
      <c r="J255" s="98">
        <v>6</v>
      </c>
      <c r="K255" s="103"/>
      <c r="L255" s="103"/>
      <c r="M255" s="103" t="s">
        <v>221</v>
      </c>
      <c r="N255" s="10"/>
    </row>
    <row r="256" spans="1:14" x14ac:dyDescent="0.3">
      <c r="A256" s="58" t="s">
        <v>2</v>
      </c>
      <c r="B256" s="58" t="s">
        <v>5</v>
      </c>
      <c r="C256" s="58">
        <v>6</v>
      </c>
      <c r="D256" s="108">
        <v>5.8</v>
      </c>
      <c r="E256" s="51">
        <v>7</v>
      </c>
      <c r="F256" s="4" t="s">
        <v>83</v>
      </c>
      <c r="G256" s="4" t="s">
        <v>126</v>
      </c>
      <c r="H256" s="48">
        <f>IF(G256&gt;0,VLOOKUP(G256,Apoio!$A$2:$B$25,2,0),"")</f>
        <v>8</v>
      </c>
      <c r="I256" s="44">
        <f t="shared" si="38"/>
        <v>57.931034482758619</v>
      </c>
      <c r="J256" s="98">
        <v>7</v>
      </c>
      <c r="K256" s="103"/>
      <c r="L256" s="103"/>
      <c r="M256" s="103" t="s">
        <v>221</v>
      </c>
      <c r="N256" s="10"/>
    </row>
    <row r="257" spans="1:14" x14ac:dyDescent="0.3">
      <c r="A257" s="58" t="s">
        <v>2</v>
      </c>
      <c r="B257" s="58" t="s">
        <v>5</v>
      </c>
      <c r="C257" s="58">
        <v>6</v>
      </c>
      <c r="D257" s="108">
        <v>5.8</v>
      </c>
      <c r="E257" s="51">
        <v>7</v>
      </c>
      <c r="F257" s="4" t="s">
        <v>83</v>
      </c>
      <c r="G257" s="4" t="s">
        <v>129</v>
      </c>
      <c r="H257" s="48">
        <f>IF(G257&gt;0,VLOOKUP(G257,Apoio!$A$2:$B$25,2,0),"")</f>
        <v>8</v>
      </c>
      <c r="I257" s="44">
        <f t="shared" si="38"/>
        <v>57.931034482758619</v>
      </c>
      <c r="J257" s="98">
        <v>13</v>
      </c>
      <c r="K257" s="103"/>
      <c r="L257" s="103"/>
      <c r="M257" s="103" t="s">
        <v>221</v>
      </c>
      <c r="N257" s="10"/>
    </row>
    <row r="258" spans="1:14" x14ac:dyDescent="0.3">
      <c r="A258" s="58" t="s">
        <v>2</v>
      </c>
      <c r="B258" s="58" t="s">
        <v>5</v>
      </c>
      <c r="C258" s="58">
        <v>6</v>
      </c>
      <c r="D258" s="108">
        <v>5.8</v>
      </c>
      <c r="E258" s="51">
        <v>7</v>
      </c>
      <c r="F258" s="4" t="s">
        <v>83</v>
      </c>
      <c r="G258" s="4" t="s">
        <v>132</v>
      </c>
      <c r="H258" s="48">
        <f>IF(G258&gt;0,VLOOKUP(G258,Apoio!$A$2:$B$25,2,0),"")</f>
        <v>7</v>
      </c>
      <c r="I258" s="44">
        <f t="shared" si="38"/>
        <v>50.689655172413794</v>
      </c>
      <c r="J258" s="98">
        <v>5</v>
      </c>
      <c r="K258" s="103"/>
      <c r="L258" s="103"/>
      <c r="M258" s="103" t="s">
        <v>221</v>
      </c>
      <c r="N258" s="10"/>
    </row>
    <row r="259" spans="1:14" x14ac:dyDescent="0.3">
      <c r="A259" s="59" t="s">
        <v>2</v>
      </c>
      <c r="B259" s="58" t="s">
        <v>5</v>
      </c>
      <c r="C259" s="58">
        <v>6</v>
      </c>
      <c r="D259" s="108">
        <v>5.8</v>
      </c>
      <c r="E259" s="51">
        <v>7</v>
      </c>
      <c r="F259" s="4" t="s">
        <v>83</v>
      </c>
      <c r="G259" s="4" t="s">
        <v>135</v>
      </c>
      <c r="H259" s="48">
        <f>IF(G259&gt;0,VLOOKUP(G259,Apoio!$A$2:$B$25,2,0),"")</f>
        <v>3</v>
      </c>
      <c r="I259" s="44">
        <f t="shared" si="38"/>
        <v>21.724137931034484</v>
      </c>
      <c r="J259" s="98">
        <f t="shared" si="41"/>
        <v>3.2586206896551726</v>
      </c>
      <c r="K259" s="103"/>
      <c r="L259" s="103"/>
      <c r="M259" s="103"/>
      <c r="N259" s="10"/>
    </row>
    <row r="260" spans="1:14" x14ac:dyDescent="0.3">
      <c r="A260" s="59" t="s">
        <v>2</v>
      </c>
      <c r="B260" s="60" t="s">
        <v>5</v>
      </c>
      <c r="C260" s="108">
        <v>6</v>
      </c>
      <c r="D260" s="108">
        <v>5.8</v>
      </c>
      <c r="E260" s="51">
        <v>7</v>
      </c>
      <c r="F260" s="4" t="s">
        <v>90</v>
      </c>
      <c r="G260" s="4" t="s">
        <v>138</v>
      </c>
      <c r="H260" s="48">
        <f>IF(G260&gt;0,VLOOKUP(G260,Apoio!$A$2:$B$25,2,0),"")</f>
        <v>8</v>
      </c>
      <c r="I260" s="44">
        <f t="shared" si="38"/>
        <v>57.931034482758619</v>
      </c>
      <c r="J260" s="98">
        <f t="shared" si="41"/>
        <v>8.6896551724137918</v>
      </c>
      <c r="K260" s="406">
        <f t="shared" ref="K260:K265" si="42">I260-J260</f>
        <v>49.241379310344826</v>
      </c>
      <c r="L260" s="103"/>
      <c r="M260" s="103"/>
      <c r="N260" s="10"/>
    </row>
    <row r="261" spans="1:14" x14ac:dyDescent="0.3">
      <c r="A261" s="59" t="s">
        <v>2</v>
      </c>
      <c r="B261" s="60" t="s">
        <v>5</v>
      </c>
      <c r="C261" s="108">
        <v>6</v>
      </c>
      <c r="D261" s="108">
        <v>5.8</v>
      </c>
      <c r="E261" s="51">
        <v>7</v>
      </c>
      <c r="F261" s="4" t="s">
        <v>90</v>
      </c>
      <c r="G261" s="4" t="s">
        <v>141</v>
      </c>
      <c r="H261" s="48">
        <f>IF(G261&gt;0,VLOOKUP(G261,Apoio!$A$2:$B$25,2,0),"")</f>
        <v>7</v>
      </c>
      <c r="I261" s="44">
        <f t="shared" si="38"/>
        <v>50.689655172413794</v>
      </c>
      <c r="J261" s="98">
        <f t="shared" si="41"/>
        <v>7.6034482758620685</v>
      </c>
      <c r="K261" s="406">
        <f t="shared" si="42"/>
        <v>43.086206896551722</v>
      </c>
      <c r="L261" s="103"/>
      <c r="M261" s="103"/>
      <c r="N261" s="10"/>
    </row>
    <row r="262" spans="1:14" x14ac:dyDescent="0.3">
      <c r="A262" s="59" t="s">
        <v>2</v>
      </c>
      <c r="B262" s="60" t="s">
        <v>5</v>
      </c>
      <c r="C262" s="108">
        <v>6</v>
      </c>
      <c r="D262" s="108">
        <v>5.8</v>
      </c>
      <c r="E262" s="51">
        <v>7</v>
      </c>
      <c r="F262" s="4" t="s">
        <v>90</v>
      </c>
      <c r="G262" s="4" t="s">
        <v>144</v>
      </c>
      <c r="H262" s="48">
        <f>IF(G262&gt;0,VLOOKUP(G262,Apoio!$A$2:$B$25,2,0),"")</f>
        <v>7</v>
      </c>
      <c r="I262" s="44">
        <f t="shared" si="38"/>
        <v>50.689655172413794</v>
      </c>
      <c r="J262" s="98">
        <f t="shared" si="41"/>
        <v>7.6034482758620685</v>
      </c>
      <c r="K262" s="406">
        <f t="shared" si="42"/>
        <v>43.086206896551722</v>
      </c>
      <c r="L262" s="103"/>
      <c r="M262" s="103"/>
      <c r="N262" s="10"/>
    </row>
    <row r="263" spans="1:14" x14ac:dyDescent="0.3">
      <c r="A263" s="61" t="s">
        <v>2</v>
      </c>
      <c r="B263" s="58" t="s">
        <v>5</v>
      </c>
      <c r="C263" s="108">
        <v>6</v>
      </c>
      <c r="D263" s="108">
        <v>5.8</v>
      </c>
      <c r="E263" s="51">
        <v>7</v>
      </c>
      <c r="F263" s="4" t="s">
        <v>90</v>
      </c>
      <c r="G263" s="4" t="s">
        <v>147</v>
      </c>
      <c r="H263" s="48">
        <f>IF(G263&gt;0,VLOOKUP(G263,Apoio!$A$2:$B$25,2,0),"")</f>
        <v>7</v>
      </c>
      <c r="I263" s="44">
        <f t="shared" si="38"/>
        <v>50.689655172413794</v>
      </c>
      <c r="J263" s="98">
        <f t="shared" si="41"/>
        <v>7.6034482758620685</v>
      </c>
      <c r="K263" s="406">
        <f t="shared" si="42"/>
        <v>43.086206896551722</v>
      </c>
      <c r="L263" s="103"/>
      <c r="M263" s="103"/>
      <c r="N263" s="10"/>
    </row>
    <row r="264" spans="1:14" x14ac:dyDescent="0.3">
      <c r="A264" s="61" t="s">
        <v>2</v>
      </c>
      <c r="B264" s="58" t="s">
        <v>5</v>
      </c>
      <c r="C264" s="108">
        <v>6</v>
      </c>
      <c r="D264" s="108">
        <v>5.8</v>
      </c>
      <c r="E264" s="51">
        <v>7</v>
      </c>
      <c r="F264" s="4" t="s">
        <v>90</v>
      </c>
      <c r="G264" s="4" t="s">
        <v>150</v>
      </c>
      <c r="H264" s="48">
        <f>IF(G264&gt;0,VLOOKUP(G264,Apoio!$A$2:$B$25,2,0),"")</f>
        <v>8</v>
      </c>
      <c r="I264" s="44">
        <f t="shared" si="38"/>
        <v>57.931034482758619</v>
      </c>
      <c r="J264" s="98">
        <f t="shared" si="41"/>
        <v>8.6896551724137918</v>
      </c>
      <c r="K264" s="406">
        <f t="shared" si="42"/>
        <v>49.241379310344826</v>
      </c>
      <c r="L264" s="103"/>
      <c r="M264" s="103"/>
      <c r="N264" s="10"/>
    </row>
    <row r="265" spans="1:14" x14ac:dyDescent="0.3">
      <c r="A265" s="61" t="s">
        <v>2</v>
      </c>
      <c r="B265" s="58" t="s">
        <v>5</v>
      </c>
      <c r="C265" s="108">
        <v>6</v>
      </c>
      <c r="D265" s="108">
        <v>5.8</v>
      </c>
      <c r="E265" s="51">
        <v>7</v>
      </c>
      <c r="F265" s="4" t="s">
        <v>90</v>
      </c>
      <c r="G265" s="4" t="s">
        <v>153</v>
      </c>
      <c r="H265" s="48">
        <f>IF(G265&gt;0,VLOOKUP(G265,Apoio!$A$2:$B$25,2,0),"")</f>
        <v>8</v>
      </c>
      <c r="I265" s="44">
        <f t="shared" ref="I265" si="43">IF(D265&gt;0,(((H265*E265)*C265)/D265),"")</f>
        <v>57.931034482758619</v>
      </c>
      <c r="J265" s="98">
        <f t="shared" ref="J265" si="44">I265*15%</f>
        <v>8.6896551724137918</v>
      </c>
      <c r="K265" s="406">
        <f t="shared" si="42"/>
        <v>49.241379310344826</v>
      </c>
      <c r="L265" s="103"/>
      <c r="M265" s="103"/>
      <c r="N265" s="10"/>
    </row>
    <row r="266" spans="1:14" x14ac:dyDescent="0.3">
      <c r="A266" s="58" t="s">
        <v>2</v>
      </c>
      <c r="B266" s="58" t="s">
        <v>6</v>
      </c>
      <c r="C266" s="58">
        <v>5</v>
      </c>
      <c r="D266" s="108">
        <v>4.2</v>
      </c>
      <c r="E266" s="51">
        <v>7</v>
      </c>
      <c r="F266" s="4" t="s">
        <v>69</v>
      </c>
      <c r="G266" s="4" t="s">
        <v>68</v>
      </c>
      <c r="H266" s="48">
        <f>IF(G266&gt;0,VLOOKUP(G266,Apoio!$A$2:$B$25,2,0),"")</f>
        <v>7</v>
      </c>
      <c r="I266" s="44">
        <f t="shared" si="38"/>
        <v>58.333333333333329</v>
      </c>
      <c r="J266" s="98">
        <f t="shared" ref="J266:J289" si="45">I266*35%</f>
        <v>20.416666666666664</v>
      </c>
      <c r="K266" s="103"/>
      <c r="L266" s="103"/>
      <c r="M266" s="103"/>
      <c r="N266" s="10"/>
    </row>
    <row r="267" spans="1:14" x14ac:dyDescent="0.3">
      <c r="A267" s="58" t="s">
        <v>2</v>
      </c>
      <c r="B267" s="58" t="s">
        <v>6</v>
      </c>
      <c r="C267" s="58">
        <v>5</v>
      </c>
      <c r="D267" s="108">
        <v>4.2</v>
      </c>
      <c r="E267" s="51">
        <v>7</v>
      </c>
      <c r="F267" s="4" t="s">
        <v>69</v>
      </c>
      <c r="G267" s="4" t="s">
        <v>75</v>
      </c>
      <c r="H267" s="48">
        <f>IF(G267&gt;0,VLOOKUP(G267,Apoio!$A$2:$B$25,2,0),"")</f>
        <v>8</v>
      </c>
      <c r="I267" s="44">
        <f t="shared" si="38"/>
        <v>66.666666666666657</v>
      </c>
      <c r="J267" s="98">
        <f t="shared" si="45"/>
        <v>23.333333333333329</v>
      </c>
      <c r="K267" s="103"/>
      <c r="L267" s="103"/>
      <c r="M267" s="103"/>
      <c r="N267" s="10"/>
    </row>
    <row r="268" spans="1:14" x14ac:dyDescent="0.3">
      <c r="A268" s="58" t="s">
        <v>2</v>
      </c>
      <c r="B268" s="58" t="s">
        <v>6</v>
      </c>
      <c r="C268" s="58">
        <v>5</v>
      </c>
      <c r="D268" s="108">
        <v>4.2</v>
      </c>
      <c r="E268" s="51">
        <v>7</v>
      </c>
      <c r="F268" s="4" t="s">
        <v>69</v>
      </c>
      <c r="G268" s="4" t="s">
        <v>82</v>
      </c>
      <c r="H268" s="48">
        <f>IF(G268&gt;0,VLOOKUP(G268,Apoio!$A$2:$B$25,2,0),"")</f>
        <v>6</v>
      </c>
      <c r="I268" s="44">
        <f t="shared" si="38"/>
        <v>50</v>
      </c>
      <c r="J268" s="98">
        <f t="shared" si="45"/>
        <v>17.5</v>
      </c>
      <c r="K268" s="103"/>
      <c r="L268" s="103"/>
      <c r="M268" s="103"/>
      <c r="N268" s="10"/>
    </row>
    <row r="269" spans="1:14" x14ac:dyDescent="0.3">
      <c r="A269" s="58" t="s">
        <v>2</v>
      </c>
      <c r="B269" s="58" t="s">
        <v>6</v>
      </c>
      <c r="C269" s="58">
        <v>5</v>
      </c>
      <c r="D269" s="108">
        <v>4.2</v>
      </c>
      <c r="E269" s="51">
        <v>7</v>
      </c>
      <c r="F269" s="4" t="s">
        <v>69</v>
      </c>
      <c r="G269" s="4" t="s">
        <v>89</v>
      </c>
      <c r="H269" s="48">
        <f>IF(G269&gt;0,VLOOKUP(G269,Apoio!$A$2:$B$25,2,0),"")</f>
        <v>8</v>
      </c>
      <c r="I269" s="44">
        <f t="shared" si="38"/>
        <v>66.666666666666657</v>
      </c>
      <c r="J269" s="98">
        <f t="shared" si="45"/>
        <v>23.333333333333329</v>
      </c>
      <c r="K269" s="103"/>
      <c r="L269" s="103"/>
      <c r="M269" s="103"/>
      <c r="N269" s="10"/>
    </row>
    <row r="270" spans="1:14" x14ac:dyDescent="0.3">
      <c r="A270" s="58" t="s">
        <v>2</v>
      </c>
      <c r="B270" s="58" t="s">
        <v>6</v>
      </c>
      <c r="C270" s="58">
        <v>5</v>
      </c>
      <c r="D270" s="108">
        <v>4.2</v>
      </c>
      <c r="E270" s="51">
        <v>7</v>
      </c>
      <c r="F270" s="4" t="s">
        <v>69</v>
      </c>
      <c r="G270" s="4" t="s">
        <v>96</v>
      </c>
      <c r="H270" s="48">
        <f>IF(G270&gt;0,VLOOKUP(G270,Apoio!$A$2:$B$25,2,0),"")</f>
        <v>8</v>
      </c>
      <c r="I270" s="44">
        <f t="shared" si="38"/>
        <v>66.666666666666657</v>
      </c>
      <c r="J270" s="98">
        <f t="shared" si="45"/>
        <v>23.333333333333329</v>
      </c>
      <c r="K270" s="103"/>
      <c r="L270" s="103"/>
      <c r="M270" s="103"/>
      <c r="N270" s="10"/>
    </row>
    <row r="271" spans="1:14" x14ac:dyDescent="0.3">
      <c r="A271" s="58" t="s">
        <v>2</v>
      </c>
      <c r="B271" s="58" t="s">
        <v>6</v>
      </c>
      <c r="C271" s="58">
        <v>5</v>
      </c>
      <c r="D271" s="108">
        <v>4.2</v>
      </c>
      <c r="E271" s="51">
        <v>7</v>
      </c>
      <c r="F271" s="4" t="s">
        <v>69</v>
      </c>
      <c r="G271" s="4" t="s">
        <v>99</v>
      </c>
      <c r="H271" s="48">
        <f>IF(G271&gt;0,VLOOKUP(G271,Apoio!$A$2:$B$25,2,0),"")</f>
        <v>2</v>
      </c>
      <c r="I271" s="44">
        <f t="shared" si="38"/>
        <v>16.666666666666664</v>
      </c>
      <c r="J271" s="98">
        <f t="shared" si="45"/>
        <v>5.8333333333333321</v>
      </c>
      <c r="K271" s="103"/>
      <c r="L271" s="103"/>
      <c r="M271" s="103"/>
      <c r="N271" s="10"/>
    </row>
    <row r="272" spans="1:14" x14ac:dyDescent="0.3">
      <c r="A272" s="59" t="s">
        <v>2</v>
      </c>
      <c r="B272" s="58" t="s">
        <v>6</v>
      </c>
      <c r="C272" s="58">
        <v>6</v>
      </c>
      <c r="D272" s="108">
        <v>4.2</v>
      </c>
      <c r="E272" s="51">
        <v>7</v>
      </c>
      <c r="F272" s="4" t="s">
        <v>76</v>
      </c>
      <c r="G272" s="4" t="s">
        <v>102</v>
      </c>
      <c r="H272" s="48">
        <f>IF(G272&gt;0,VLOOKUP(G272,Apoio!$A$2:$B$25,2,0),"")</f>
        <v>5</v>
      </c>
      <c r="I272" s="44">
        <f t="shared" si="38"/>
        <v>50</v>
      </c>
      <c r="J272" s="98">
        <f t="shared" ref="J272:J277" si="46">I272*15%</f>
        <v>7.5</v>
      </c>
      <c r="K272" s="103"/>
      <c r="L272" s="103"/>
      <c r="M272" s="103"/>
      <c r="N272" s="10"/>
    </row>
    <row r="273" spans="1:14" x14ac:dyDescent="0.3">
      <c r="A273" s="59" t="s">
        <v>2</v>
      </c>
      <c r="B273" s="58" t="s">
        <v>6</v>
      </c>
      <c r="C273" s="58">
        <v>6</v>
      </c>
      <c r="D273" s="108">
        <v>4.2</v>
      </c>
      <c r="E273" s="51">
        <v>7</v>
      </c>
      <c r="F273" s="4" t="s">
        <v>76</v>
      </c>
      <c r="G273" s="4" t="s">
        <v>105</v>
      </c>
      <c r="H273" s="48">
        <f>IF(G273&gt;0,VLOOKUP(G273,Apoio!$A$2:$B$25,2,0),"")</f>
        <v>7</v>
      </c>
      <c r="I273" s="44">
        <f t="shared" si="38"/>
        <v>70</v>
      </c>
      <c r="J273" s="98">
        <f t="shared" si="46"/>
        <v>10.5</v>
      </c>
      <c r="K273" s="103"/>
      <c r="L273" s="103"/>
      <c r="M273" s="103"/>
      <c r="N273" s="10"/>
    </row>
    <row r="274" spans="1:14" x14ac:dyDescent="0.3">
      <c r="A274" s="59" t="s">
        <v>2</v>
      </c>
      <c r="B274" s="58" t="s">
        <v>6</v>
      </c>
      <c r="C274" s="58">
        <v>6</v>
      </c>
      <c r="D274" s="108">
        <v>4.2</v>
      </c>
      <c r="E274" s="51">
        <v>7</v>
      </c>
      <c r="F274" s="4" t="s">
        <v>76</v>
      </c>
      <c r="G274" s="4" t="s">
        <v>108</v>
      </c>
      <c r="H274" s="48">
        <f>IF(G274&gt;0,VLOOKUP(G274,Apoio!$A$2:$B$25,2,0),"")</f>
        <v>8</v>
      </c>
      <c r="I274" s="44">
        <f t="shared" si="38"/>
        <v>80</v>
      </c>
      <c r="J274" s="98">
        <f t="shared" si="46"/>
        <v>12</v>
      </c>
      <c r="K274" s="103"/>
      <c r="L274" s="103"/>
      <c r="M274" s="103"/>
      <c r="N274" s="10"/>
    </row>
    <row r="275" spans="1:14" x14ac:dyDescent="0.3">
      <c r="A275" s="59" t="s">
        <v>2</v>
      </c>
      <c r="B275" s="58" t="s">
        <v>6</v>
      </c>
      <c r="C275" s="58">
        <v>6</v>
      </c>
      <c r="D275" s="108">
        <v>4.2</v>
      </c>
      <c r="E275" s="51">
        <v>7</v>
      </c>
      <c r="F275" s="4" t="s">
        <v>76</v>
      </c>
      <c r="G275" s="4" t="s">
        <v>111</v>
      </c>
      <c r="H275" s="48">
        <f>IF(G275&gt;0,VLOOKUP(G275,Apoio!$A$2:$B$25,2,0),"")</f>
        <v>7</v>
      </c>
      <c r="I275" s="44">
        <f t="shared" si="38"/>
        <v>70</v>
      </c>
      <c r="J275" s="98">
        <f t="shared" si="46"/>
        <v>10.5</v>
      </c>
      <c r="K275" s="103"/>
      <c r="L275" s="103"/>
      <c r="M275" s="103"/>
      <c r="N275" s="10"/>
    </row>
    <row r="276" spans="1:14" x14ac:dyDescent="0.3">
      <c r="A276" s="59" t="s">
        <v>2</v>
      </c>
      <c r="B276" s="58" t="s">
        <v>6</v>
      </c>
      <c r="C276" s="58">
        <v>6</v>
      </c>
      <c r="D276" s="108">
        <v>4.2</v>
      </c>
      <c r="E276" s="51">
        <v>7</v>
      </c>
      <c r="F276" s="4" t="s">
        <v>76</v>
      </c>
      <c r="G276" s="4" t="s">
        <v>114</v>
      </c>
      <c r="H276" s="48">
        <f>IF(G276&gt;0,VLOOKUP(G276,Apoio!$A$2:$B$25,2,0),"")</f>
        <v>8</v>
      </c>
      <c r="I276" s="44">
        <f t="shared" si="38"/>
        <v>80</v>
      </c>
      <c r="J276" s="98">
        <f t="shared" si="46"/>
        <v>12</v>
      </c>
      <c r="K276" s="103"/>
      <c r="L276" s="103"/>
      <c r="M276" s="103"/>
      <c r="N276" s="10"/>
    </row>
    <row r="277" spans="1:14" x14ac:dyDescent="0.3">
      <c r="A277" s="59" t="s">
        <v>2</v>
      </c>
      <c r="B277" s="58" t="s">
        <v>6</v>
      </c>
      <c r="C277" s="58">
        <v>6</v>
      </c>
      <c r="D277" s="108">
        <v>4.2</v>
      </c>
      <c r="E277" s="51">
        <v>7</v>
      </c>
      <c r="F277" s="4" t="s">
        <v>76</v>
      </c>
      <c r="G277" s="4" t="s">
        <v>117</v>
      </c>
      <c r="H277" s="48">
        <f>IF(G277&gt;0,VLOOKUP(G277,Apoio!$A$2:$B$25,2,0),"")</f>
        <v>3</v>
      </c>
      <c r="I277" s="44">
        <f t="shared" si="38"/>
        <v>30</v>
      </c>
      <c r="J277" s="98">
        <f t="shared" si="46"/>
        <v>4.5</v>
      </c>
      <c r="K277" s="103"/>
      <c r="L277" s="103"/>
      <c r="M277" s="103"/>
      <c r="N277" s="10"/>
    </row>
    <row r="278" spans="1:14" x14ac:dyDescent="0.3">
      <c r="A278" s="59" t="s">
        <v>2</v>
      </c>
      <c r="B278" s="58" t="s">
        <v>6</v>
      </c>
      <c r="C278" s="58">
        <v>6</v>
      </c>
      <c r="D278" s="108">
        <v>4.2</v>
      </c>
      <c r="E278" s="51">
        <v>7</v>
      </c>
      <c r="F278" s="4" t="s">
        <v>83</v>
      </c>
      <c r="G278" s="4" t="s">
        <v>120</v>
      </c>
      <c r="H278" s="48">
        <f>IF(G278&gt;0,VLOOKUP(G278,Apoio!$A$2:$B$25,2,0),"")</f>
        <v>7</v>
      </c>
      <c r="I278" s="44">
        <f t="shared" si="38"/>
        <v>70</v>
      </c>
      <c r="J278" s="98">
        <v>20</v>
      </c>
      <c r="K278" s="103"/>
      <c r="L278" s="103"/>
      <c r="M278" s="103" t="s">
        <v>221</v>
      </c>
      <c r="N278" s="10"/>
    </row>
    <row r="279" spans="1:14" x14ac:dyDescent="0.3">
      <c r="A279" s="59" t="s">
        <v>2</v>
      </c>
      <c r="B279" s="58" t="s">
        <v>6</v>
      </c>
      <c r="C279" s="58">
        <v>6</v>
      </c>
      <c r="D279" s="108">
        <v>4.2</v>
      </c>
      <c r="E279" s="51">
        <v>7</v>
      </c>
      <c r="F279" s="4" t="s">
        <v>83</v>
      </c>
      <c r="G279" s="4" t="s">
        <v>123</v>
      </c>
      <c r="H279" s="48">
        <f>IF(G279&gt;0,VLOOKUP(G279,Apoio!$A$2:$B$25,2,0),"")</f>
        <v>8</v>
      </c>
      <c r="I279" s="44">
        <f t="shared" si="38"/>
        <v>80</v>
      </c>
      <c r="J279" s="98">
        <v>23</v>
      </c>
      <c r="K279" s="103"/>
      <c r="L279" s="103"/>
      <c r="M279" s="103" t="s">
        <v>221</v>
      </c>
      <c r="N279" s="10"/>
    </row>
    <row r="280" spans="1:14" x14ac:dyDescent="0.3">
      <c r="A280" s="59" t="s">
        <v>2</v>
      </c>
      <c r="B280" s="58" t="s">
        <v>6</v>
      </c>
      <c r="C280" s="58">
        <v>6</v>
      </c>
      <c r="D280" s="108">
        <v>4.2</v>
      </c>
      <c r="E280" s="51">
        <v>7</v>
      </c>
      <c r="F280" s="4" t="s">
        <v>83</v>
      </c>
      <c r="G280" s="4" t="s">
        <v>126</v>
      </c>
      <c r="H280" s="48">
        <f>IF(G280&gt;0,VLOOKUP(G280,Apoio!$A$2:$B$25,2,0),"")</f>
        <v>8</v>
      </c>
      <c r="I280" s="44">
        <f t="shared" ref="I280:I346" si="47">IF(D280&gt;0,(((H280*E280)*C280)/D280),"")</f>
        <v>80</v>
      </c>
      <c r="J280" s="98">
        <v>23</v>
      </c>
      <c r="K280" s="103"/>
      <c r="L280" s="103"/>
      <c r="M280" s="103" t="s">
        <v>221</v>
      </c>
      <c r="N280" s="10"/>
    </row>
    <row r="281" spans="1:14" x14ac:dyDescent="0.3">
      <c r="A281" s="59" t="s">
        <v>2</v>
      </c>
      <c r="B281" s="58" t="s">
        <v>6</v>
      </c>
      <c r="C281" s="58">
        <v>6</v>
      </c>
      <c r="D281" s="108">
        <v>4.2</v>
      </c>
      <c r="E281" s="51">
        <v>7</v>
      </c>
      <c r="F281" s="4" t="s">
        <v>83</v>
      </c>
      <c r="G281" s="4" t="s">
        <v>129</v>
      </c>
      <c r="H281" s="48">
        <f>IF(G281&gt;0,VLOOKUP(G281,Apoio!$A$2:$B$25,2,0),"")</f>
        <v>8</v>
      </c>
      <c r="I281" s="44">
        <f t="shared" si="47"/>
        <v>80</v>
      </c>
      <c r="J281" s="98">
        <v>37</v>
      </c>
      <c r="K281" s="103"/>
      <c r="L281" s="103"/>
      <c r="M281" s="103" t="s">
        <v>221</v>
      </c>
      <c r="N281" s="10"/>
    </row>
    <row r="282" spans="1:14" x14ac:dyDescent="0.3">
      <c r="A282" s="59" t="s">
        <v>2</v>
      </c>
      <c r="B282" s="58" t="s">
        <v>6</v>
      </c>
      <c r="C282" s="58">
        <v>6</v>
      </c>
      <c r="D282" s="108">
        <v>4.2</v>
      </c>
      <c r="E282" s="51">
        <v>7</v>
      </c>
      <c r="F282" s="4" t="s">
        <v>83</v>
      </c>
      <c r="G282" s="4" t="s">
        <v>132</v>
      </c>
      <c r="H282" s="48">
        <f>IF(G282&gt;0,VLOOKUP(G282,Apoio!$A$2:$B$25,2,0),"")</f>
        <v>7</v>
      </c>
      <c r="I282" s="44">
        <f t="shared" si="47"/>
        <v>70</v>
      </c>
      <c r="J282" s="98">
        <v>9</v>
      </c>
      <c r="K282" s="103"/>
      <c r="L282" s="103"/>
      <c r="M282" s="103" t="s">
        <v>221</v>
      </c>
      <c r="N282" s="10"/>
    </row>
    <row r="283" spans="1:14" x14ac:dyDescent="0.3">
      <c r="A283" s="59" t="s">
        <v>2</v>
      </c>
      <c r="B283" s="58" t="s">
        <v>6</v>
      </c>
      <c r="C283" s="58">
        <v>6</v>
      </c>
      <c r="D283" s="108">
        <v>4.2</v>
      </c>
      <c r="E283" s="51">
        <v>7</v>
      </c>
      <c r="F283" s="4" t="s">
        <v>83</v>
      </c>
      <c r="G283" s="4" t="s">
        <v>135</v>
      </c>
      <c r="H283" s="48">
        <f>IF(G283&gt;0,VLOOKUP(G283,Apoio!$A$2:$B$25,2,0),"")</f>
        <v>3</v>
      </c>
      <c r="I283" s="44">
        <f t="shared" si="47"/>
        <v>30</v>
      </c>
      <c r="J283" s="98">
        <f t="shared" si="45"/>
        <v>10.5</v>
      </c>
      <c r="K283" s="103"/>
      <c r="L283" s="103"/>
      <c r="M283" s="103"/>
      <c r="N283" s="10"/>
    </row>
    <row r="284" spans="1:14" x14ac:dyDescent="0.3">
      <c r="A284" s="59" t="s">
        <v>2</v>
      </c>
      <c r="B284" s="58" t="s">
        <v>6</v>
      </c>
      <c r="C284" s="108">
        <v>6</v>
      </c>
      <c r="D284" s="108">
        <v>4.2</v>
      </c>
      <c r="E284" s="51">
        <v>7</v>
      </c>
      <c r="F284" s="4" t="s">
        <v>90</v>
      </c>
      <c r="G284" s="4" t="s">
        <v>138</v>
      </c>
      <c r="H284" s="48">
        <f>IF(G284&gt;0,VLOOKUP(G284,Apoio!$A$2:$B$25,2,0),"")</f>
        <v>8</v>
      </c>
      <c r="I284" s="44">
        <f t="shared" si="47"/>
        <v>80</v>
      </c>
      <c r="J284" s="98">
        <f t="shared" si="45"/>
        <v>28</v>
      </c>
      <c r="K284" s="406">
        <f t="shared" ref="K284:K289" si="48">I284-J284</f>
        <v>52</v>
      </c>
      <c r="L284" s="103"/>
      <c r="M284" s="103"/>
      <c r="N284" s="10"/>
    </row>
    <row r="285" spans="1:14" x14ac:dyDescent="0.3">
      <c r="A285" s="59" t="s">
        <v>2</v>
      </c>
      <c r="B285" s="58" t="s">
        <v>6</v>
      </c>
      <c r="C285" s="108">
        <v>6</v>
      </c>
      <c r="D285" s="108">
        <v>4.2</v>
      </c>
      <c r="E285" s="51">
        <v>7</v>
      </c>
      <c r="F285" s="4" t="s">
        <v>90</v>
      </c>
      <c r="G285" s="4" t="s">
        <v>141</v>
      </c>
      <c r="H285" s="48">
        <f>IF(G285&gt;0,VLOOKUP(G285,Apoio!$A$2:$B$25,2,0),"")</f>
        <v>7</v>
      </c>
      <c r="I285" s="44">
        <f t="shared" si="47"/>
        <v>70</v>
      </c>
      <c r="J285" s="98">
        <f t="shared" si="45"/>
        <v>24.5</v>
      </c>
      <c r="K285" s="406">
        <f t="shared" si="48"/>
        <v>45.5</v>
      </c>
      <c r="L285" s="103"/>
      <c r="M285" s="103"/>
      <c r="N285" s="10"/>
    </row>
    <row r="286" spans="1:14" x14ac:dyDescent="0.3">
      <c r="A286" s="59" t="s">
        <v>2</v>
      </c>
      <c r="B286" s="58" t="s">
        <v>6</v>
      </c>
      <c r="C286" s="108">
        <v>6</v>
      </c>
      <c r="D286" s="108">
        <v>4.2</v>
      </c>
      <c r="E286" s="51">
        <v>7</v>
      </c>
      <c r="F286" s="4" t="s">
        <v>90</v>
      </c>
      <c r="G286" s="4" t="s">
        <v>144</v>
      </c>
      <c r="H286" s="48">
        <f>IF(G286&gt;0,VLOOKUP(G286,Apoio!$A$2:$B$25,2,0),"")</f>
        <v>7</v>
      </c>
      <c r="I286" s="44">
        <f t="shared" si="47"/>
        <v>70</v>
      </c>
      <c r="J286" s="98">
        <f t="shared" si="45"/>
        <v>24.5</v>
      </c>
      <c r="K286" s="406">
        <f t="shared" si="48"/>
        <v>45.5</v>
      </c>
      <c r="L286" s="103"/>
      <c r="M286" s="103"/>
      <c r="N286" s="10"/>
    </row>
    <row r="287" spans="1:14" x14ac:dyDescent="0.3">
      <c r="A287" s="59" t="s">
        <v>2</v>
      </c>
      <c r="B287" s="58" t="s">
        <v>6</v>
      </c>
      <c r="C287" s="108">
        <v>6</v>
      </c>
      <c r="D287" s="108">
        <v>4.2</v>
      </c>
      <c r="E287" s="51">
        <v>7</v>
      </c>
      <c r="F287" s="4" t="s">
        <v>90</v>
      </c>
      <c r="G287" s="4" t="s">
        <v>147</v>
      </c>
      <c r="H287" s="48">
        <f>IF(G287&gt;0,VLOOKUP(G287,Apoio!$A$2:$B$25,2,0),"")</f>
        <v>7</v>
      </c>
      <c r="I287" s="44">
        <f t="shared" si="47"/>
        <v>70</v>
      </c>
      <c r="J287" s="98">
        <f t="shared" si="45"/>
        <v>24.5</v>
      </c>
      <c r="K287" s="406">
        <f t="shared" si="48"/>
        <v>45.5</v>
      </c>
      <c r="L287" s="103"/>
      <c r="M287" s="103"/>
      <c r="N287" s="10"/>
    </row>
    <row r="288" spans="1:14" x14ac:dyDescent="0.3">
      <c r="A288" s="59" t="s">
        <v>2</v>
      </c>
      <c r="B288" s="58" t="s">
        <v>6</v>
      </c>
      <c r="C288" s="108">
        <v>6</v>
      </c>
      <c r="D288" s="108">
        <v>4.2</v>
      </c>
      <c r="E288" s="51">
        <v>7</v>
      </c>
      <c r="F288" s="4" t="s">
        <v>90</v>
      </c>
      <c r="G288" s="4" t="s">
        <v>150</v>
      </c>
      <c r="H288" s="48">
        <f>IF(G288&gt;0,VLOOKUP(G288,Apoio!$A$2:$B$25,2,0),"")</f>
        <v>8</v>
      </c>
      <c r="I288" s="44">
        <f t="shared" ref="I288" si="49">IF(D288&gt;0,(((H288*E288)*C288)/D288),"")</f>
        <v>80</v>
      </c>
      <c r="J288" s="98">
        <f t="shared" ref="J288" si="50">I288*35%</f>
        <v>28</v>
      </c>
      <c r="K288" s="406">
        <f t="shared" si="48"/>
        <v>52</v>
      </c>
      <c r="L288" s="103"/>
      <c r="M288" s="103"/>
      <c r="N288" s="10"/>
    </row>
    <row r="289" spans="1:14" x14ac:dyDescent="0.3">
      <c r="A289" s="59" t="s">
        <v>2</v>
      </c>
      <c r="B289" s="58" t="s">
        <v>6</v>
      </c>
      <c r="C289" s="108">
        <v>6</v>
      </c>
      <c r="D289" s="108">
        <v>4.2</v>
      </c>
      <c r="E289" s="51">
        <v>7</v>
      </c>
      <c r="F289" s="4" t="s">
        <v>90</v>
      </c>
      <c r="G289" s="4" t="s">
        <v>153</v>
      </c>
      <c r="H289" s="48">
        <f>IF(G289&gt;0,VLOOKUP(G289,Apoio!$A$2:$B$25,2,0),"")</f>
        <v>8</v>
      </c>
      <c r="I289" s="44">
        <f t="shared" si="47"/>
        <v>80</v>
      </c>
      <c r="J289" s="98">
        <f t="shared" si="45"/>
        <v>28</v>
      </c>
      <c r="K289" s="406">
        <f t="shared" si="48"/>
        <v>52</v>
      </c>
      <c r="L289" s="103"/>
      <c r="M289" s="103"/>
      <c r="N289" s="10"/>
    </row>
    <row r="290" spans="1:14" x14ac:dyDescent="0.3">
      <c r="A290" s="59" t="s">
        <v>2</v>
      </c>
      <c r="B290" s="58" t="s">
        <v>7</v>
      </c>
      <c r="C290" s="58">
        <v>5</v>
      </c>
      <c r="D290" s="108">
        <v>4.3</v>
      </c>
      <c r="E290" s="51">
        <v>7</v>
      </c>
      <c r="F290" s="4" t="s">
        <v>69</v>
      </c>
      <c r="G290" s="4" t="s">
        <v>68</v>
      </c>
      <c r="H290" s="48">
        <f>IF(G290&gt;0,VLOOKUP(G290,Apoio!$A$2:$B$25,2,0),"")</f>
        <v>7</v>
      </c>
      <c r="I290" s="44">
        <f t="shared" ref="I290" si="51">IF(D290&gt;0,(((H290*E290)*C290)/D290),"")</f>
        <v>56.976744186046517</v>
      </c>
      <c r="J290" s="98">
        <f t="shared" ref="J290" si="52">I290*15%</f>
        <v>8.5465116279069768</v>
      </c>
      <c r="K290" s="103"/>
      <c r="L290" s="103"/>
      <c r="M290" s="103"/>
      <c r="N290" s="10"/>
    </row>
    <row r="291" spans="1:14" x14ac:dyDescent="0.3">
      <c r="A291" s="59" t="s">
        <v>2</v>
      </c>
      <c r="B291" s="58" t="s">
        <v>7</v>
      </c>
      <c r="C291" s="58">
        <v>5</v>
      </c>
      <c r="D291" s="108">
        <v>4.3</v>
      </c>
      <c r="E291" s="51">
        <v>7</v>
      </c>
      <c r="F291" s="4" t="s">
        <v>69</v>
      </c>
      <c r="G291" s="4" t="s">
        <v>75</v>
      </c>
      <c r="H291" s="48">
        <f>IF(G291&gt;0,VLOOKUP(G291,Apoio!$A$2:$B$25,2,0),"")</f>
        <v>8</v>
      </c>
      <c r="I291" s="44">
        <f t="shared" si="47"/>
        <v>65.116279069767444</v>
      </c>
      <c r="J291" s="98">
        <f t="shared" ref="J291:J313" si="53">I291*15%</f>
        <v>9.7674418604651159</v>
      </c>
      <c r="K291" s="103"/>
      <c r="L291" s="103"/>
      <c r="M291" s="103"/>
      <c r="N291" s="10"/>
    </row>
    <row r="292" spans="1:14" x14ac:dyDescent="0.3">
      <c r="A292" s="59" t="s">
        <v>2</v>
      </c>
      <c r="B292" s="58" t="s">
        <v>7</v>
      </c>
      <c r="C292" s="58">
        <v>5</v>
      </c>
      <c r="D292" s="108">
        <v>4.3</v>
      </c>
      <c r="E292" s="51">
        <v>7</v>
      </c>
      <c r="F292" s="4" t="s">
        <v>69</v>
      </c>
      <c r="G292" s="4" t="s">
        <v>82</v>
      </c>
      <c r="H292" s="48">
        <f>IF(G292&gt;0,VLOOKUP(G292,Apoio!$A$2:$B$25,2,0),"")</f>
        <v>6</v>
      </c>
      <c r="I292" s="44">
        <f t="shared" si="47"/>
        <v>48.837209302325583</v>
      </c>
      <c r="J292" s="98">
        <f t="shared" si="53"/>
        <v>7.3255813953488369</v>
      </c>
      <c r="K292" s="103"/>
      <c r="L292" s="103"/>
      <c r="M292" s="103"/>
      <c r="N292" s="10"/>
    </row>
    <row r="293" spans="1:14" x14ac:dyDescent="0.3">
      <c r="A293" s="59" t="s">
        <v>2</v>
      </c>
      <c r="B293" s="58" t="s">
        <v>7</v>
      </c>
      <c r="C293" s="58">
        <v>5</v>
      </c>
      <c r="D293" s="108">
        <v>4.3</v>
      </c>
      <c r="E293" s="51">
        <v>7</v>
      </c>
      <c r="F293" s="4" t="s">
        <v>69</v>
      </c>
      <c r="G293" s="4" t="s">
        <v>89</v>
      </c>
      <c r="H293" s="48">
        <f>IF(G293&gt;0,VLOOKUP(G293,Apoio!$A$2:$B$25,2,0),"")</f>
        <v>8</v>
      </c>
      <c r="I293" s="44">
        <f t="shared" si="47"/>
        <v>65.116279069767444</v>
      </c>
      <c r="J293" s="98">
        <f t="shared" si="53"/>
        <v>9.7674418604651159</v>
      </c>
      <c r="K293" s="103"/>
      <c r="L293" s="103"/>
      <c r="M293" s="103"/>
      <c r="N293" s="10"/>
    </row>
    <row r="294" spans="1:14" x14ac:dyDescent="0.3">
      <c r="A294" s="59" t="s">
        <v>2</v>
      </c>
      <c r="B294" s="58" t="s">
        <v>7</v>
      </c>
      <c r="C294" s="58">
        <v>5</v>
      </c>
      <c r="D294" s="108">
        <v>4.3</v>
      </c>
      <c r="E294" s="51">
        <v>7</v>
      </c>
      <c r="F294" s="4" t="s">
        <v>69</v>
      </c>
      <c r="G294" s="4" t="s">
        <v>96</v>
      </c>
      <c r="H294" s="48">
        <f>IF(G294&gt;0,VLOOKUP(G294,Apoio!$A$2:$B$25,2,0),"")</f>
        <v>8</v>
      </c>
      <c r="I294" s="44">
        <f t="shared" si="47"/>
        <v>65.116279069767444</v>
      </c>
      <c r="J294" s="98">
        <f t="shared" si="53"/>
        <v>9.7674418604651159</v>
      </c>
      <c r="K294" s="103"/>
      <c r="L294" s="103"/>
      <c r="M294" s="103"/>
      <c r="N294" s="10"/>
    </row>
    <row r="295" spans="1:14" x14ac:dyDescent="0.3">
      <c r="A295" s="59" t="s">
        <v>2</v>
      </c>
      <c r="B295" s="58" t="s">
        <v>7</v>
      </c>
      <c r="C295" s="58">
        <v>5</v>
      </c>
      <c r="D295" s="108">
        <v>4.3</v>
      </c>
      <c r="E295" s="51">
        <v>7</v>
      </c>
      <c r="F295" s="4" t="s">
        <v>69</v>
      </c>
      <c r="G295" s="4" t="s">
        <v>99</v>
      </c>
      <c r="H295" s="48">
        <f>IF(G295&gt;0,VLOOKUP(G295,Apoio!$A$2:$B$25,2,0),"")</f>
        <v>2</v>
      </c>
      <c r="I295" s="44">
        <f t="shared" si="47"/>
        <v>16.279069767441861</v>
      </c>
      <c r="J295" s="98">
        <f t="shared" si="53"/>
        <v>2.441860465116279</v>
      </c>
      <c r="K295" s="103"/>
      <c r="L295" s="103"/>
      <c r="M295" s="103"/>
      <c r="N295" s="10"/>
    </row>
    <row r="296" spans="1:14" x14ac:dyDescent="0.3">
      <c r="A296" s="59" t="s">
        <v>2</v>
      </c>
      <c r="B296" s="58" t="s">
        <v>7</v>
      </c>
      <c r="C296" s="58">
        <v>7</v>
      </c>
      <c r="D296" s="108">
        <v>4.3</v>
      </c>
      <c r="E296" s="51">
        <v>7</v>
      </c>
      <c r="F296" s="4" t="s">
        <v>76</v>
      </c>
      <c r="G296" s="4" t="s">
        <v>102</v>
      </c>
      <c r="H296" s="48">
        <f>IF(G296&gt;0,VLOOKUP(G296,Apoio!$A$2:$B$25,2,0),"")</f>
        <v>5</v>
      </c>
      <c r="I296" s="44">
        <f t="shared" si="47"/>
        <v>56.976744186046517</v>
      </c>
      <c r="J296" s="98">
        <f t="shared" si="53"/>
        <v>8.5465116279069768</v>
      </c>
      <c r="K296" s="103"/>
      <c r="L296" s="103"/>
      <c r="M296" s="103"/>
      <c r="N296" s="10"/>
    </row>
    <row r="297" spans="1:14" x14ac:dyDescent="0.3">
      <c r="A297" s="59" t="s">
        <v>2</v>
      </c>
      <c r="B297" s="58" t="s">
        <v>7</v>
      </c>
      <c r="C297" s="58">
        <v>7</v>
      </c>
      <c r="D297" s="108">
        <v>4.3</v>
      </c>
      <c r="E297" s="51">
        <v>7</v>
      </c>
      <c r="F297" s="4" t="s">
        <v>76</v>
      </c>
      <c r="G297" s="4" t="s">
        <v>105</v>
      </c>
      <c r="H297" s="48">
        <f>IF(G297&gt;0,VLOOKUP(G297,Apoio!$A$2:$B$25,2,0),"")</f>
        <v>7</v>
      </c>
      <c r="I297" s="44">
        <f t="shared" si="47"/>
        <v>79.767441860465127</v>
      </c>
      <c r="J297" s="98">
        <f t="shared" si="53"/>
        <v>11.965116279069768</v>
      </c>
      <c r="K297" s="103"/>
      <c r="L297" s="103"/>
      <c r="M297" s="103"/>
      <c r="N297" s="10"/>
    </row>
    <row r="298" spans="1:14" x14ac:dyDescent="0.3">
      <c r="A298" s="59" t="s">
        <v>2</v>
      </c>
      <c r="B298" s="58" t="s">
        <v>7</v>
      </c>
      <c r="C298" s="58">
        <v>7</v>
      </c>
      <c r="D298" s="108">
        <v>4.3</v>
      </c>
      <c r="E298" s="51">
        <v>7</v>
      </c>
      <c r="F298" s="4" t="s">
        <v>76</v>
      </c>
      <c r="G298" s="4" t="s">
        <v>108</v>
      </c>
      <c r="H298" s="48">
        <f>IF(G298&gt;0,VLOOKUP(G298,Apoio!$A$2:$B$25,2,0),"")</f>
        <v>8</v>
      </c>
      <c r="I298" s="44">
        <f t="shared" si="47"/>
        <v>91.162790697674424</v>
      </c>
      <c r="J298" s="98">
        <f t="shared" si="53"/>
        <v>13.674418604651164</v>
      </c>
      <c r="K298" s="103"/>
      <c r="L298" s="103"/>
      <c r="M298" s="103"/>
      <c r="N298" s="10"/>
    </row>
    <row r="299" spans="1:14" x14ac:dyDescent="0.3">
      <c r="A299" s="59" t="s">
        <v>2</v>
      </c>
      <c r="B299" s="58" t="s">
        <v>7</v>
      </c>
      <c r="C299" s="58">
        <v>7</v>
      </c>
      <c r="D299" s="108">
        <v>4.3</v>
      </c>
      <c r="E299" s="51">
        <v>7</v>
      </c>
      <c r="F299" s="4" t="s">
        <v>76</v>
      </c>
      <c r="G299" s="4" t="s">
        <v>111</v>
      </c>
      <c r="H299" s="48">
        <f>IF(G299&gt;0,VLOOKUP(G299,Apoio!$A$2:$B$25,2,0),"")</f>
        <v>7</v>
      </c>
      <c r="I299" s="44">
        <f t="shared" si="47"/>
        <v>79.767441860465127</v>
      </c>
      <c r="J299" s="98">
        <f t="shared" si="53"/>
        <v>11.965116279069768</v>
      </c>
      <c r="K299" s="103"/>
      <c r="L299" s="103"/>
      <c r="M299" s="103"/>
      <c r="N299" s="10"/>
    </row>
    <row r="300" spans="1:14" x14ac:dyDescent="0.3">
      <c r="A300" s="59" t="s">
        <v>2</v>
      </c>
      <c r="B300" s="58" t="s">
        <v>7</v>
      </c>
      <c r="C300" s="58">
        <v>7</v>
      </c>
      <c r="D300" s="108">
        <v>4.3</v>
      </c>
      <c r="E300" s="51">
        <v>7</v>
      </c>
      <c r="F300" s="4" t="s">
        <v>76</v>
      </c>
      <c r="G300" s="4" t="s">
        <v>114</v>
      </c>
      <c r="H300" s="48">
        <f>IF(G300&gt;0,VLOOKUP(G300,Apoio!$A$2:$B$25,2,0),"")</f>
        <v>8</v>
      </c>
      <c r="I300" s="44">
        <f t="shared" si="47"/>
        <v>91.162790697674424</v>
      </c>
      <c r="J300" s="98">
        <f t="shared" si="53"/>
        <v>13.674418604651164</v>
      </c>
      <c r="K300" s="103"/>
      <c r="L300" s="103"/>
      <c r="M300" s="103"/>
      <c r="N300" s="10"/>
    </row>
    <row r="301" spans="1:14" x14ac:dyDescent="0.3">
      <c r="A301" s="59" t="s">
        <v>2</v>
      </c>
      <c r="B301" s="58" t="s">
        <v>7</v>
      </c>
      <c r="C301" s="58">
        <v>7</v>
      </c>
      <c r="D301" s="108">
        <v>4.3</v>
      </c>
      <c r="E301" s="51">
        <v>7</v>
      </c>
      <c r="F301" s="4" t="s">
        <v>76</v>
      </c>
      <c r="G301" s="4" t="s">
        <v>117</v>
      </c>
      <c r="H301" s="48">
        <f>IF(G301&gt;0,VLOOKUP(G301,Apoio!$A$2:$B$25,2,0),"")</f>
        <v>3</v>
      </c>
      <c r="I301" s="44">
        <f t="shared" si="47"/>
        <v>34.186046511627907</v>
      </c>
      <c r="J301" s="98">
        <f t="shared" si="53"/>
        <v>5.1279069767441863</v>
      </c>
      <c r="K301" s="103"/>
      <c r="L301" s="103"/>
      <c r="M301" s="103"/>
      <c r="N301" s="10"/>
    </row>
    <row r="302" spans="1:14" x14ac:dyDescent="0.3">
      <c r="A302" s="58" t="s">
        <v>2</v>
      </c>
      <c r="B302" s="58" t="s">
        <v>7</v>
      </c>
      <c r="C302" s="58">
        <v>7</v>
      </c>
      <c r="D302" s="108">
        <v>4.3</v>
      </c>
      <c r="E302" s="51">
        <v>7</v>
      </c>
      <c r="F302" s="4" t="s">
        <v>83</v>
      </c>
      <c r="G302" s="4" t="s">
        <v>120</v>
      </c>
      <c r="H302" s="48">
        <f>IF(G302&gt;0,VLOOKUP(G302,Apoio!$A$2:$B$25,2,0),"")</f>
        <v>7</v>
      </c>
      <c r="I302" s="44">
        <f t="shared" si="47"/>
        <v>79.767441860465127</v>
      </c>
      <c r="J302" s="98">
        <f t="shared" si="53"/>
        <v>11.965116279069768</v>
      </c>
      <c r="K302" s="103"/>
      <c r="L302" s="103"/>
      <c r="M302" s="103"/>
      <c r="N302" s="10"/>
    </row>
    <row r="303" spans="1:14" x14ac:dyDescent="0.3">
      <c r="A303" s="58" t="s">
        <v>2</v>
      </c>
      <c r="B303" s="58" t="s">
        <v>7</v>
      </c>
      <c r="C303" s="58">
        <v>7</v>
      </c>
      <c r="D303" s="108">
        <v>4.3</v>
      </c>
      <c r="E303" s="51">
        <v>7</v>
      </c>
      <c r="F303" s="4" t="s">
        <v>83</v>
      </c>
      <c r="G303" s="4" t="s">
        <v>123</v>
      </c>
      <c r="H303" s="48">
        <f>IF(G303&gt;0,VLOOKUP(G303,Apoio!$A$2:$B$25,2,0),"")</f>
        <v>8</v>
      </c>
      <c r="I303" s="44">
        <f t="shared" si="47"/>
        <v>91.162790697674424</v>
      </c>
      <c r="J303" s="98">
        <f t="shared" si="53"/>
        <v>13.674418604651164</v>
      </c>
      <c r="K303" s="103"/>
      <c r="L303" s="103"/>
      <c r="M303" s="103" t="s">
        <v>221</v>
      </c>
      <c r="N303" s="10"/>
    </row>
    <row r="304" spans="1:14" x14ac:dyDescent="0.3">
      <c r="A304" s="58" t="s">
        <v>2</v>
      </c>
      <c r="B304" s="58" t="s">
        <v>7</v>
      </c>
      <c r="C304" s="58">
        <v>7</v>
      </c>
      <c r="D304" s="108">
        <v>4.3</v>
      </c>
      <c r="E304" s="51">
        <v>7</v>
      </c>
      <c r="F304" s="4" t="s">
        <v>83</v>
      </c>
      <c r="G304" s="4" t="s">
        <v>126</v>
      </c>
      <c r="H304" s="48">
        <f>IF(G304&gt;0,VLOOKUP(G304,Apoio!$A$2:$B$25,2,0),"")</f>
        <v>8</v>
      </c>
      <c r="I304" s="44">
        <f t="shared" si="47"/>
        <v>91.162790697674424</v>
      </c>
      <c r="J304" s="98">
        <v>5</v>
      </c>
      <c r="K304" s="103"/>
      <c r="L304" s="103"/>
      <c r="M304" s="103" t="s">
        <v>221</v>
      </c>
      <c r="N304" s="10"/>
    </row>
    <row r="305" spans="1:14" x14ac:dyDescent="0.3">
      <c r="A305" s="58" t="s">
        <v>2</v>
      </c>
      <c r="B305" s="58" t="s">
        <v>7</v>
      </c>
      <c r="C305" s="58">
        <v>7</v>
      </c>
      <c r="D305" s="108">
        <v>4.3</v>
      </c>
      <c r="E305" s="51">
        <v>7</v>
      </c>
      <c r="F305" s="4" t="s">
        <v>83</v>
      </c>
      <c r="G305" s="4" t="s">
        <v>129</v>
      </c>
      <c r="H305" s="48">
        <f>IF(G305&gt;0,VLOOKUP(G305,Apoio!$A$2:$B$25,2,0),"")</f>
        <v>8</v>
      </c>
      <c r="I305" s="44">
        <f t="shared" si="47"/>
        <v>91.162790697674424</v>
      </c>
      <c r="J305" s="98">
        <v>8</v>
      </c>
      <c r="K305" s="103"/>
      <c r="L305" s="103"/>
      <c r="M305" s="103" t="s">
        <v>221</v>
      </c>
      <c r="N305" s="10"/>
    </row>
    <row r="306" spans="1:14" x14ac:dyDescent="0.3">
      <c r="A306" s="58" t="s">
        <v>2</v>
      </c>
      <c r="B306" s="58" t="s">
        <v>7</v>
      </c>
      <c r="C306" s="58">
        <v>7</v>
      </c>
      <c r="D306" s="108">
        <v>4.3</v>
      </c>
      <c r="E306" s="51">
        <v>7</v>
      </c>
      <c r="F306" s="4" t="s">
        <v>83</v>
      </c>
      <c r="G306" s="4" t="s">
        <v>132</v>
      </c>
      <c r="H306" s="48">
        <f>IF(G306&gt;0,VLOOKUP(G306,Apoio!$A$2:$B$25,2,0),"")</f>
        <v>7</v>
      </c>
      <c r="I306" s="44">
        <f t="shared" si="47"/>
        <v>79.767441860465127</v>
      </c>
      <c r="J306" s="98">
        <v>15</v>
      </c>
      <c r="K306" s="103"/>
      <c r="L306" s="103"/>
      <c r="M306" s="103" t="s">
        <v>221</v>
      </c>
      <c r="N306" s="10"/>
    </row>
    <row r="307" spans="1:14" x14ac:dyDescent="0.3">
      <c r="A307" s="58" t="s">
        <v>2</v>
      </c>
      <c r="B307" s="58" t="s">
        <v>7</v>
      </c>
      <c r="C307" s="58">
        <v>7</v>
      </c>
      <c r="D307" s="108">
        <v>4.3</v>
      </c>
      <c r="E307" s="51">
        <v>7</v>
      </c>
      <c r="F307" s="4" t="s">
        <v>83</v>
      </c>
      <c r="G307" s="4" t="s">
        <v>135</v>
      </c>
      <c r="H307" s="48">
        <f>IF(G307&gt;0,VLOOKUP(G307,Apoio!$A$2:$B$25,2,0),"")</f>
        <v>3</v>
      </c>
      <c r="I307" s="44">
        <f t="shared" si="47"/>
        <v>34.186046511627907</v>
      </c>
      <c r="J307" s="98">
        <v>4</v>
      </c>
      <c r="K307" s="103"/>
      <c r="L307" s="103"/>
      <c r="M307" s="103" t="s">
        <v>221</v>
      </c>
      <c r="N307" s="10"/>
    </row>
    <row r="308" spans="1:14" x14ac:dyDescent="0.3">
      <c r="A308" s="59" t="s">
        <v>2</v>
      </c>
      <c r="B308" s="58" t="s">
        <v>7</v>
      </c>
      <c r="C308" s="108">
        <v>7</v>
      </c>
      <c r="D308" s="108">
        <v>4.3</v>
      </c>
      <c r="E308" s="51">
        <v>7</v>
      </c>
      <c r="F308" s="4" t="s">
        <v>90</v>
      </c>
      <c r="G308" s="4" t="s">
        <v>138</v>
      </c>
      <c r="H308" s="48">
        <f>IF(G308&gt;0,VLOOKUP(G308,Apoio!$A$2:$B$25,2,0),"")</f>
        <v>8</v>
      </c>
      <c r="I308" s="44">
        <f t="shared" si="47"/>
        <v>91.162790697674424</v>
      </c>
      <c r="J308" s="98">
        <f t="shared" si="53"/>
        <v>13.674418604651164</v>
      </c>
      <c r="K308" s="406">
        <f t="shared" ref="K308:K313" si="54">I308-J308</f>
        <v>77.488372093023258</v>
      </c>
      <c r="L308" s="103"/>
      <c r="M308" s="103"/>
      <c r="N308" s="10"/>
    </row>
    <row r="309" spans="1:14" x14ac:dyDescent="0.3">
      <c r="A309" s="59" t="s">
        <v>2</v>
      </c>
      <c r="B309" s="58" t="s">
        <v>7</v>
      </c>
      <c r="C309" s="108">
        <v>7</v>
      </c>
      <c r="D309" s="108">
        <v>4.3</v>
      </c>
      <c r="E309" s="51">
        <v>7</v>
      </c>
      <c r="F309" s="4" t="s">
        <v>90</v>
      </c>
      <c r="G309" s="4" t="s">
        <v>141</v>
      </c>
      <c r="H309" s="48">
        <f>IF(G309&gt;0,VLOOKUP(G309,Apoio!$A$2:$B$25,2,0),"")</f>
        <v>7</v>
      </c>
      <c r="I309" s="44">
        <f t="shared" si="47"/>
        <v>79.767441860465127</v>
      </c>
      <c r="J309" s="98">
        <f t="shared" si="53"/>
        <v>11.965116279069768</v>
      </c>
      <c r="K309" s="406">
        <f t="shared" si="54"/>
        <v>67.802325581395365</v>
      </c>
      <c r="L309" s="103"/>
      <c r="M309" s="103"/>
      <c r="N309" s="10"/>
    </row>
    <row r="310" spans="1:14" x14ac:dyDescent="0.3">
      <c r="A310" s="59" t="s">
        <v>2</v>
      </c>
      <c r="B310" s="58" t="s">
        <v>7</v>
      </c>
      <c r="C310" s="108">
        <v>7</v>
      </c>
      <c r="D310" s="108">
        <v>4.3</v>
      </c>
      <c r="E310" s="51">
        <v>7</v>
      </c>
      <c r="F310" s="4" t="s">
        <v>90</v>
      </c>
      <c r="G310" s="4" t="s">
        <v>144</v>
      </c>
      <c r="H310" s="48">
        <f>IF(G310&gt;0,VLOOKUP(G310,Apoio!$A$2:$B$25,2,0),"")</f>
        <v>7</v>
      </c>
      <c r="I310" s="44">
        <f t="shared" si="47"/>
        <v>79.767441860465127</v>
      </c>
      <c r="J310" s="98">
        <f t="shared" si="53"/>
        <v>11.965116279069768</v>
      </c>
      <c r="K310" s="406">
        <f t="shared" si="54"/>
        <v>67.802325581395365</v>
      </c>
      <c r="L310" s="103"/>
      <c r="M310" s="103"/>
      <c r="N310" s="10"/>
    </row>
    <row r="311" spans="1:14" x14ac:dyDescent="0.3">
      <c r="A311" s="59" t="s">
        <v>2</v>
      </c>
      <c r="B311" s="58" t="s">
        <v>7</v>
      </c>
      <c r="C311" s="108">
        <v>7</v>
      </c>
      <c r="D311" s="108">
        <v>4.3</v>
      </c>
      <c r="E311" s="51">
        <v>7</v>
      </c>
      <c r="F311" s="4" t="s">
        <v>90</v>
      </c>
      <c r="G311" s="4" t="s">
        <v>147</v>
      </c>
      <c r="H311" s="48">
        <f>IF(G311&gt;0,VLOOKUP(G311,Apoio!$A$2:$B$25,2,0),"")</f>
        <v>7</v>
      </c>
      <c r="I311" s="44">
        <f t="shared" si="47"/>
        <v>79.767441860465127</v>
      </c>
      <c r="J311" s="98">
        <f t="shared" si="53"/>
        <v>11.965116279069768</v>
      </c>
      <c r="K311" s="406">
        <f t="shared" si="54"/>
        <v>67.802325581395365</v>
      </c>
      <c r="L311" s="103"/>
      <c r="M311" s="103"/>
      <c r="N311" s="10"/>
    </row>
    <row r="312" spans="1:14" x14ac:dyDescent="0.3">
      <c r="A312" s="59" t="s">
        <v>2</v>
      </c>
      <c r="B312" s="58" t="s">
        <v>7</v>
      </c>
      <c r="C312" s="108">
        <v>7</v>
      </c>
      <c r="D312" s="108">
        <v>4.3</v>
      </c>
      <c r="E312" s="51">
        <v>7</v>
      </c>
      <c r="F312" s="4" t="s">
        <v>90</v>
      </c>
      <c r="G312" s="4" t="s">
        <v>150</v>
      </c>
      <c r="H312" s="48">
        <f>IF(G312&gt;0,VLOOKUP(G312,Apoio!$A$2:$B$25,2,0),"")</f>
        <v>8</v>
      </c>
      <c r="I312" s="44">
        <f t="shared" si="47"/>
        <v>91.162790697674424</v>
      </c>
      <c r="J312" s="98">
        <f t="shared" si="53"/>
        <v>13.674418604651164</v>
      </c>
      <c r="K312" s="406">
        <f t="shared" si="54"/>
        <v>77.488372093023258</v>
      </c>
      <c r="L312" s="103"/>
      <c r="M312" s="103"/>
      <c r="N312" s="10"/>
    </row>
    <row r="313" spans="1:14" x14ac:dyDescent="0.3">
      <c r="A313" s="59" t="s">
        <v>2</v>
      </c>
      <c r="B313" s="58" t="s">
        <v>7</v>
      </c>
      <c r="C313" s="108">
        <v>7</v>
      </c>
      <c r="D313" s="108">
        <v>4.3</v>
      </c>
      <c r="E313" s="51">
        <v>7</v>
      </c>
      <c r="F313" s="4" t="s">
        <v>90</v>
      </c>
      <c r="G313" s="4" t="s">
        <v>153</v>
      </c>
      <c r="H313" s="48">
        <f>IF(G313&gt;0,VLOOKUP(G313,Apoio!$A$2:$B$25,2,0),"")</f>
        <v>8</v>
      </c>
      <c r="I313" s="44">
        <f t="shared" si="47"/>
        <v>91.162790697674424</v>
      </c>
      <c r="J313" s="98">
        <f t="shared" si="53"/>
        <v>13.674418604651164</v>
      </c>
      <c r="K313" s="406">
        <f t="shared" si="54"/>
        <v>77.488372093023258</v>
      </c>
      <c r="L313" s="103"/>
      <c r="M313" s="103"/>
      <c r="N313" s="10"/>
    </row>
    <row r="314" spans="1:14" x14ac:dyDescent="0.3">
      <c r="A314" s="59" t="s">
        <v>2</v>
      </c>
      <c r="B314" s="58" t="s">
        <v>8</v>
      </c>
      <c r="C314" s="57">
        <v>5</v>
      </c>
      <c r="D314" s="108">
        <v>5.2</v>
      </c>
      <c r="E314" s="51">
        <v>7</v>
      </c>
      <c r="F314" s="4" t="s">
        <v>69</v>
      </c>
      <c r="G314" s="4" t="s">
        <v>68</v>
      </c>
      <c r="H314" s="48">
        <f>IF(G314&gt;0,VLOOKUP(G314,Apoio!$A$2:$B$25,2,0),"")</f>
        <v>7</v>
      </c>
      <c r="I314" s="44">
        <f t="shared" ref="I314" si="55">IF(D314&gt;0,(((H314*E314)*C314)/D314),"")</f>
        <v>47.115384615384613</v>
      </c>
      <c r="J314" s="98">
        <f t="shared" ref="J314" si="56">I314*15%</f>
        <v>7.0673076923076916</v>
      </c>
      <c r="K314" s="103"/>
      <c r="L314" s="103"/>
      <c r="M314" s="103"/>
      <c r="N314" s="10"/>
    </row>
    <row r="315" spans="1:14" x14ac:dyDescent="0.3">
      <c r="A315" s="59" t="s">
        <v>2</v>
      </c>
      <c r="B315" s="58" t="s">
        <v>8</v>
      </c>
      <c r="C315" s="57">
        <v>5</v>
      </c>
      <c r="D315" s="108">
        <v>5.2</v>
      </c>
      <c r="E315" s="51">
        <v>7</v>
      </c>
      <c r="F315" s="4" t="s">
        <v>69</v>
      </c>
      <c r="G315" s="4" t="s">
        <v>75</v>
      </c>
      <c r="H315" s="48">
        <f>IF(G315&gt;0,VLOOKUP(G315,Apoio!$A$2:$B$25,2,0),"")</f>
        <v>8</v>
      </c>
      <c r="I315" s="44">
        <f t="shared" si="47"/>
        <v>53.846153846153847</v>
      </c>
      <c r="J315" s="98">
        <f t="shared" ref="J315:J336" si="57">I315*30%</f>
        <v>16.153846153846153</v>
      </c>
      <c r="K315" s="103"/>
      <c r="L315" s="103"/>
      <c r="M315" s="103"/>
      <c r="N315" s="10"/>
    </row>
    <row r="316" spans="1:14" x14ac:dyDescent="0.3">
      <c r="A316" s="59" t="s">
        <v>2</v>
      </c>
      <c r="B316" s="58" t="s">
        <v>8</v>
      </c>
      <c r="C316" s="73">
        <v>5</v>
      </c>
      <c r="D316" s="108">
        <v>5.2</v>
      </c>
      <c r="E316" s="51">
        <v>7</v>
      </c>
      <c r="F316" s="4" t="s">
        <v>69</v>
      </c>
      <c r="G316" s="4" t="s">
        <v>82</v>
      </c>
      <c r="H316" s="48">
        <f>IF(G316&gt;0,VLOOKUP(G316,Apoio!$A$2:$B$25,2,0),"")</f>
        <v>6</v>
      </c>
      <c r="I316" s="44">
        <f t="shared" si="47"/>
        <v>40.38461538461538</v>
      </c>
      <c r="J316" s="98">
        <f t="shared" si="57"/>
        <v>12.115384615384613</v>
      </c>
      <c r="K316" s="103"/>
      <c r="L316" s="103"/>
      <c r="M316" s="103"/>
      <c r="N316" s="10"/>
    </row>
    <row r="317" spans="1:14" x14ac:dyDescent="0.3">
      <c r="A317" s="59" t="s">
        <v>2</v>
      </c>
      <c r="B317" s="58" t="s">
        <v>8</v>
      </c>
      <c r="C317" s="73">
        <v>5</v>
      </c>
      <c r="D317" s="108">
        <v>5.2</v>
      </c>
      <c r="E317" s="51">
        <v>7</v>
      </c>
      <c r="F317" s="4" t="s">
        <v>69</v>
      </c>
      <c r="G317" s="4" t="s">
        <v>89</v>
      </c>
      <c r="H317" s="48">
        <f>IF(G317&gt;0,VLOOKUP(G317,Apoio!$A$2:$B$25,2,0),"")</f>
        <v>8</v>
      </c>
      <c r="I317" s="44">
        <f t="shared" si="47"/>
        <v>53.846153846153847</v>
      </c>
      <c r="J317" s="98">
        <f t="shared" si="57"/>
        <v>16.153846153846153</v>
      </c>
      <c r="K317" s="103"/>
      <c r="L317" s="103"/>
      <c r="M317" s="103"/>
      <c r="N317" s="10"/>
    </row>
    <row r="318" spans="1:14" x14ac:dyDescent="0.3">
      <c r="A318" s="59" t="s">
        <v>2</v>
      </c>
      <c r="B318" s="58" t="s">
        <v>8</v>
      </c>
      <c r="C318" s="73">
        <v>5</v>
      </c>
      <c r="D318" s="108">
        <v>5.2</v>
      </c>
      <c r="E318" s="51">
        <v>7</v>
      </c>
      <c r="F318" s="4" t="s">
        <v>69</v>
      </c>
      <c r="G318" s="4" t="s">
        <v>96</v>
      </c>
      <c r="H318" s="48">
        <f>IF(G318&gt;0,VLOOKUP(G318,Apoio!$A$2:$B$25,2,0),"")</f>
        <v>8</v>
      </c>
      <c r="I318" s="44">
        <f t="shared" si="47"/>
        <v>53.846153846153847</v>
      </c>
      <c r="J318" s="98">
        <f t="shared" si="57"/>
        <v>16.153846153846153</v>
      </c>
      <c r="K318" s="103"/>
      <c r="L318" s="103"/>
      <c r="M318" s="103"/>
      <c r="N318" s="10"/>
    </row>
    <row r="319" spans="1:14" x14ac:dyDescent="0.3">
      <c r="A319" s="59" t="s">
        <v>2</v>
      </c>
      <c r="B319" s="58" t="s">
        <v>8</v>
      </c>
      <c r="C319" s="73">
        <v>5</v>
      </c>
      <c r="D319" s="108">
        <v>5.2</v>
      </c>
      <c r="E319" s="51">
        <v>7</v>
      </c>
      <c r="F319" s="4" t="s">
        <v>69</v>
      </c>
      <c r="G319" s="4" t="s">
        <v>99</v>
      </c>
      <c r="H319" s="48">
        <f>IF(G319&gt;0,VLOOKUP(G319,Apoio!$A$2:$B$25,2,0),"")</f>
        <v>2</v>
      </c>
      <c r="I319" s="44">
        <f t="shared" si="47"/>
        <v>13.461538461538462</v>
      </c>
      <c r="J319" s="98">
        <f t="shared" si="57"/>
        <v>4.0384615384615383</v>
      </c>
      <c r="K319" s="103"/>
      <c r="L319" s="103"/>
      <c r="M319" s="103"/>
      <c r="N319" s="10"/>
    </row>
    <row r="320" spans="1:14" x14ac:dyDescent="0.3">
      <c r="A320" s="59" t="s">
        <v>2</v>
      </c>
      <c r="B320" s="58" t="s">
        <v>8</v>
      </c>
      <c r="C320" s="73">
        <v>6</v>
      </c>
      <c r="D320" s="108">
        <v>5.2</v>
      </c>
      <c r="E320" s="51">
        <v>7</v>
      </c>
      <c r="F320" s="4" t="s">
        <v>76</v>
      </c>
      <c r="G320" s="4" t="s">
        <v>102</v>
      </c>
      <c r="H320" s="48">
        <f>IF(G320&gt;0,VLOOKUP(G320,Apoio!$A$2:$B$25,2,0),"")</f>
        <v>5</v>
      </c>
      <c r="I320" s="44">
        <f t="shared" si="47"/>
        <v>40.38461538461538</v>
      </c>
      <c r="J320" s="98">
        <f t="shared" si="57"/>
        <v>12.115384615384613</v>
      </c>
      <c r="K320" s="103"/>
      <c r="L320" s="103"/>
      <c r="M320" s="103"/>
      <c r="N320" s="10"/>
    </row>
    <row r="321" spans="1:14" x14ac:dyDescent="0.3">
      <c r="A321" s="59" t="s">
        <v>2</v>
      </c>
      <c r="B321" s="58" t="s">
        <v>8</v>
      </c>
      <c r="C321" s="57">
        <v>6</v>
      </c>
      <c r="D321" s="108">
        <v>5.2</v>
      </c>
      <c r="E321" s="51">
        <v>7</v>
      </c>
      <c r="F321" s="4" t="s">
        <v>76</v>
      </c>
      <c r="G321" s="4" t="s">
        <v>105</v>
      </c>
      <c r="H321" s="48">
        <f>IF(G321&gt;0,VLOOKUP(G321,Apoio!$A$2:$B$25,2,0),"")</f>
        <v>7</v>
      </c>
      <c r="I321" s="44">
        <f t="shared" si="47"/>
        <v>56.538461538461533</v>
      </c>
      <c r="J321" s="98">
        <f t="shared" ref="J321:J326" si="58">I321*20%</f>
        <v>11.307692307692307</v>
      </c>
      <c r="K321" s="103"/>
      <c r="L321" s="103"/>
      <c r="M321" s="103"/>
      <c r="N321" s="10"/>
    </row>
    <row r="322" spans="1:14" x14ac:dyDescent="0.3">
      <c r="A322" s="59" t="s">
        <v>2</v>
      </c>
      <c r="B322" s="58" t="s">
        <v>8</v>
      </c>
      <c r="C322" s="57">
        <v>6</v>
      </c>
      <c r="D322" s="108">
        <v>5.2</v>
      </c>
      <c r="E322" s="51">
        <v>7</v>
      </c>
      <c r="F322" s="4" t="s">
        <v>76</v>
      </c>
      <c r="G322" s="4" t="s">
        <v>108</v>
      </c>
      <c r="H322" s="48">
        <f>IF(G322&gt;0,VLOOKUP(G322,Apoio!$A$2:$B$25,2,0),"")</f>
        <v>8</v>
      </c>
      <c r="I322" s="44">
        <f t="shared" si="47"/>
        <v>64.615384615384613</v>
      </c>
      <c r="J322" s="98">
        <f t="shared" si="58"/>
        <v>12.923076923076923</v>
      </c>
      <c r="K322" s="103"/>
      <c r="L322" s="103"/>
      <c r="M322" s="103"/>
      <c r="N322" s="10"/>
    </row>
    <row r="323" spans="1:14" x14ac:dyDescent="0.3">
      <c r="A323" s="59" t="s">
        <v>2</v>
      </c>
      <c r="B323" s="58" t="s">
        <v>8</v>
      </c>
      <c r="C323" s="57">
        <v>6</v>
      </c>
      <c r="D323" s="108">
        <v>5.2</v>
      </c>
      <c r="E323" s="51">
        <v>7</v>
      </c>
      <c r="F323" s="4" t="s">
        <v>76</v>
      </c>
      <c r="G323" s="4" t="s">
        <v>111</v>
      </c>
      <c r="H323" s="48">
        <f>IF(G323&gt;0,VLOOKUP(G323,Apoio!$A$2:$B$25,2,0),"")</f>
        <v>7</v>
      </c>
      <c r="I323" s="44">
        <f t="shared" si="47"/>
        <v>56.538461538461533</v>
      </c>
      <c r="J323" s="98">
        <f t="shared" si="58"/>
        <v>11.307692307692307</v>
      </c>
      <c r="K323" s="103"/>
      <c r="L323" s="103"/>
      <c r="M323" s="103"/>
      <c r="N323" s="10"/>
    </row>
    <row r="324" spans="1:14" x14ac:dyDescent="0.3">
      <c r="A324" s="59" t="s">
        <v>2</v>
      </c>
      <c r="B324" s="58" t="s">
        <v>8</v>
      </c>
      <c r="C324" s="57">
        <v>6</v>
      </c>
      <c r="D324" s="108">
        <v>5.2</v>
      </c>
      <c r="E324" s="51">
        <v>7</v>
      </c>
      <c r="F324" s="4" t="s">
        <v>76</v>
      </c>
      <c r="G324" s="4" t="s">
        <v>114</v>
      </c>
      <c r="H324" s="48">
        <f>IF(G324&gt;0,VLOOKUP(G324,Apoio!$A$2:$B$25,2,0),"")</f>
        <v>8</v>
      </c>
      <c r="I324" s="44">
        <f t="shared" si="47"/>
        <v>64.615384615384613</v>
      </c>
      <c r="J324" s="98">
        <f t="shared" si="58"/>
        <v>12.923076923076923</v>
      </c>
      <c r="K324" s="103"/>
      <c r="L324" s="103"/>
      <c r="M324" s="103"/>
      <c r="N324" s="10"/>
    </row>
    <row r="325" spans="1:14" x14ac:dyDescent="0.3">
      <c r="A325" s="59" t="s">
        <v>2</v>
      </c>
      <c r="B325" s="58" t="s">
        <v>8</v>
      </c>
      <c r="C325" s="57">
        <v>6</v>
      </c>
      <c r="D325" s="108">
        <v>5.2</v>
      </c>
      <c r="E325" s="51">
        <v>7</v>
      </c>
      <c r="F325" s="4" t="s">
        <v>76</v>
      </c>
      <c r="G325" s="4" t="s">
        <v>117</v>
      </c>
      <c r="H325" s="48">
        <f>IF(G325&gt;0,VLOOKUP(G325,Apoio!$A$2:$B$25,2,0),"")</f>
        <v>3</v>
      </c>
      <c r="I325" s="44">
        <f t="shared" si="47"/>
        <v>24.23076923076923</v>
      </c>
      <c r="J325" s="98">
        <f t="shared" si="58"/>
        <v>4.8461538461538467</v>
      </c>
      <c r="K325" s="103"/>
      <c r="L325" s="103"/>
      <c r="M325" s="103"/>
      <c r="N325" s="10"/>
    </row>
    <row r="326" spans="1:14" x14ac:dyDescent="0.3">
      <c r="A326" s="58" t="s">
        <v>2</v>
      </c>
      <c r="B326" s="58" t="s">
        <v>8</v>
      </c>
      <c r="C326" s="57">
        <v>6</v>
      </c>
      <c r="D326" s="108">
        <v>5.2</v>
      </c>
      <c r="E326" s="51">
        <v>7</v>
      </c>
      <c r="F326" s="4" t="s">
        <v>83</v>
      </c>
      <c r="G326" s="4" t="s">
        <v>120</v>
      </c>
      <c r="H326" s="48">
        <f>IF(G326&gt;0,VLOOKUP(G326,Apoio!$A$2:$B$25,2,0),"")</f>
        <v>7</v>
      </c>
      <c r="I326" s="44">
        <f t="shared" si="47"/>
        <v>56.538461538461533</v>
      </c>
      <c r="J326" s="98">
        <f t="shared" si="58"/>
        <v>11.307692307692307</v>
      </c>
      <c r="K326" s="103"/>
      <c r="L326" s="103"/>
      <c r="M326" s="103"/>
      <c r="N326" s="10"/>
    </row>
    <row r="327" spans="1:14" x14ac:dyDescent="0.3">
      <c r="A327" s="58" t="s">
        <v>2</v>
      </c>
      <c r="B327" s="58" t="s">
        <v>8</v>
      </c>
      <c r="C327" s="57">
        <v>6</v>
      </c>
      <c r="D327" s="108">
        <v>5.2</v>
      </c>
      <c r="E327" s="51">
        <v>7</v>
      </c>
      <c r="F327" s="4" t="s">
        <v>83</v>
      </c>
      <c r="G327" s="4" t="s">
        <v>123</v>
      </c>
      <c r="H327" s="48">
        <f>IF(G327&gt;0,VLOOKUP(G327,Apoio!$A$2:$B$25,2,0),"")</f>
        <v>8</v>
      </c>
      <c r="I327" s="44">
        <f t="shared" si="47"/>
        <v>64.615384615384613</v>
      </c>
      <c r="J327" s="98">
        <f t="shared" si="57"/>
        <v>19.384615384615383</v>
      </c>
      <c r="K327" s="103"/>
      <c r="L327" s="103"/>
      <c r="M327" s="103" t="s">
        <v>221</v>
      </c>
      <c r="N327" s="10"/>
    </row>
    <row r="328" spans="1:14" x14ac:dyDescent="0.3">
      <c r="A328" s="58" t="s">
        <v>2</v>
      </c>
      <c r="B328" s="58" t="s">
        <v>8</v>
      </c>
      <c r="C328" s="73">
        <v>6</v>
      </c>
      <c r="D328" s="108">
        <v>5.2</v>
      </c>
      <c r="E328" s="51">
        <v>7</v>
      </c>
      <c r="F328" s="4" t="s">
        <v>83</v>
      </c>
      <c r="G328" s="4" t="s">
        <v>126</v>
      </c>
      <c r="H328" s="48">
        <f>IF(G328&gt;0,VLOOKUP(G328,Apoio!$A$2:$B$25,2,0),"")</f>
        <v>8</v>
      </c>
      <c r="I328" s="44">
        <f t="shared" si="47"/>
        <v>64.615384615384613</v>
      </c>
      <c r="J328" s="98">
        <f t="shared" si="57"/>
        <v>19.384615384615383</v>
      </c>
      <c r="K328" s="103"/>
      <c r="L328" s="103"/>
      <c r="M328" s="103" t="s">
        <v>221</v>
      </c>
      <c r="N328" s="10"/>
    </row>
    <row r="329" spans="1:14" x14ac:dyDescent="0.3">
      <c r="A329" s="58" t="s">
        <v>2</v>
      </c>
      <c r="B329" s="58" t="s">
        <v>8</v>
      </c>
      <c r="C329" s="73">
        <v>6</v>
      </c>
      <c r="D329" s="108">
        <v>5.2</v>
      </c>
      <c r="E329" s="51">
        <v>7</v>
      </c>
      <c r="F329" s="4" t="s">
        <v>83</v>
      </c>
      <c r="G329" s="4" t="s">
        <v>129</v>
      </c>
      <c r="H329" s="48">
        <f>IF(G329&gt;0,VLOOKUP(G329,Apoio!$A$2:$B$25,2,0),"")</f>
        <v>8</v>
      </c>
      <c r="I329" s="44">
        <f t="shared" si="47"/>
        <v>64.615384615384613</v>
      </c>
      <c r="J329" s="98">
        <f t="shared" si="57"/>
        <v>19.384615384615383</v>
      </c>
      <c r="K329" s="103"/>
      <c r="L329" s="103"/>
      <c r="M329" s="103" t="s">
        <v>221</v>
      </c>
      <c r="N329" s="10"/>
    </row>
    <row r="330" spans="1:14" x14ac:dyDescent="0.3">
      <c r="A330" s="58" t="s">
        <v>2</v>
      </c>
      <c r="B330" s="58" t="s">
        <v>8</v>
      </c>
      <c r="C330" s="73">
        <v>6</v>
      </c>
      <c r="D330" s="108">
        <v>5.2</v>
      </c>
      <c r="E330" s="51">
        <v>7</v>
      </c>
      <c r="F330" s="4" t="s">
        <v>83</v>
      </c>
      <c r="G330" s="4" t="s">
        <v>132</v>
      </c>
      <c r="H330" s="48">
        <f>IF(G330&gt;0,VLOOKUP(G330,Apoio!$A$2:$B$25,2,0),"")</f>
        <v>7</v>
      </c>
      <c r="I330" s="44">
        <f>IF(D330&gt;0,(((H330*E330)*C330)/D330),"")</f>
        <v>56.538461538461533</v>
      </c>
      <c r="J330" s="98">
        <f t="shared" si="57"/>
        <v>16.96153846153846</v>
      </c>
      <c r="K330" s="103"/>
      <c r="L330" s="103"/>
      <c r="M330" s="103" t="s">
        <v>221</v>
      </c>
      <c r="N330" s="10"/>
    </row>
    <row r="331" spans="1:14" x14ac:dyDescent="0.3">
      <c r="A331" s="58" t="s">
        <v>2</v>
      </c>
      <c r="B331" s="58" t="s">
        <v>8</v>
      </c>
      <c r="C331" s="73">
        <v>6</v>
      </c>
      <c r="D331" s="108">
        <v>5.2</v>
      </c>
      <c r="E331" s="51">
        <v>7</v>
      </c>
      <c r="F331" s="4" t="s">
        <v>83</v>
      </c>
      <c r="G331" s="4" t="s">
        <v>135</v>
      </c>
      <c r="H331" s="48">
        <f>IF(G331&gt;0,VLOOKUP(G331,Apoio!$A$2:$B$25,2,0),"")</f>
        <v>3</v>
      </c>
      <c r="I331" s="44">
        <f t="shared" si="47"/>
        <v>24.23076923076923</v>
      </c>
      <c r="J331" s="98">
        <f t="shared" si="57"/>
        <v>7.2692307692307683</v>
      </c>
      <c r="K331" s="103"/>
      <c r="L331" s="103"/>
      <c r="M331" s="103" t="s">
        <v>221</v>
      </c>
      <c r="N331" s="10"/>
    </row>
    <row r="332" spans="1:14" x14ac:dyDescent="0.3">
      <c r="A332" s="59" t="s">
        <v>2</v>
      </c>
      <c r="B332" s="58" t="s">
        <v>8</v>
      </c>
      <c r="C332" s="117">
        <v>6</v>
      </c>
      <c r="D332" s="108">
        <v>5.2</v>
      </c>
      <c r="E332" s="51">
        <v>7</v>
      </c>
      <c r="F332" s="4" t="s">
        <v>90</v>
      </c>
      <c r="G332" s="4" t="s">
        <v>138</v>
      </c>
      <c r="H332" s="48">
        <f>IF(G332&gt;0,VLOOKUP(G332,Apoio!$A$2:$B$25,2,0),"")</f>
        <v>8</v>
      </c>
      <c r="I332" s="44">
        <f t="shared" si="47"/>
        <v>64.615384615384613</v>
      </c>
      <c r="J332" s="98">
        <f t="shared" si="57"/>
        <v>19.384615384615383</v>
      </c>
      <c r="K332" s="406">
        <f t="shared" ref="K332:K338" si="59">I332-J332</f>
        <v>45.230769230769226</v>
      </c>
      <c r="L332" s="103"/>
      <c r="M332" s="103"/>
      <c r="N332" s="10"/>
    </row>
    <row r="333" spans="1:14" x14ac:dyDescent="0.3">
      <c r="A333" s="59" t="s">
        <v>2</v>
      </c>
      <c r="B333" s="58" t="s">
        <v>8</v>
      </c>
      <c r="C333" s="403">
        <v>6</v>
      </c>
      <c r="D333" s="108">
        <v>5.2</v>
      </c>
      <c r="E333" s="51">
        <v>7</v>
      </c>
      <c r="F333" s="4" t="s">
        <v>90</v>
      </c>
      <c r="G333" s="4" t="s">
        <v>141</v>
      </c>
      <c r="H333" s="48">
        <f>IF(G333&gt;0,VLOOKUP(G333,Apoio!$A$2:$B$25,2,0),"")</f>
        <v>7</v>
      </c>
      <c r="I333" s="44">
        <f t="shared" si="47"/>
        <v>56.538461538461533</v>
      </c>
      <c r="J333" s="98">
        <f t="shared" si="57"/>
        <v>16.96153846153846</v>
      </c>
      <c r="K333" s="406">
        <f t="shared" si="59"/>
        <v>39.576923076923073</v>
      </c>
      <c r="L333" s="103"/>
      <c r="M333" s="103"/>
      <c r="N333" s="10"/>
    </row>
    <row r="334" spans="1:14" x14ac:dyDescent="0.3">
      <c r="A334" s="59" t="s">
        <v>2</v>
      </c>
      <c r="B334" s="58" t="s">
        <v>8</v>
      </c>
      <c r="C334" s="403">
        <v>6</v>
      </c>
      <c r="D334" s="108">
        <v>5.2</v>
      </c>
      <c r="E334" s="51">
        <v>7</v>
      </c>
      <c r="F334" s="4" t="s">
        <v>90</v>
      </c>
      <c r="G334" s="4" t="s">
        <v>144</v>
      </c>
      <c r="H334" s="48">
        <f>IF(G334&gt;0,VLOOKUP(G334,Apoio!$A$2:$B$25,2,0),"")</f>
        <v>7</v>
      </c>
      <c r="I334" s="44">
        <f t="shared" si="47"/>
        <v>56.538461538461533</v>
      </c>
      <c r="J334" s="98">
        <f t="shared" si="57"/>
        <v>16.96153846153846</v>
      </c>
      <c r="K334" s="406">
        <f t="shared" si="59"/>
        <v>39.576923076923073</v>
      </c>
      <c r="L334" s="103"/>
      <c r="M334" s="103"/>
      <c r="N334" s="10"/>
    </row>
    <row r="335" spans="1:14" x14ac:dyDescent="0.3">
      <c r="A335" s="59" t="s">
        <v>2</v>
      </c>
      <c r="B335" s="58" t="s">
        <v>8</v>
      </c>
      <c r="C335" s="403">
        <v>6</v>
      </c>
      <c r="D335" s="108">
        <v>5.2</v>
      </c>
      <c r="E335" s="51">
        <v>7</v>
      </c>
      <c r="F335" s="4" t="s">
        <v>90</v>
      </c>
      <c r="G335" s="4" t="s">
        <v>147</v>
      </c>
      <c r="H335" s="48">
        <f>IF(G335&gt;0,VLOOKUP(G335,Apoio!$A$2:$B$25,2,0),"")</f>
        <v>7</v>
      </c>
      <c r="I335" s="44">
        <f t="shared" si="47"/>
        <v>56.538461538461533</v>
      </c>
      <c r="J335" s="98">
        <f t="shared" si="57"/>
        <v>16.96153846153846</v>
      </c>
      <c r="K335" s="406">
        <f t="shared" si="59"/>
        <v>39.576923076923073</v>
      </c>
      <c r="L335" s="103"/>
      <c r="M335" s="103"/>
      <c r="N335" s="10"/>
    </row>
    <row r="336" spans="1:14" x14ac:dyDescent="0.3">
      <c r="A336" s="59" t="s">
        <v>2</v>
      </c>
      <c r="B336" s="58" t="s">
        <v>8</v>
      </c>
      <c r="C336" s="403">
        <v>6</v>
      </c>
      <c r="D336" s="108">
        <v>5.2</v>
      </c>
      <c r="E336" s="51">
        <v>7</v>
      </c>
      <c r="F336" s="4" t="s">
        <v>90</v>
      </c>
      <c r="G336" s="4" t="s">
        <v>150</v>
      </c>
      <c r="H336" s="48">
        <f>IF(G336&gt;0,VLOOKUP(G336,Apoio!$A$2:$B$25,2,0),"")</f>
        <v>8</v>
      </c>
      <c r="I336" s="44">
        <f t="shared" si="47"/>
        <v>64.615384615384613</v>
      </c>
      <c r="J336" s="98">
        <f t="shared" si="57"/>
        <v>19.384615384615383</v>
      </c>
      <c r="K336" s="406">
        <f t="shared" si="59"/>
        <v>45.230769230769226</v>
      </c>
      <c r="L336" s="103"/>
      <c r="M336" s="103"/>
      <c r="N336" s="10"/>
    </row>
    <row r="337" spans="1:14" x14ac:dyDescent="0.3">
      <c r="A337" s="59" t="s">
        <v>2</v>
      </c>
      <c r="B337" s="58" t="s">
        <v>8</v>
      </c>
      <c r="C337" s="403">
        <v>6</v>
      </c>
      <c r="D337" s="108">
        <v>5.2</v>
      </c>
      <c r="E337" s="51">
        <v>7</v>
      </c>
      <c r="F337" s="4" t="s">
        <v>90</v>
      </c>
      <c r="G337" s="4" t="s">
        <v>153</v>
      </c>
      <c r="H337" s="48">
        <f>IF(G337&gt;0,VLOOKUP(G337,Apoio!$A$2:$B$25,2,0),"")</f>
        <v>8</v>
      </c>
      <c r="I337" s="44">
        <f t="shared" si="47"/>
        <v>64.615384615384613</v>
      </c>
      <c r="J337" s="98">
        <v>2</v>
      </c>
      <c r="K337" s="406">
        <f t="shared" si="59"/>
        <v>62.615384615384613</v>
      </c>
      <c r="L337" s="103"/>
      <c r="M337" s="103"/>
      <c r="N337" s="10"/>
    </row>
    <row r="338" spans="1:14" x14ac:dyDescent="0.3">
      <c r="A338" s="4" t="s">
        <v>14</v>
      </c>
      <c r="B338" s="4" t="s">
        <v>15</v>
      </c>
      <c r="C338" s="108">
        <v>4</v>
      </c>
      <c r="D338" s="51">
        <v>4</v>
      </c>
      <c r="E338" s="51">
        <v>7</v>
      </c>
      <c r="F338" s="4" t="s">
        <v>69</v>
      </c>
      <c r="G338" s="4" t="s">
        <v>68</v>
      </c>
      <c r="H338" s="48">
        <f>IF(G338&gt;0,VLOOKUP(G338,Apoio!$A$2:$B$25,2,0),"")</f>
        <v>7</v>
      </c>
      <c r="I338" s="44">
        <f t="shared" si="47"/>
        <v>49</v>
      </c>
      <c r="J338" s="98">
        <f t="shared" ref="J338:J349" si="60">I338*34%</f>
        <v>16.66</v>
      </c>
      <c r="K338" s="406">
        <f t="shared" si="59"/>
        <v>32.340000000000003</v>
      </c>
      <c r="L338" s="103"/>
      <c r="M338" s="103" t="s">
        <v>273</v>
      </c>
      <c r="N338" s="10"/>
    </row>
    <row r="339" spans="1:14" x14ac:dyDescent="0.3">
      <c r="A339" s="4" t="s">
        <v>14</v>
      </c>
      <c r="B339" s="4" t="s">
        <v>15</v>
      </c>
      <c r="C339" s="58">
        <v>4</v>
      </c>
      <c r="D339" s="56">
        <v>4</v>
      </c>
      <c r="E339" s="51">
        <v>7</v>
      </c>
      <c r="F339" s="4" t="s">
        <v>69</v>
      </c>
      <c r="G339" s="4" t="s">
        <v>75</v>
      </c>
      <c r="H339" s="48">
        <f>IF(G339&gt;0,VLOOKUP(G339,Apoio!$A$2:$B$25,2,0),"")</f>
        <v>8</v>
      </c>
      <c r="I339" s="44">
        <f t="shared" si="47"/>
        <v>56</v>
      </c>
      <c r="J339" s="98">
        <f t="shared" si="60"/>
        <v>19.040000000000003</v>
      </c>
      <c r="K339" s="103"/>
      <c r="L339" s="103"/>
      <c r="M339" s="103" t="s">
        <v>273</v>
      </c>
      <c r="N339" s="10"/>
    </row>
    <row r="340" spans="1:14" x14ac:dyDescent="0.3">
      <c r="A340" s="4" t="s">
        <v>14</v>
      </c>
      <c r="B340" s="4" t="s">
        <v>15</v>
      </c>
      <c r="C340" s="58">
        <v>4</v>
      </c>
      <c r="D340" s="56">
        <v>4</v>
      </c>
      <c r="E340" s="51">
        <v>7</v>
      </c>
      <c r="F340" s="4" t="s">
        <v>69</v>
      </c>
      <c r="G340" s="4" t="s">
        <v>82</v>
      </c>
      <c r="H340" s="48">
        <f>IF(G340&gt;0,VLOOKUP(G340,Apoio!$A$2:$B$25,2,0),"")</f>
        <v>6</v>
      </c>
      <c r="I340" s="44">
        <f t="shared" si="47"/>
        <v>42</v>
      </c>
      <c r="J340" s="98">
        <f t="shared" si="60"/>
        <v>14.280000000000001</v>
      </c>
      <c r="K340" s="103"/>
      <c r="L340" s="103"/>
      <c r="M340" s="103" t="s">
        <v>273</v>
      </c>
      <c r="N340" s="10"/>
    </row>
    <row r="341" spans="1:14" x14ac:dyDescent="0.3">
      <c r="A341" s="4" t="s">
        <v>14</v>
      </c>
      <c r="B341" s="4" t="s">
        <v>15</v>
      </c>
      <c r="C341" s="58">
        <v>4</v>
      </c>
      <c r="D341" s="56">
        <v>4</v>
      </c>
      <c r="E341" s="51">
        <v>7</v>
      </c>
      <c r="F341" s="4" t="s">
        <v>69</v>
      </c>
      <c r="G341" s="4" t="s">
        <v>89</v>
      </c>
      <c r="H341" s="48">
        <f>IF(G341&gt;0,VLOOKUP(G341,Apoio!$A$2:$B$25,2,0),"")</f>
        <v>8</v>
      </c>
      <c r="I341" s="44">
        <f t="shared" si="47"/>
        <v>56</v>
      </c>
      <c r="J341" s="98">
        <f t="shared" si="60"/>
        <v>19.040000000000003</v>
      </c>
      <c r="K341" s="103"/>
      <c r="L341" s="103"/>
      <c r="M341" s="103" t="s">
        <v>273</v>
      </c>
      <c r="N341" s="10"/>
    </row>
    <row r="342" spans="1:14" x14ac:dyDescent="0.3">
      <c r="A342" s="4" t="s">
        <v>14</v>
      </c>
      <c r="B342" s="4" t="s">
        <v>15</v>
      </c>
      <c r="C342" s="58">
        <v>4</v>
      </c>
      <c r="D342" s="56">
        <v>4</v>
      </c>
      <c r="E342" s="51">
        <v>7</v>
      </c>
      <c r="F342" s="4" t="s">
        <v>69</v>
      </c>
      <c r="G342" s="4" t="s">
        <v>96</v>
      </c>
      <c r="H342" s="48">
        <f>IF(G342&gt;0,VLOOKUP(G342,Apoio!$A$2:$B$25,2,0),"")</f>
        <v>8</v>
      </c>
      <c r="I342" s="44">
        <f t="shared" si="47"/>
        <v>56</v>
      </c>
      <c r="J342" s="98">
        <f t="shared" si="60"/>
        <v>19.040000000000003</v>
      </c>
      <c r="K342" s="103"/>
      <c r="L342" s="103"/>
      <c r="M342" s="103" t="s">
        <v>273</v>
      </c>
      <c r="N342" s="10"/>
    </row>
    <row r="343" spans="1:14" x14ac:dyDescent="0.3">
      <c r="A343" s="4" t="s">
        <v>14</v>
      </c>
      <c r="B343" s="4" t="s">
        <v>15</v>
      </c>
      <c r="C343" s="58">
        <v>4</v>
      </c>
      <c r="D343" s="56">
        <v>4</v>
      </c>
      <c r="E343" s="51">
        <v>7</v>
      </c>
      <c r="F343" s="4" t="s">
        <v>69</v>
      </c>
      <c r="G343" s="4" t="s">
        <v>99</v>
      </c>
      <c r="H343" s="48">
        <f>IF(G343&gt;0,VLOOKUP(G343,Apoio!$A$2:$B$25,2,0),"")</f>
        <v>2</v>
      </c>
      <c r="I343" s="44">
        <f t="shared" si="47"/>
        <v>14</v>
      </c>
      <c r="J343" s="98">
        <f t="shared" si="60"/>
        <v>4.7600000000000007</v>
      </c>
      <c r="K343" s="103"/>
      <c r="L343" s="103"/>
      <c r="M343" s="103" t="s">
        <v>273</v>
      </c>
      <c r="N343" s="10"/>
    </row>
    <row r="344" spans="1:14" x14ac:dyDescent="0.3">
      <c r="A344" s="4" t="s">
        <v>14</v>
      </c>
      <c r="B344" s="4" t="s">
        <v>15</v>
      </c>
      <c r="C344" s="58">
        <v>4</v>
      </c>
      <c r="D344" s="56">
        <v>5.07</v>
      </c>
      <c r="E344" s="51">
        <v>7</v>
      </c>
      <c r="F344" s="4" t="s">
        <v>76</v>
      </c>
      <c r="G344" s="4" t="s">
        <v>102</v>
      </c>
      <c r="H344" s="48">
        <f>IF(G344&gt;0,VLOOKUP(G344,Apoio!$A$2:$B$25,2,0),"")</f>
        <v>5</v>
      </c>
      <c r="I344" s="44">
        <f t="shared" si="47"/>
        <v>27.613412228796843</v>
      </c>
      <c r="J344" s="98">
        <f t="shared" si="60"/>
        <v>9.388560157790927</v>
      </c>
      <c r="K344" s="103"/>
      <c r="L344" s="103"/>
      <c r="M344" s="103" t="s">
        <v>273</v>
      </c>
      <c r="N344" s="10"/>
    </row>
    <row r="345" spans="1:14" x14ac:dyDescent="0.3">
      <c r="A345" s="4" t="s">
        <v>14</v>
      </c>
      <c r="B345" s="4" t="s">
        <v>15</v>
      </c>
      <c r="C345" s="58">
        <v>4</v>
      </c>
      <c r="D345" s="56">
        <v>5.07</v>
      </c>
      <c r="E345" s="51">
        <v>7</v>
      </c>
      <c r="F345" s="4" t="s">
        <v>76</v>
      </c>
      <c r="G345" s="4" t="s">
        <v>105</v>
      </c>
      <c r="H345" s="48">
        <f>IF(G345&gt;0,VLOOKUP(G345,Apoio!$A$2:$B$25,2,0),"")</f>
        <v>7</v>
      </c>
      <c r="I345" s="44">
        <f t="shared" si="47"/>
        <v>38.658777120315577</v>
      </c>
      <c r="J345" s="98">
        <f t="shared" si="60"/>
        <v>13.143984220907297</v>
      </c>
      <c r="K345" s="103"/>
      <c r="L345" s="103"/>
      <c r="M345" s="103" t="s">
        <v>273</v>
      </c>
      <c r="N345" s="10"/>
    </row>
    <row r="346" spans="1:14" x14ac:dyDescent="0.3">
      <c r="A346" s="4" t="s">
        <v>14</v>
      </c>
      <c r="B346" s="4" t="s">
        <v>15</v>
      </c>
      <c r="C346" s="58">
        <v>4</v>
      </c>
      <c r="D346" s="56">
        <v>5.07</v>
      </c>
      <c r="E346" s="51">
        <v>7</v>
      </c>
      <c r="F346" s="4" t="s">
        <v>76</v>
      </c>
      <c r="G346" s="4" t="s">
        <v>108</v>
      </c>
      <c r="H346" s="48">
        <f>IF(G346&gt;0,VLOOKUP(G346,Apoio!$A$2:$B$25,2,0),"")</f>
        <v>8</v>
      </c>
      <c r="I346" s="44">
        <f t="shared" si="47"/>
        <v>44.181459566074949</v>
      </c>
      <c r="J346" s="98">
        <f t="shared" si="60"/>
        <v>15.021696252465484</v>
      </c>
      <c r="K346" s="103"/>
      <c r="L346" s="103"/>
      <c r="M346" s="103" t="s">
        <v>273</v>
      </c>
      <c r="N346" s="10"/>
    </row>
    <row r="347" spans="1:14" x14ac:dyDescent="0.3">
      <c r="A347" s="4" t="s">
        <v>14</v>
      </c>
      <c r="B347" s="4" t="s">
        <v>15</v>
      </c>
      <c r="C347" s="58">
        <v>4</v>
      </c>
      <c r="D347" s="56">
        <v>5.07</v>
      </c>
      <c r="E347" s="51">
        <v>7</v>
      </c>
      <c r="F347" s="4" t="s">
        <v>76</v>
      </c>
      <c r="G347" s="4" t="s">
        <v>111</v>
      </c>
      <c r="H347" s="48">
        <f>IF(G347&gt;0,VLOOKUP(G347,Apoio!$A$2:$B$25,2,0),"")</f>
        <v>7</v>
      </c>
      <c r="I347" s="44">
        <f t="shared" ref="I347:I410" si="61">IF(D347&gt;0,(((H347*E347)*C347)/D347),"")</f>
        <v>38.658777120315577</v>
      </c>
      <c r="J347" s="98">
        <f t="shared" si="60"/>
        <v>13.143984220907297</v>
      </c>
      <c r="K347" s="103"/>
      <c r="L347" s="103"/>
      <c r="M347" s="103" t="s">
        <v>273</v>
      </c>
      <c r="N347" s="10"/>
    </row>
    <row r="348" spans="1:14" x14ac:dyDescent="0.3">
      <c r="A348" s="4" t="s">
        <v>14</v>
      </c>
      <c r="B348" s="4" t="s">
        <v>15</v>
      </c>
      <c r="C348" s="58">
        <v>4</v>
      </c>
      <c r="D348" s="56">
        <v>5.07</v>
      </c>
      <c r="E348" s="51">
        <v>7</v>
      </c>
      <c r="F348" s="4" t="s">
        <v>76</v>
      </c>
      <c r="G348" s="4" t="s">
        <v>114</v>
      </c>
      <c r="H348" s="48">
        <f>IF(G348&gt;0,VLOOKUP(G348,Apoio!$A$2:$B$25,2,0),"")</f>
        <v>8</v>
      </c>
      <c r="I348" s="44">
        <f t="shared" si="61"/>
        <v>44.181459566074949</v>
      </c>
      <c r="J348" s="98">
        <f t="shared" si="60"/>
        <v>15.021696252465484</v>
      </c>
      <c r="K348" s="103"/>
      <c r="L348" s="103"/>
      <c r="M348" s="103" t="s">
        <v>273</v>
      </c>
      <c r="N348" s="10"/>
    </row>
    <row r="349" spans="1:14" x14ac:dyDescent="0.3">
      <c r="A349" s="4" t="s">
        <v>14</v>
      </c>
      <c r="B349" s="4" t="s">
        <v>15</v>
      </c>
      <c r="C349" s="58">
        <v>4</v>
      </c>
      <c r="D349" s="56">
        <v>5.07</v>
      </c>
      <c r="E349" s="51">
        <v>7</v>
      </c>
      <c r="F349" s="4" t="s">
        <v>76</v>
      </c>
      <c r="G349" s="4" t="s">
        <v>117</v>
      </c>
      <c r="H349" s="48">
        <f>IF(G349&gt;0,VLOOKUP(G349,Apoio!$A$2:$B$25,2,0),"")</f>
        <v>3</v>
      </c>
      <c r="I349" s="44">
        <f t="shared" si="61"/>
        <v>16.568047337278106</v>
      </c>
      <c r="J349" s="98">
        <f t="shared" si="60"/>
        <v>5.6331360946745566</v>
      </c>
      <c r="K349" s="103"/>
      <c r="L349" s="103"/>
      <c r="M349" s="103" t="s">
        <v>273</v>
      </c>
      <c r="N349" s="10"/>
    </row>
    <row r="350" spans="1:14" x14ac:dyDescent="0.3">
      <c r="A350" s="4" t="s">
        <v>14</v>
      </c>
      <c r="B350" s="4" t="s">
        <v>15</v>
      </c>
      <c r="C350" s="58">
        <v>2</v>
      </c>
      <c r="D350" s="56">
        <v>6.1</v>
      </c>
      <c r="E350" s="51">
        <v>7</v>
      </c>
      <c r="F350" s="4" t="s">
        <v>83</v>
      </c>
      <c r="G350" s="4" t="s">
        <v>120</v>
      </c>
      <c r="H350" s="48">
        <f>IF(G350&gt;0,VLOOKUP(G350,Apoio!$A$2:$B$25,2,0),"")</f>
        <v>7</v>
      </c>
      <c r="I350" s="44">
        <f t="shared" si="61"/>
        <v>16.065573770491802</v>
      </c>
      <c r="J350" s="98">
        <v>7</v>
      </c>
      <c r="K350" s="103"/>
      <c r="L350" s="103"/>
      <c r="M350" s="103" t="s">
        <v>273</v>
      </c>
      <c r="N350" s="10"/>
    </row>
    <row r="351" spans="1:14" x14ac:dyDescent="0.3">
      <c r="A351" s="4" t="s">
        <v>14</v>
      </c>
      <c r="B351" s="4" t="s">
        <v>15</v>
      </c>
      <c r="C351" s="58">
        <v>2</v>
      </c>
      <c r="D351" s="56">
        <v>6.1</v>
      </c>
      <c r="E351" s="51">
        <v>7</v>
      </c>
      <c r="F351" s="4" t="s">
        <v>83</v>
      </c>
      <c r="G351" s="4" t="s">
        <v>123</v>
      </c>
      <c r="H351" s="48">
        <f>IF(G351&gt;0,VLOOKUP(G351,Apoio!$A$2:$B$25,2,0),"")</f>
        <v>8</v>
      </c>
      <c r="I351" s="44">
        <f t="shared" si="61"/>
        <v>18.360655737704921</v>
      </c>
      <c r="J351" s="98">
        <v>8</v>
      </c>
      <c r="K351" s="103"/>
      <c r="L351" s="103"/>
      <c r="M351" s="103" t="s">
        <v>273</v>
      </c>
      <c r="N351" s="10"/>
    </row>
    <row r="352" spans="1:14" x14ac:dyDescent="0.3">
      <c r="A352" s="4" t="s">
        <v>14</v>
      </c>
      <c r="B352" s="4" t="s">
        <v>15</v>
      </c>
      <c r="C352" s="58">
        <v>3.5</v>
      </c>
      <c r="D352" s="56">
        <v>6.1</v>
      </c>
      <c r="E352" s="51">
        <v>7</v>
      </c>
      <c r="F352" s="4" t="s">
        <v>83</v>
      </c>
      <c r="G352" s="4" t="s">
        <v>126</v>
      </c>
      <c r="H352" s="48">
        <f>IF(G352&gt;0,VLOOKUP(G352,Apoio!$A$2:$B$25,2,0),"")</f>
        <v>8</v>
      </c>
      <c r="I352" s="44">
        <f t="shared" si="61"/>
        <v>32.131147540983605</v>
      </c>
      <c r="J352" s="98">
        <v>9</v>
      </c>
      <c r="K352" s="103"/>
      <c r="L352" s="103"/>
      <c r="M352" s="103" t="s">
        <v>273</v>
      </c>
      <c r="N352" s="10"/>
    </row>
    <row r="353" spans="1:14" x14ac:dyDescent="0.3">
      <c r="A353" s="4" t="s">
        <v>14</v>
      </c>
      <c r="B353" s="4" t="s">
        <v>15</v>
      </c>
      <c r="C353" s="58">
        <v>3.5</v>
      </c>
      <c r="D353" s="56">
        <v>6.1</v>
      </c>
      <c r="E353" s="51">
        <v>7</v>
      </c>
      <c r="F353" s="4" t="s">
        <v>83</v>
      </c>
      <c r="G353" s="4" t="s">
        <v>129</v>
      </c>
      <c r="H353" s="48">
        <f>IF(G353&gt;0,VLOOKUP(G353,Apoio!$A$2:$B$25,2,0),"")</f>
        <v>8</v>
      </c>
      <c r="I353" s="44">
        <f t="shared" si="61"/>
        <v>32.131147540983605</v>
      </c>
      <c r="J353" s="98">
        <v>11</v>
      </c>
      <c r="K353" s="103"/>
      <c r="L353" s="103"/>
      <c r="M353" s="103" t="s">
        <v>273</v>
      </c>
      <c r="N353" s="10"/>
    </row>
    <row r="354" spans="1:14" x14ac:dyDescent="0.3">
      <c r="A354" s="4" t="s">
        <v>14</v>
      </c>
      <c r="B354" s="4" t="s">
        <v>15</v>
      </c>
      <c r="C354" s="58">
        <v>3.5</v>
      </c>
      <c r="D354" s="56">
        <v>6.1</v>
      </c>
      <c r="E354" s="51">
        <v>7</v>
      </c>
      <c r="F354" s="4" t="s">
        <v>83</v>
      </c>
      <c r="G354" s="4" t="s">
        <v>132</v>
      </c>
      <c r="H354" s="48">
        <f>IF(G354&gt;0,VLOOKUP(G354,Apoio!$A$2:$B$25,2,0),"")</f>
        <v>7</v>
      </c>
      <c r="I354" s="44">
        <f t="shared" si="61"/>
        <v>28.114754098360656</v>
      </c>
      <c r="J354" s="98">
        <v>5</v>
      </c>
      <c r="K354" s="103"/>
      <c r="L354" s="103"/>
      <c r="M354" s="103" t="s">
        <v>273</v>
      </c>
      <c r="N354" s="10"/>
    </row>
    <row r="355" spans="1:14" x14ac:dyDescent="0.3">
      <c r="A355" s="4" t="s">
        <v>14</v>
      </c>
      <c r="B355" s="4" t="s">
        <v>15</v>
      </c>
      <c r="C355" s="58">
        <v>4</v>
      </c>
      <c r="D355" s="56">
        <v>6.1</v>
      </c>
      <c r="E355" s="51">
        <v>7</v>
      </c>
      <c r="F355" s="4" t="s">
        <v>83</v>
      </c>
      <c r="G355" s="4" t="s">
        <v>135</v>
      </c>
      <c r="H355" s="48">
        <f>IF(G355&gt;0,VLOOKUP(G355,Apoio!$A$2:$B$25,2,0),"")</f>
        <v>3</v>
      </c>
      <c r="I355" s="44">
        <f t="shared" si="61"/>
        <v>13.77049180327869</v>
      </c>
      <c r="J355" s="98">
        <f t="shared" ref="J355:J360" si="62">I355*34%</f>
        <v>4.6819672131147545</v>
      </c>
      <c r="K355" s="103"/>
      <c r="L355" s="103"/>
      <c r="M355" s="103" t="s">
        <v>273</v>
      </c>
      <c r="N355" s="10"/>
    </row>
    <row r="356" spans="1:14" x14ac:dyDescent="0.3">
      <c r="A356" s="4" t="s">
        <v>14</v>
      </c>
      <c r="B356" s="4" t="s">
        <v>15</v>
      </c>
      <c r="C356" s="58">
        <v>4</v>
      </c>
      <c r="D356" s="56">
        <v>6.1</v>
      </c>
      <c r="E356" s="51">
        <v>7</v>
      </c>
      <c r="F356" s="4" t="s">
        <v>90</v>
      </c>
      <c r="G356" s="4" t="s">
        <v>138</v>
      </c>
      <c r="H356" s="48">
        <f>IF(G356&gt;0,VLOOKUP(G356,Apoio!$A$2:$B$25,2,0),"")</f>
        <v>8</v>
      </c>
      <c r="I356" s="44">
        <f t="shared" si="61"/>
        <v>36.721311475409841</v>
      </c>
      <c r="J356" s="98">
        <f t="shared" si="62"/>
        <v>12.485245901639347</v>
      </c>
      <c r="K356" s="103"/>
      <c r="L356" s="103"/>
      <c r="M356" s="103" t="s">
        <v>273</v>
      </c>
      <c r="N356" s="10"/>
    </row>
    <row r="357" spans="1:14" x14ac:dyDescent="0.3">
      <c r="A357" s="4" t="s">
        <v>14</v>
      </c>
      <c r="B357" s="4" t="s">
        <v>15</v>
      </c>
      <c r="C357" s="58">
        <v>4</v>
      </c>
      <c r="D357" s="56">
        <v>6.1</v>
      </c>
      <c r="E357" s="51">
        <v>7</v>
      </c>
      <c r="F357" s="4" t="s">
        <v>90</v>
      </c>
      <c r="G357" s="4" t="s">
        <v>141</v>
      </c>
      <c r="H357" s="48">
        <f>IF(G357&gt;0,VLOOKUP(G357,Apoio!$A$2:$B$25,2,0),"")</f>
        <v>7</v>
      </c>
      <c r="I357" s="44">
        <f t="shared" si="61"/>
        <v>32.131147540983605</v>
      </c>
      <c r="J357" s="98">
        <f t="shared" si="62"/>
        <v>10.924590163934427</v>
      </c>
      <c r="K357" s="103"/>
      <c r="L357" s="103"/>
      <c r="M357" s="103" t="s">
        <v>273</v>
      </c>
      <c r="N357" s="10"/>
    </row>
    <row r="358" spans="1:14" x14ac:dyDescent="0.3">
      <c r="A358" s="4" t="s">
        <v>14</v>
      </c>
      <c r="B358" s="4" t="s">
        <v>15</v>
      </c>
      <c r="C358" s="58">
        <v>3.5</v>
      </c>
      <c r="D358" s="56">
        <v>6.1</v>
      </c>
      <c r="E358" s="51">
        <v>7</v>
      </c>
      <c r="F358" s="4" t="s">
        <v>90</v>
      </c>
      <c r="G358" s="4" t="s">
        <v>144</v>
      </c>
      <c r="H358" s="48">
        <f>IF(G358&gt;0,VLOOKUP(G358,Apoio!$A$2:$B$25,2,0),"")</f>
        <v>7</v>
      </c>
      <c r="I358" s="44">
        <f t="shared" si="61"/>
        <v>28.114754098360656</v>
      </c>
      <c r="J358" s="98">
        <f t="shared" si="62"/>
        <v>9.559016393442624</v>
      </c>
      <c r="K358" s="103"/>
      <c r="L358" s="103"/>
      <c r="M358" s="103" t="s">
        <v>273</v>
      </c>
      <c r="N358" s="10"/>
    </row>
    <row r="359" spans="1:14" x14ac:dyDescent="0.3">
      <c r="A359" s="4" t="s">
        <v>14</v>
      </c>
      <c r="B359" s="4" t="s">
        <v>15</v>
      </c>
      <c r="C359" s="58">
        <v>2.5</v>
      </c>
      <c r="D359" s="56">
        <v>6.1</v>
      </c>
      <c r="E359" s="51">
        <v>7</v>
      </c>
      <c r="F359" s="4" t="s">
        <v>90</v>
      </c>
      <c r="G359" s="4" t="s">
        <v>147</v>
      </c>
      <c r="H359" s="48">
        <f>IF(G359&gt;0,VLOOKUP(G359,Apoio!$A$2:$B$25,2,0),"")</f>
        <v>7</v>
      </c>
      <c r="I359" s="44">
        <f t="shared" si="61"/>
        <v>20.081967213114755</v>
      </c>
      <c r="J359" s="98">
        <f t="shared" si="62"/>
        <v>6.8278688524590168</v>
      </c>
      <c r="K359" s="103"/>
      <c r="L359" s="103"/>
      <c r="M359" s="103" t="s">
        <v>273</v>
      </c>
      <c r="N359" s="10"/>
    </row>
    <row r="360" spans="1:14" x14ac:dyDescent="0.3">
      <c r="A360" s="4" t="s">
        <v>14</v>
      </c>
      <c r="B360" s="4" t="s">
        <v>15</v>
      </c>
      <c r="C360" s="58">
        <v>4</v>
      </c>
      <c r="D360" s="56">
        <v>6.1</v>
      </c>
      <c r="E360" s="51">
        <v>7</v>
      </c>
      <c r="F360" s="4" t="s">
        <v>90</v>
      </c>
      <c r="G360" s="4" t="s">
        <v>150</v>
      </c>
      <c r="H360" s="48">
        <f>IF(G360&gt;0,VLOOKUP(G360,Apoio!$A$2:$B$25,2,0),"")</f>
        <v>8</v>
      </c>
      <c r="I360" s="44">
        <f t="shared" si="61"/>
        <v>36.721311475409841</v>
      </c>
      <c r="J360" s="98">
        <f t="shared" si="62"/>
        <v>12.485245901639347</v>
      </c>
      <c r="K360" s="103"/>
      <c r="L360" s="103"/>
      <c r="M360" s="103" t="s">
        <v>273</v>
      </c>
      <c r="N360" s="10"/>
    </row>
    <row r="361" spans="1:14" x14ac:dyDescent="0.3">
      <c r="A361" s="4" t="s">
        <v>14</v>
      </c>
      <c r="B361" s="4" t="s">
        <v>16</v>
      </c>
      <c r="C361" s="58">
        <v>4</v>
      </c>
      <c r="D361" s="56">
        <v>6.4</v>
      </c>
      <c r="E361" s="51">
        <v>7</v>
      </c>
      <c r="F361" s="4" t="s">
        <v>69</v>
      </c>
      <c r="G361" s="4" t="s">
        <v>68</v>
      </c>
      <c r="H361" s="48">
        <f>IF(G361&gt;0,VLOOKUP(G361,Apoio!$A$2:$B$25,2,0),"")</f>
        <v>7</v>
      </c>
      <c r="I361" s="44">
        <f t="shared" si="61"/>
        <v>30.625</v>
      </c>
      <c r="J361" s="98">
        <f>I361*18%</f>
        <v>5.5125000000000002</v>
      </c>
      <c r="K361" s="103"/>
      <c r="L361" s="103"/>
      <c r="M361" s="103" t="s">
        <v>273</v>
      </c>
      <c r="N361" s="10"/>
    </row>
    <row r="362" spans="1:14" x14ac:dyDescent="0.3">
      <c r="A362" s="4" t="s">
        <v>14</v>
      </c>
      <c r="B362" s="4" t="s">
        <v>16</v>
      </c>
      <c r="C362" s="58">
        <v>4</v>
      </c>
      <c r="D362" s="56">
        <v>6.4</v>
      </c>
      <c r="E362" s="51">
        <v>7</v>
      </c>
      <c r="F362" s="4" t="s">
        <v>69</v>
      </c>
      <c r="G362" s="4" t="s">
        <v>75</v>
      </c>
      <c r="H362" s="48">
        <f>IF(G362&gt;0,VLOOKUP(G362,Apoio!$A$2:$B$25,2,0),"")</f>
        <v>8</v>
      </c>
      <c r="I362" s="44">
        <f t="shared" si="61"/>
        <v>35</v>
      </c>
      <c r="J362" s="98">
        <f>I362*18%</f>
        <v>6.3</v>
      </c>
      <c r="K362" s="103"/>
      <c r="L362" s="103"/>
      <c r="M362" s="103" t="s">
        <v>273</v>
      </c>
      <c r="N362" s="10"/>
    </row>
    <row r="363" spans="1:14" x14ac:dyDescent="0.3">
      <c r="A363" s="4" t="s">
        <v>14</v>
      </c>
      <c r="B363" s="4" t="s">
        <v>16</v>
      </c>
      <c r="C363" s="58">
        <v>4</v>
      </c>
      <c r="D363" s="56">
        <v>6.4</v>
      </c>
      <c r="E363" s="51">
        <v>7</v>
      </c>
      <c r="F363" s="4" t="s">
        <v>69</v>
      </c>
      <c r="G363" s="4" t="s">
        <v>82</v>
      </c>
      <c r="H363" s="48">
        <f>IF(G363&gt;0,VLOOKUP(G363,Apoio!$A$2:$B$25,2,0),"")</f>
        <v>6</v>
      </c>
      <c r="I363" s="44">
        <f t="shared" si="61"/>
        <v>26.25</v>
      </c>
      <c r="J363" s="98">
        <f>I363*18%</f>
        <v>4.7249999999999996</v>
      </c>
      <c r="K363" s="103"/>
      <c r="L363" s="103"/>
      <c r="M363" s="103" t="s">
        <v>273</v>
      </c>
      <c r="N363" s="10"/>
    </row>
    <row r="364" spans="1:14" x14ac:dyDescent="0.3">
      <c r="A364" s="4" t="s">
        <v>14</v>
      </c>
      <c r="B364" s="4" t="s">
        <v>16</v>
      </c>
      <c r="C364" s="58">
        <v>4</v>
      </c>
      <c r="D364" s="56">
        <v>6.4</v>
      </c>
      <c r="E364" s="51">
        <v>7</v>
      </c>
      <c r="F364" s="4" t="s">
        <v>69</v>
      </c>
      <c r="G364" s="4" t="s">
        <v>89</v>
      </c>
      <c r="H364" s="48">
        <f>IF(G364&gt;0,VLOOKUP(G364,Apoio!$A$2:$B$25,2,0),"")</f>
        <v>8</v>
      </c>
      <c r="I364" s="44">
        <f t="shared" si="61"/>
        <v>35</v>
      </c>
      <c r="J364" s="98">
        <f>I364*18%</f>
        <v>6.3</v>
      </c>
      <c r="K364" s="103"/>
      <c r="L364" s="103"/>
      <c r="M364" s="103" t="s">
        <v>273</v>
      </c>
      <c r="N364" s="10"/>
    </row>
    <row r="365" spans="1:14" x14ac:dyDescent="0.3">
      <c r="A365" s="4" t="s">
        <v>14</v>
      </c>
      <c r="B365" s="4" t="s">
        <v>16</v>
      </c>
      <c r="C365" s="58">
        <v>4</v>
      </c>
      <c r="D365" s="56">
        <v>6.4</v>
      </c>
      <c r="E365" s="51">
        <v>7</v>
      </c>
      <c r="F365" s="4" t="s">
        <v>69</v>
      </c>
      <c r="G365" s="4" t="s">
        <v>96</v>
      </c>
      <c r="H365" s="48">
        <f>IF(G365&gt;0,VLOOKUP(G365,Apoio!$A$2:$B$25,2,0),"")</f>
        <v>8</v>
      </c>
      <c r="I365" s="44">
        <f t="shared" si="61"/>
        <v>35</v>
      </c>
      <c r="J365" s="98">
        <f t="shared" ref="J365:J383" si="63">I365*18%</f>
        <v>6.3</v>
      </c>
      <c r="K365" s="103"/>
      <c r="L365" s="103"/>
      <c r="M365" s="103" t="s">
        <v>273</v>
      </c>
      <c r="N365" s="10"/>
    </row>
    <row r="366" spans="1:14" x14ac:dyDescent="0.3">
      <c r="A366" s="4" t="s">
        <v>14</v>
      </c>
      <c r="B366" s="4" t="s">
        <v>16</v>
      </c>
      <c r="C366" s="58">
        <v>4</v>
      </c>
      <c r="D366" s="56">
        <v>6.4</v>
      </c>
      <c r="E366" s="51">
        <v>7</v>
      </c>
      <c r="F366" s="4" t="s">
        <v>69</v>
      </c>
      <c r="G366" s="4" t="s">
        <v>99</v>
      </c>
      <c r="H366" s="48">
        <f>IF(G366&gt;0,VLOOKUP(G366,Apoio!$A$2:$B$25,2,0),"")</f>
        <v>2</v>
      </c>
      <c r="I366" s="44">
        <f t="shared" si="61"/>
        <v>8.75</v>
      </c>
      <c r="J366" s="98">
        <f t="shared" si="63"/>
        <v>1.575</v>
      </c>
      <c r="K366" s="103"/>
      <c r="L366" s="103"/>
      <c r="M366" s="103" t="s">
        <v>273</v>
      </c>
      <c r="N366" s="10"/>
    </row>
    <row r="367" spans="1:14" x14ac:dyDescent="0.3">
      <c r="A367" s="4" t="s">
        <v>14</v>
      </c>
      <c r="B367" s="4" t="s">
        <v>16</v>
      </c>
      <c r="C367" s="58">
        <v>4</v>
      </c>
      <c r="D367" s="56">
        <v>6.91</v>
      </c>
      <c r="E367" s="51">
        <v>7</v>
      </c>
      <c r="F367" s="4" t="s">
        <v>76</v>
      </c>
      <c r="G367" s="4" t="s">
        <v>102</v>
      </c>
      <c r="H367" s="48">
        <f>IF(G367&gt;0,VLOOKUP(G367,Apoio!$A$2:$B$25,2,0),"")</f>
        <v>5</v>
      </c>
      <c r="I367" s="44">
        <f t="shared" si="61"/>
        <v>20.260492040520983</v>
      </c>
      <c r="J367" s="98">
        <f t="shared" si="63"/>
        <v>3.646888567293777</v>
      </c>
      <c r="K367" s="103"/>
      <c r="L367" s="103"/>
      <c r="M367" s="103" t="s">
        <v>273</v>
      </c>
      <c r="N367" s="10"/>
    </row>
    <row r="368" spans="1:14" x14ac:dyDescent="0.3">
      <c r="A368" s="4" t="s">
        <v>14</v>
      </c>
      <c r="B368" s="4" t="s">
        <v>16</v>
      </c>
      <c r="C368" s="58">
        <v>4</v>
      </c>
      <c r="D368" s="56">
        <v>6.91</v>
      </c>
      <c r="E368" s="51">
        <v>7</v>
      </c>
      <c r="F368" s="4" t="s">
        <v>76</v>
      </c>
      <c r="G368" s="4" t="s">
        <v>105</v>
      </c>
      <c r="H368" s="48">
        <f>IF(G368&gt;0,VLOOKUP(G368,Apoio!$A$2:$B$25,2,0),"")</f>
        <v>7</v>
      </c>
      <c r="I368" s="44">
        <f t="shared" si="61"/>
        <v>28.364688856729376</v>
      </c>
      <c r="J368" s="98">
        <f t="shared" si="63"/>
        <v>5.1056439942112872</v>
      </c>
      <c r="K368" s="103"/>
      <c r="L368" s="103"/>
      <c r="M368" s="103" t="s">
        <v>273</v>
      </c>
      <c r="N368" s="10"/>
    </row>
    <row r="369" spans="1:14" x14ac:dyDescent="0.3">
      <c r="A369" s="4" t="s">
        <v>14</v>
      </c>
      <c r="B369" s="4" t="s">
        <v>16</v>
      </c>
      <c r="C369" s="58">
        <v>4</v>
      </c>
      <c r="D369" s="56">
        <v>6.91</v>
      </c>
      <c r="E369" s="51">
        <v>7</v>
      </c>
      <c r="F369" s="4" t="s">
        <v>76</v>
      </c>
      <c r="G369" s="4" t="s">
        <v>108</v>
      </c>
      <c r="H369" s="48">
        <f>IF(G369&gt;0,VLOOKUP(G369,Apoio!$A$2:$B$25,2,0),"")</f>
        <v>8</v>
      </c>
      <c r="I369" s="44">
        <f t="shared" si="61"/>
        <v>32.416787264833573</v>
      </c>
      <c r="J369" s="98">
        <f t="shared" si="63"/>
        <v>5.8350217076700428</v>
      </c>
      <c r="K369" s="103"/>
      <c r="L369" s="103"/>
      <c r="M369" s="103" t="s">
        <v>273</v>
      </c>
      <c r="N369" s="10"/>
    </row>
    <row r="370" spans="1:14" x14ac:dyDescent="0.3">
      <c r="A370" s="4" t="s">
        <v>14</v>
      </c>
      <c r="B370" s="4" t="s">
        <v>16</v>
      </c>
      <c r="C370" s="58">
        <v>4</v>
      </c>
      <c r="D370" s="56">
        <v>6.91</v>
      </c>
      <c r="E370" s="51">
        <v>7</v>
      </c>
      <c r="F370" s="4" t="s">
        <v>76</v>
      </c>
      <c r="G370" s="4" t="s">
        <v>111</v>
      </c>
      <c r="H370" s="48">
        <f>IF(G370&gt;0,VLOOKUP(G370,Apoio!$A$2:$B$25,2,0),"")</f>
        <v>7</v>
      </c>
      <c r="I370" s="44">
        <f t="shared" si="61"/>
        <v>28.364688856729376</v>
      </c>
      <c r="J370" s="98">
        <f t="shared" si="63"/>
        <v>5.1056439942112872</v>
      </c>
      <c r="K370" s="103"/>
      <c r="L370" s="103"/>
      <c r="M370" s="103" t="s">
        <v>273</v>
      </c>
      <c r="N370" s="10"/>
    </row>
    <row r="371" spans="1:14" x14ac:dyDescent="0.3">
      <c r="A371" s="4" t="s">
        <v>14</v>
      </c>
      <c r="B371" s="4" t="s">
        <v>16</v>
      </c>
      <c r="C371" s="58">
        <v>4</v>
      </c>
      <c r="D371" s="56">
        <v>6.91</v>
      </c>
      <c r="E371" s="51">
        <v>7</v>
      </c>
      <c r="F371" s="4" t="s">
        <v>76</v>
      </c>
      <c r="G371" s="4" t="s">
        <v>114</v>
      </c>
      <c r="H371" s="48">
        <f>IF(G371&gt;0,VLOOKUP(G371,Apoio!$A$2:$B$25,2,0),"")</f>
        <v>8</v>
      </c>
      <c r="I371" s="44">
        <f t="shared" si="61"/>
        <v>32.416787264833573</v>
      </c>
      <c r="J371" s="98">
        <f t="shared" si="63"/>
        <v>5.8350217076700428</v>
      </c>
      <c r="K371" s="103"/>
      <c r="L371" s="103"/>
      <c r="M371" s="103" t="s">
        <v>273</v>
      </c>
      <c r="N371" s="10"/>
    </row>
    <row r="372" spans="1:14" x14ac:dyDescent="0.3">
      <c r="A372" s="4" t="s">
        <v>14</v>
      </c>
      <c r="B372" s="4" t="s">
        <v>16</v>
      </c>
      <c r="C372" s="58">
        <v>4</v>
      </c>
      <c r="D372" s="56">
        <v>6.91</v>
      </c>
      <c r="E372" s="51">
        <v>7</v>
      </c>
      <c r="F372" s="4" t="s">
        <v>76</v>
      </c>
      <c r="G372" s="4" t="s">
        <v>117</v>
      </c>
      <c r="H372" s="48">
        <f>IF(G372&gt;0,VLOOKUP(G372,Apoio!$A$2:$B$25,2,0),"")</f>
        <v>3</v>
      </c>
      <c r="I372" s="44">
        <f t="shared" si="61"/>
        <v>12.15629522431259</v>
      </c>
      <c r="J372" s="98">
        <f t="shared" si="63"/>
        <v>2.1881331403762663</v>
      </c>
      <c r="K372" s="103"/>
      <c r="L372" s="103"/>
      <c r="M372" s="103" t="s">
        <v>273</v>
      </c>
      <c r="N372" s="10"/>
    </row>
    <row r="373" spans="1:14" x14ac:dyDescent="0.3">
      <c r="A373" s="4" t="s">
        <v>14</v>
      </c>
      <c r="B373" s="4" t="s">
        <v>16</v>
      </c>
      <c r="C373" s="58">
        <v>3</v>
      </c>
      <c r="D373" s="56">
        <v>5.5</v>
      </c>
      <c r="E373" s="51">
        <v>7</v>
      </c>
      <c r="F373" s="4" t="s">
        <v>83</v>
      </c>
      <c r="G373" s="4" t="s">
        <v>120</v>
      </c>
      <c r="H373" s="48">
        <f>IF(G373&gt;0,VLOOKUP(G373,Apoio!$A$2:$B$25,2,0),"")</f>
        <v>7</v>
      </c>
      <c r="I373" s="44">
        <f t="shared" si="61"/>
        <v>26.727272727272727</v>
      </c>
      <c r="J373" s="98">
        <v>3</v>
      </c>
      <c r="K373" s="103"/>
      <c r="L373" s="103"/>
      <c r="M373" s="103" t="s">
        <v>273</v>
      </c>
      <c r="N373" s="10"/>
    </row>
    <row r="374" spans="1:14" x14ac:dyDescent="0.3">
      <c r="A374" s="4" t="s">
        <v>14</v>
      </c>
      <c r="B374" s="4" t="s">
        <v>16</v>
      </c>
      <c r="C374" s="58">
        <v>3</v>
      </c>
      <c r="D374" s="56">
        <v>5.5</v>
      </c>
      <c r="E374" s="51">
        <v>7</v>
      </c>
      <c r="F374" s="4" t="s">
        <v>83</v>
      </c>
      <c r="G374" s="4" t="s">
        <v>123</v>
      </c>
      <c r="H374" s="48">
        <f>IF(G374&gt;0,VLOOKUP(G374,Apoio!$A$2:$B$25,2,0),"")</f>
        <v>8</v>
      </c>
      <c r="I374" s="44">
        <f t="shared" si="61"/>
        <v>30.545454545454547</v>
      </c>
      <c r="J374" s="98">
        <v>3</v>
      </c>
      <c r="K374" s="103"/>
      <c r="L374" s="103"/>
      <c r="M374" s="103" t="s">
        <v>273</v>
      </c>
      <c r="N374" s="10"/>
    </row>
    <row r="375" spans="1:14" x14ac:dyDescent="0.3">
      <c r="A375" s="4" t="s">
        <v>14</v>
      </c>
      <c r="B375" s="4" t="s">
        <v>16</v>
      </c>
      <c r="C375" s="58">
        <v>4</v>
      </c>
      <c r="D375" s="56">
        <v>5.5</v>
      </c>
      <c r="E375" s="51">
        <v>7</v>
      </c>
      <c r="F375" s="4" t="s">
        <v>83</v>
      </c>
      <c r="G375" s="4" t="s">
        <v>126</v>
      </c>
      <c r="H375" s="48">
        <f>IF(G375&gt;0,VLOOKUP(G375,Apoio!$A$2:$B$25,2,0),"")</f>
        <v>8</v>
      </c>
      <c r="I375" s="44">
        <f t="shared" si="61"/>
        <v>40.727272727272727</v>
      </c>
      <c r="J375" s="98">
        <v>3</v>
      </c>
      <c r="K375" s="103"/>
      <c r="L375" s="103"/>
      <c r="M375" s="103" t="s">
        <v>273</v>
      </c>
      <c r="N375" s="10"/>
    </row>
    <row r="376" spans="1:14" x14ac:dyDescent="0.3">
      <c r="A376" s="4" t="s">
        <v>14</v>
      </c>
      <c r="B376" s="4" t="s">
        <v>16</v>
      </c>
      <c r="C376" s="58">
        <v>4</v>
      </c>
      <c r="D376" s="56">
        <v>5.5</v>
      </c>
      <c r="E376" s="51">
        <v>7</v>
      </c>
      <c r="F376" s="4" t="s">
        <v>83</v>
      </c>
      <c r="G376" s="4" t="s">
        <v>129</v>
      </c>
      <c r="H376" s="48">
        <f>IF(G376&gt;0,VLOOKUP(G376,Apoio!$A$2:$B$25,2,0),"")</f>
        <v>8</v>
      </c>
      <c r="I376" s="44">
        <f t="shared" si="61"/>
        <v>40.727272727272727</v>
      </c>
      <c r="J376" s="98">
        <v>4</v>
      </c>
      <c r="K376" s="103"/>
      <c r="L376" s="103"/>
      <c r="M376" s="103" t="s">
        <v>273</v>
      </c>
      <c r="N376" s="10"/>
    </row>
    <row r="377" spans="1:14" x14ac:dyDescent="0.3">
      <c r="A377" s="4" t="s">
        <v>14</v>
      </c>
      <c r="B377" s="4" t="s">
        <v>16</v>
      </c>
      <c r="C377" s="58">
        <v>3</v>
      </c>
      <c r="D377" s="56">
        <v>5.5</v>
      </c>
      <c r="E377" s="51">
        <v>7</v>
      </c>
      <c r="F377" s="4" t="s">
        <v>83</v>
      </c>
      <c r="G377" s="4" t="s">
        <v>132</v>
      </c>
      <c r="H377" s="48">
        <f>IF(G377&gt;0,VLOOKUP(G377,Apoio!$A$2:$B$25,2,0),"")</f>
        <v>7</v>
      </c>
      <c r="I377" s="44">
        <f t="shared" si="61"/>
        <v>26.727272727272727</v>
      </c>
      <c r="J377" s="98">
        <v>1</v>
      </c>
      <c r="K377" s="103"/>
      <c r="L377" s="103"/>
      <c r="M377" s="103" t="s">
        <v>273</v>
      </c>
      <c r="N377" s="10"/>
    </row>
    <row r="378" spans="1:14" x14ac:dyDescent="0.3">
      <c r="A378" s="4" t="s">
        <v>14</v>
      </c>
      <c r="B378" s="4" t="s">
        <v>16</v>
      </c>
      <c r="C378" s="58">
        <v>4</v>
      </c>
      <c r="D378" s="56">
        <v>5.5</v>
      </c>
      <c r="E378" s="51">
        <v>7</v>
      </c>
      <c r="F378" s="4" t="s">
        <v>83</v>
      </c>
      <c r="G378" s="4" t="s">
        <v>135</v>
      </c>
      <c r="H378" s="48">
        <f>IF(G378&gt;0,VLOOKUP(G378,Apoio!$A$2:$B$25,2,0),"")</f>
        <v>3</v>
      </c>
      <c r="I378" s="44">
        <f t="shared" si="61"/>
        <v>15.272727272727273</v>
      </c>
      <c r="J378" s="98">
        <f t="shared" si="63"/>
        <v>2.749090909090909</v>
      </c>
      <c r="K378" s="103"/>
      <c r="L378" s="103"/>
      <c r="M378" s="103" t="s">
        <v>273</v>
      </c>
      <c r="N378" s="10"/>
    </row>
    <row r="379" spans="1:14" x14ac:dyDescent="0.3">
      <c r="A379" s="4" t="s">
        <v>14</v>
      </c>
      <c r="B379" s="4" t="s">
        <v>16</v>
      </c>
      <c r="C379" s="58">
        <v>4</v>
      </c>
      <c r="D379" s="56">
        <v>5.5</v>
      </c>
      <c r="E379" s="51">
        <v>7</v>
      </c>
      <c r="F379" s="4" t="s">
        <v>90</v>
      </c>
      <c r="G379" s="4" t="s">
        <v>138</v>
      </c>
      <c r="H379" s="48">
        <f>IF(G379&gt;0,VLOOKUP(G379,Apoio!$A$2:$B$25,2,0),"")</f>
        <v>8</v>
      </c>
      <c r="I379" s="44">
        <f t="shared" si="61"/>
        <v>40.727272727272727</v>
      </c>
      <c r="J379" s="98">
        <f t="shared" si="63"/>
        <v>7.3309090909090902</v>
      </c>
      <c r="K379" s="103"/>
      <c r="L379" s="103"/>
      <c r="M379" s="103" t="s">
        <v>273</v>
      </c>
      <c r="N379" s="10"/>
    </row>
    <row r="380" spans="1:14" x14ac:dyDescent="0.3">
      <c r="A380" s="4" t="s">
        <v>14</v>
      </c>
      <c r="B380" s="4" t="s">
        <v>16</v>
      </c>
      <c r="C380" s="58">
        <v>3.5</v>
      </c>
      <c r="D380" s="56">
        <v>5.5</v>
      </c>
      <c r="E380" s="51">
        <v>7</v>
      </c>
      <c r="F380" s="4" t="s">
        <v>90</v>
      </c>
      <c r="G380" s="4" t="s">
        <v>141</v>
      </c>
      <c r="H380" s="48">
        <f>IF(G380&gt;0,VLOOKUP(G380,Apoio!$A$2:$B$25,2,0),"")</f>
        <v>7</v>
      </c>
      <c r="I380" s="44">
        <f t="shared" si="61"/>
        <v>31.181818181818183</v>
      </c>
      <c r="J380" s="98">
        <f t="shared" si="63"/>
        <v>5.6127272727272732</v>
      </c>
      <c r="K380" s="103"/>
      <c r="L380" s="103"/>
      <c r="M380" s="103" t="s">
        <v>273</v>
      </c>
      <c r="N380" s="10"/>
    </row>
    <row r="381" spans="1:14" x14ac:dyDescent="0.3">
      <c r="A381" s="4" t="s">
        <v>14</v>
      </c>
      <c r="B381" s="4" t="s">
        <v>16</v>
      </c>
      <c r="C381" s="58">
        <v>4</v>
      </c>
      <c r="D381" s="56">
        <v>5.5</v>
      </c>
      <c r="E381" s="51">
        <v>7</v>
      </c>
      <c r="F381" s="4" t="s">
        <v>90</v>
      </c>
      <c r="G381" s="4" t="s">
        <v>144</v>
      </c>
      <c r="H381" s="48">
        <f>IF(G381&gt;0,VLOOKUP(G381,Apoio!$A$2:$B$25,2,0),"")</f>
        <v>7</v>
      </c>
      <c r="I381" s="44">
        <f t="shared" si="61"/>
        <v>35.636363636363633</v>
      </c>
      <c r="J381" s="98">
        <f t="shared" si="63"/>
        <v>6.4145454545454541</v>
      </c>
      <c r="K381" s="103"/>
      <c r="L381" s="103"/>
      <c r="M381" s="103" t="s">
        <v>273</v>
      </c>
      <c r="N381" s="10"/>
    </row>
    <row r="382" spans="1:14" x14ac:dyDescent="0.3">
      <c r="A382" s="4" t="s">
        <v>14</v>
      </c>
      <c r="B382" s="4" t="s">
        <v>16</v>
      </c>
      <c r="C382" s="58">
        <v>4</v>
      </c>
      <c r="D382" s="56">
        <v>5.5</v>
      </c>
      <c r="E382" s="51">
        <v>7</v>
      </c>
      <c r="F382" s="4" t="s">
        <v>90</v>
      </c>
      <c r="G382" s="4" t="s">
        <v>147</v>
      </c>
      <c r="H382" s="48">
        <f>IF(G382&gt;0,VLOOKUP(G382,Apoio!$A$2:$B$25,2,0),"")</f>
        <v>7</v>
      </c>
      <c r="I382" s="44">
        <f t="shared" si="61"/>
        <v>35.636363636363633</v>
      </c>
      <c r="J382" s="98">
        <f t="shared" si="63"/>
        <v>6.4145454545454541</v>
      </c>
      <c r="K382" s="103"/>
      <c r="L382" s="103"/>
      <c r="M382" s="103" t="s">
        <v>273</v>
      </c>
      <c r="N382" s="10"/>
    </row>
    <row r="383" spans="1:14" x14ac:dyDescent="0.3">
      <c r="A383" s="4" t="s">
        <v>14</v>
      </c>
      <c r="B383" s="4" t="s">
        <v>16</v>
      </c>
      <c r="C383" s="58">
        <v>4</v>
      </c>
      <c r="D383" s="56">
        <v>5.5</v>
      </c>
      <c r="E383" s="51">
        <v>7</v>
      </c>
      <c r="F383" s="4" t="s">
        <v>90</v>
      </c>
      <c r="G383" s="4" t="s">
        <v>150</v>
      </c>
      <c r="H383" s="48">
        <f>IF(G383&gt;0,VLOOKUP(G383,Apoio!$A$2:$B$25,2,0),"")</f>
        <v>8</v>
      </c>
      <c r="I383" s="44">
        <f t="shared" si="61"/>
        <v>40.727272727272727</v>
      </c>
      <c r="J383" s="98">
        <f t="shared" si="63"/>
        <v>7.3309090909090902</v>
      </c>
      <c r="K383" s="103"/>
      <c r="L383" s="103"/>
      <c r="M383" s="103" t="s">
        <v>273</v>
      </c>
      <c r="N383" s="10"/>
    </row>
    <row r="384" spans="1:14" x14ac:dyDescent="0.3">
      <c r="A384" s="4" t="s">
        <v>14</v>
      </c>
      <c r="B384" s="4" t="s">
        <v>17</v>
      </c>
      <c r="C384" s="58">
        <v>4</v>
      </c>
      <c r="D384" s="56">
        <v>5</v>
      </c>
      <c r="E384" s="51">
        <v>7</v>
      </c>
      <c r="F384" s="4" t="s">
        <v>69</v>
      </c>
      <c r="G384" s="4" t="s">
        <v>68</v>
      </c>
      <c r="H384" s="48">
        <f>IF(G384&gt;0,VLOOKUP(G384,Apoio!$A$2:$B$25,2,0),"")</f>
        <v>7</v>
      </c>
      <c r="I384" s="44">
        <f t="shared" si="61"/>
        <v>39.200000000000003</v>
      </c>
      <c r="J384" s="98">
        <f>I384*38%</f>
        <v>14.896000000000001</v>
      </c>
      <c r="K384" s="103"/>
      <c r="L384" s="103"/>
      <c r="M384" s="103" t="s">
        <v>273</v>
      </c>
      <c r="N384" s="10"/>
    </row>
    <row r="385" spans="1:14" x14ac:dyDescent="0.3">
      <c r="A385" s="4" t="s">
        <v>14</v>
      </c>
      <c r="B385" s="4" t="s">
        <v>17</v>
      </c>
      <c r="C385" s="58">
        <v>4</v>
      </c>
      <c r="D385" s="56">
        <v>5</v>
      </c>
      <c r="E385" s="51">
        <v>7</v>
      </c>
      <c r="F385" s="4" t="s">
        <v>69</v>
      </c>
      <c r="G385" s="4" t="s">
        <v>75</v>
      </c>
      <c r="H385" s="48">
        <f>IF(G385&gt;0,VLOOKUP(G385,Apoio!$A$2:$B$25,2,0),"")</f>
        <v>8</v>
      </c>
      <c r="I385" s="44">
        <f t="shared" si="61"/>
        <v>44.8</v>
      </c>
      <c r="J385" s="98">
        <f t="shared" ref="J385:J406" si="64">I385*38%</f>
        <v>17.023999999999997</v>
      </c>
      <c r="K385" s="103"/>
      <c r="L385" s="103"/>
      <c r="M385" s="103" t="s">
        <v>273</v>
      </c>
      <c r="N385" s="10"/>
    </row>
    <row r="386" spans="1:14" x14ac:dyDescent="0.3">
      <c r="A386" s="4" t="s">
        <v>14</v>
      </c>
      <c r="B386" s="4" t="s">
        <v>17</v>
      </c>
      <c r="C386" s="58">
        <v>4</v>
      </c>
      <c r="D386" s="56">
        <v>5</v>
      </c>
      <c r="E386" s="51">
        <v>7</v>
      </c>
      <c r="F386" s="4" t="s">
        <v>69</v>
      </c>
      <c r="G386" s="4" t="s">
        <v>82</v>
      </c>
      <c r="H386" s="48">
        <f>IF(G386&gt;0,VLOOKUP(G386,Apoio!$A$2:$B$25,2,0),"")</f>
        <v>6</v>
      </c>
      <c r="I386" s="44">
        <f t="shared" si="61"/>
        <v>33.6</v>
      </c>
      <c r="J386" s="98">
        <f t="shared" si="64"/>
        <v>12.768000000000001</v>
      </c>
      <c r="K386" s="103"/>
      <c r="L386" s="103"/>
      <c r="M386" s="103" t="s">
        <v>273</v>
      </c>
      <c r="N386" s="10"/>
    </row>
    <row r="387" spans="1:14" x14ac:dyDescent="0.3">
      <c r="A387" s="4" t="s">
        <v>14</v>
      </c>
      <c r="B387" s="4" t="s">
        <v>17</v>
      </c>
      <c r="C387" s="58">
        <v>4</v>
      </c>
      <c r="D387" s="56">
        <v>5</v>
      </c>
      <c r="E387" s="51">
        <v>7</v>
      </c>
      <c r="F387" s="4" t="s">
        <v>69</v>
      </c>
      <c r="G387" s="4" t="s">
        <v>89</v>
      </c>
      <c r="H387" s="48">
        <f>IF(G387&gt;0,VLOOKUP(G387,Apoio!$A$2:$B$25,2,0),"")</f>
        <v>8</v>
      </c>
      <c r="I387" s="44">
        <f t="shared" si="61"/>
        <v>44.8</v>
      </c>
      <c r="J387" s="98">
        <f t="shared" si="64"/>
        <v>17.023999999999997</v>
      </c>
      <c r="K387" s="103"/>
      <c r="L387" s="103"/>
      <c r="M387" s="103" t="s">
        <v>273</v>
      </c>
      <c r="N387" s="10"/>
    </row>
    <row r="388" spans="1:14" x14ac:dyDescent="0.3">
      <c r="A388" s="4" t="s">
        <v>14</v>
      </c>
      <c r="B388" s="4" t="s">
        <v>17</v>
      </c>
      <c r="C388" s="58">
        <v>4</v>
      </c>
      <c r="D388" s="56">
        <v>5</v>
      </c>
      <c r="E388" s="51">
        <v>7</v>
      </c>
      <c r="F388" s="4" t="s">
        <v>69</v>
      </c>
      <c r="G388" s="4" t="s">
        <v>96</v>
      </c>
      <c r="H388" s="48">
        <f>IF(G388&gt;0,VLOOKUP(G388,Apoio!$A$2:$B$25,2,0),"")</f>
        <v>8</v>
      </c>
      <c r="I388" s="44">
        <f t="shared" si="61"/>
        <v>44.8</v>
      </c>
      <c r="J388" s="98">
        <f t="shared" si="64"/>
        <v>17.023999999999997</v>
      </c>
      <c r="K388" s="103"/>
      <c r="L388" s="103"/>
      <c r="M388" s="103" t="s">
        <v>273</v>
      </c>
      <c r="N388" s="10"/>
    </row>
    <row r="389" spans="1:14" x14ac:dyDescent="0.3">
      <c r="A389" s="4" t="s">
        <v>14</v>
      </c>
      <c r="B389" s="4" t="s">
        <v>17</v>
      </c>
      <c r="C389" s="58">
        <v>4</v>
      </c>
      <c r="D389" s="56">
        <v>5</v>
      </c>
      <c r="E389" s="51">
        <v>7</v>
      </c>
      <c r="F389" s="4" t="s">
        <v>69</v>
      </c>
      <c r="G389" s="4" t="s">
        <v>99</v>
      </c>
      <c r="H389" s="48">
        <f>IF(G389&gt;0,VLOOKUP(G389,Apoio!$A$2:$B$25,2,0),"")</f>
        <v>2</v>
      </c>
      <c r="I389" s="44">
        <f t="shared" si="61"/>
        <v>11.2</v>
      </c>
      <c r="J389" s="98">
        <f t="shared" si="64"/>
        <v>4.2559999999999993</v>
      </c>
      <c r="K389" s="103"/>
      <c r="L389" s="103"/>
      <c r="M389" s="103" t="s">
        <v>273</v>
      </c>
      <c r="N389" s="10"/>
    </row>
    <row r="390" spans="1:14" x14ac:dyDescent="0.3">
      <c r="A390" s="4" t="s">
        <v>14</v>
      </c>
      <c r="B390" s="4" t="s">
        <v>17</v>
      </c>
      <c r="C390" s="58">
        <v>3</v>
      </c>
      <c r="D390" s="56">
        <v>5.65</v>
      </c>
      <c r="E390" s="51">
        <v>7</v>
      </c>
      <c r="F390" s="4" t="s">
        <v>76</v>
      </c>
      <c r="G390" s="4" t="s">
        <v>102</v>
      </c>
      <c r="H390" s="48">
        <f>IF(G390&gt;0,VLOOKUP(G390,Apoio!$A$2:$B$25,2,0),"")</f>
        <v>5</v>
      </c>
      <c r="I390" s="44">
        <f t="shared" si="61"/>
        <v>18.584070796460175</v>
      </c>
      <c r="J390" s="98">
        <f t="shared" si="64"/>
        <v>7.0619469026548662</v>
      </c>
      <c r="K390" s="103"/>
      <c r="L390" s="103"/>
      <c r="M390" s="103" t="s">
        <v>273</v>
      </c>
      <c r="N390" s="10"/>
    </row>
    <row r="391" spans="1:14" x14ac:dyDescent="0.3">
      <c r="A391" s="4" t="s">
        <v>14</v>
      </c>
      <c r="B391" s="4" t="s">
        <v>17</v>
      </c>
      <c r="C391" s="58">
        <v>3</v>
      </c>
      <c r="D391" s="56">
        <v>5.65</v>
      </c>
      <c r="E391" s="51">
        <v>7</v>
      </c>
      <c r="F391" s="4" t="s">
        <v>76</v>
      </c>
      <c r="G391" s="4" t="s">
        <v>105</v>
      </c>
      <c r="H391" s="48">
        <f>IF(G391&gt;0,VLOOKUP(G391,Apoio!$A$2:$B$25,2,0),"")</f>
        <v>7</v>
      </c>
      <c r="I391" s="44">
        <f t="shared" si="61"/>
        <v>26.017699115044245</v>
      </c>
      <c r="J391" s="98">
        <f t="shared" si="64"/>
        <v>9.8867256637168133</v>
      </c>
      <c r="K391" s="103"/>
      <c r="L391" s="103"/>
      <c r="M391" s="103" t="s">
        <v>273</v>
      </c>
      <c r="N391" s="10"/>
    </row>
    <row r="392" spans="1:14" x14ac:dyDescent="0.3">
      <c r="A392" s="4" t="s">
        <v>14</v>
      </c>
      <c r="B392" s="9" t="s">
        <v>17</v>
      </c>
      <c r="C392" s="58">
        <v>3</v>
      </c>
      <c r="D392" s="56">
        <v>5.65</v>
      </c>
      <c r="E392" s="51">
        <v>7</v>
      </c>
      <c r="F392" s="4" t="s">
        <v>76</v>
      </c>
      <c r="G392" s="4" t="s">
        <v>108</v>
      </c>
      <c r="H392" s="48">
        <f>IF(G392&gt;0,VLOOKUP(G392,Apoio!$A$2:$B$25,2,0),"")</f>
        <v>8</v>
      </c>
      <c r="I392" s="44">
        <f t="shared" si="61"/>
        <v>29.73451327433628</v>
      </c>
      <c r="J392" s="98">
        <f t="shared" si="64"/>
        <v>11.299115044247786</v>
      </c>
      <c r="K392" s="103"/>
      <c r="L392" s="103"/>
      <c r="M392" s="103" t="s">
        <v>273</v>
      </c>
      <c r="N392" s="10"/>
    </row>
    <row r="393" spans="1:14" x14ac:dyDescent="0.3">
      <c r="A393" s="67" t="s">
        <v>14</v>
      </c>
      <c r="B393" s="4" t="s">
        <v>17</v>
      </c>
      <c r="C393" s="58">
        <v>3</v>
      </c>
      <c r="D393" s="56">
        <v>5.65</v>
      </c>
      <c r="E393" s="51">
        <v>7</v>
      </c>
      <c r="F393" s="4" t="s">
        <v>76</v>
      </c>
      <c r="G393" s="4" t="s">
        <v>111</v>
      </c>
      <c r="H393" s="48">
        <f>IF(G393&gt;0,VLOOKUP(G393,Apoio!$A$2:$B$25,2,0),"")</f>
        <v>7</v>
      </c>
      <c r="I393" s="44">
        <f t="shared" si="61"/>
        <v>26.017699115044245</v>
      </c>
      <c r="J393" s="98">
        <f t="shared" si="64"/>
        <v>9.8867256637168133</v>
      </c>
      <c r="K393" s="103"/>
      <c r="L393" s="103"/>
      <c r="M393" s="103" t="s">
        <v>273</v>
      </c>
      <c r="N393" s="10"/>
    </row>
    <row r="394" spans="1:14" x14ac:dyDescent="0.3">
      <c r="A394" s="67" t="s">
        <v>14</v>
      </c>
      <c r="B394" s="4" t="s">
        <v>17</v>
      </c>
      <c r="C394" s="58">
        <v>3</v>
      </c>
      <c r="D394" s="56">
        <v>5.65</v>
      </c>
      <c r="E394" s="51">
        <v>7</v>
      </c>
      <c r="F394" s="4" t="s">
        <v>76</v>
      </c>
      <c r="G394" s="4" t="s">
        <v>114</v>
      </c>
      <c r="H394" s="48">
        <f>IF(G394&gt;0,VLOOKUP(G394,Apoio!$A$2:$B$25,2,0),"")</f>
        <v>8</v>
      </c>
      <c r="I394" s="44">
        <f t="shared" si="61"/>
        <v>29.73451327433628</v>
      </c>
      <c r="J394" s="98">
        <f t="shared" si="64"/>
        <v>11.299115044247786</v>
      </c>
      <c r="K394" s="103"/>
      <c r="L394" s="103"/>
      <c r="M394" s="103" t="s">
        <v>273</v>
      </c>
      <c r="N394" s="10"/>
    </row>
    <row r="395" spans="1:14" x14ac:dyDescent="0.3">
      <c r="A395" s="67" t="s">
        <v>14</v>
      </c>
      <c r="B395" s="4" t="s">
        <v>17</v>
      </c>
      <c r="C395" s="58">
        <v>3</v>
      </c>
      <c r="D395" s="56">
        <v>5.65</v>
      </c>
      <c r="E395" s="51">
        <v>7</v>
      </c>
      <c r="F395" s="4" t="s">
        <v>76</v>
      </c>
      <c r="G395" s="4" t="s">
        <v>117</v>
      </c>
      <c r="H395" s="48">
        <f>IF(G395&gt;0,VLOOKUP(G395,Apoio!$A$2:$B$25,2,0),"")</f>
        <v>3</v>
      </c>
      <c r="I395" s="44">
        <f t="shared" si="61"/>
        <v>11.150442477876105</v>
      </c>
      <c r="J395" s="98">
        <f t="shared" si="64"/>
        <v>4.2371681415929201</v>
      </c>
      <c r="K395" s="103"/>
      <c r="L395" s="103"/>
      <c r="M395" s="103" t="s">
        <v>273</v>
      </c>
      <c r="N395" s="10"/>
    </row>
    <row r="396" spans="1:14" x14ac:dyDescent="0.3">
      <c r="A396" s="67" t="s">
        <v>14</v>
      </c>
      <c r="B396" s="4" t="s">
        <v>222</v>
      </c>
      <c r="C396" s="58">
        <v>6</v>
      </c>
      <c r="D396" s="56">
        <v>6.8</v>
      </c>
      <c r="E396" s="51">
        <v>7</v>
      </c>
      <c r="F396" s="4" t="s">
        <v>83</v>
      </c>
      <c r="G396" s="4" t="s">
        <v>120</v>
      </c>
      <c r="H396" s="48">
        <f>IF(G396&gt;0,VLOOKUP(G396,Apoio!$A$2:$B$25,2,0),"")</f>
        <v>7</v>
      </c>
      <c r="I396" s="44">
        <f t="shared" si="61"/>
        <v>43.235294117647058</v>
      </c>
      <c r="J396" s="98">
        <v>21</v>
      </c>
      <c r="K396" s="103"/>
      <c r="L396" s="103"/>
      <c r="M396" s="103" t="s">
        <v>273</v>
      </c>
      <c r="N396" s="10"/>
    </row>
    <row r="397" spans="1:14" x14ac:dyDescent="0.3">
      <c r="A397" s="67" t="s">
        <v>14</v>
      </c>
      <c r="B397" s="4" t="s">
        <v>222</v>
      </c>
      <c r="C397" s="58">
        <v>6.5</v>
      </c>
      <c r="D397" s="56">
        <v>6.8</v>
      </c>
      <c r="E397" s="51">
        <v>7</v>
      </c>
      <c r="F397" s="4" t="s">
        <v>83</v>
      </c>
      <c r="G397" s="4" t="s">
        <v>123</v>
      </c>
      <c r="H397" s="48">
        <f>IF(G397&gt;0,VLOOKUP(G397,Apoio!$A$2:$B$25,2,0),"")</f>
        <v>8</v>
      </c>
      <c r="I397" s="44">
        <f t="shared" si="61"/>
        <v>53.529411764705884</v>
      </c>
      <c r="J397" s="98">
        <v>21</v>
      </c>
      <c r="K397" s="103"/>
      <c r="L397" s="103"/>
      <c r="M397" s="103" t="s">
        <v>273</v>
      </c>
      <c r="N397" s="10"/>
    </row>
    <row r="398" spans="1:14" x14ac:dyDescent="0.3">
      <c r="A398" s="67" t="s">
        <v>14</v>
      </c>
      <c r="B398" s="4" t="s">
        <v>222</v>
      </c>
      <c r="C398" s="58">
        <v>6.3</v>
      </c>
      <c r="D398" s="56">
        <v>6.8</v>
      </c>
      <c r="E398" s="51">
        <v>7</v>
      </c>
      <c r="F398" s="4" t="s">
        <v>83</v>
      </c>
      <c r="G398" s="4" t="s">
        <v>126</v>
      </c>
      <c r="H398" s="48">
        <f>IF(G398&gt;0,VLOOKUP(G398,Apoio!$A$2:$B$25,2,0),"")</f>
        <v>8</v>
      </c>
      <c r="I398" s="44">
        <f t="shared" si="61"/>
        <v>51.882352941176471</v>
      </c>
      <c r="J398" s="98">
        <v>21</v>
      </c>
      <c r="K398" s="103"/>
      <c r="L398" s="103"/>
      <c r="M398" s="103" t="s">
        <v>273</v>
      </c>
      <c r="N398" s="10"/>
    </row>
    <row r="399" spans="1:14" x14ac:dyDescent="0.3">
      <c r="A399" s="67" t="s">
        <v>14</v>
      </c>
      <c r="B399" s="4" t="s">
        <v>222</v>
      </c>
      <c r="C399" s="58">
        <v>6.4</v>
      </c>
      <c r="D399" s="56">
        <v>6.8</v>
      </c>
      <c r="E399" s="51">
        <v>7</v>
      </c>
      <c r="F399" s="4" t="s">
        <v>83</v>
      </c>
      <c r="G399" s="4" t="s">
        <v>129</v>
      </c>
      <c r="H399" s="48">
        <f>IF(G399&gt;0,VLOOKUP(G399,Apoio!$A$2:$B$25,2,0),"")</f>
        <v>8</v>
      </c>
      <c r="I399" s="44">
        <f t="shared" si="61"/>
        <v>52.705882352941181</v>
      </c>
      <c r="J399" s="98">
        <v>21</v>
      </c>
      <c r="K399" s="103"/>
      <c r="L399" s="103"/>
      <c r="M399" s="103" t="s">
        <v>273</v>
      </c>
      <c r="N399" s="10"/>
    </row>
    <row r="400" spans="1:14" x14ac:dyDescent="0.3">
      <c r="A400" s="67" t="s">
        <v>14</v>
      </c>
      <c r="B400" s="4" t="s">
        <v>222</v>
      </c>
      <c r="C400" s="58">
        <v>7</v>
      </c>
      <c r="D400" s="56">
        <v>6.8</v>
      </c>
      <c r="E400" s="51">
        <v>7</v>
      </c>
      <c r="F400" s="4" t="s">
        <v>83</v>
      </c>
      <c r="G400" s="4" t="s">
        <v>132</v>
      </c>
      <c r="H400" s="48">
        <f>IF(G400&gt;0,VLOOKUP(G400,Apoio!$A$2:$B$25,2,0),"")</f>
        <v>7</v>
      </c>
      <c r="I400" s="44">
        <f t="shared" si="61"/>
        <v>50.441176470588239</v>
      </c>
      <c r="J400" s="98">
        <v>18</v>
      </c>
      <c r="K400" s="103"/>
      <c r="L400" s="103"/>
      <c r="M400" s="103" t="s">
        <v>273</v>
      </c>
      <c r="N400" s="10"/>
    </row>
    <row r="401" spans="1:14" x14ac:dyDescent="0.3">
      <c r="A401" s="67" t="s">
        <v>14</v>
      </c>
      <c r="B401" s="4" t="s">
        <v>222</v>
      </c>
      <c r="C401" s="58">
        <v>7</v>
      </c>
      <c r="D401" s="56">
        <v>6.8</v>
      </c>
      <c r="E401" s="51">
        <v>7</v>
      </c>
      <c r="F401" s="4" t="s">
        <v>83</v>
      </c>
      <c r="G401" s="4" t="s">
        <v>135</v>
      </c>
      <c r="H401" s="48">
        <f>IF(G401&gt;0,VLOOKUP(G401,Apoio!$A$2:$B$25,2,0),"")</f>
        <v>3</v>
      </c>
      <c r="I401" s="44">
        <f t="shared" si="61"/>
        <v>21.617647058823529</v>
      </c>
      <c r="J401" s="98">
        <f t="shared" si="64"/>
        <v>8.2147058823529413</v>
      </c>
      <c r="K401" s="103"/>
      <c r="L401" s="103"/>
      <c r="M401" s="103" t="s">
        <v>273</v>
      </c>
      <c r="N401" s="10"/>
    </row>
    <row r="402" spans="1:14" x14ac:dyDescent="0.3">
      <c r="A402" s="67" t="s">
        <v>14</v>
      </c>
      <c r="B402" s="4" t="s">
        <v>222</v>
      </c>
      <c r="C402" s="58">
        <v>7</v>
      </c>
      <c r="D402" s="56">
        <v>6.8</v>
      </c>
      <c r="E402" s="51">
        <v>7</v>
      </c>
      <c r="F402" s="4" t="s">
        <v>90</v>
      </c>
      <c r="G402" s="4" t="s">
        <v>138</v>
      </c>
      <c r="H402" s="48">
        <f>IF(G402&gt;0,VLOOKUP(G402,Apoio!$A$2:$B$25,2,0),"")</f>
        <v>8</v>
      </c>
      <c r="I402" s="44">
        <f t="shared" si="61"/>
        <v>57.647058823529413</v>
      </c>
      <c r="J402" s="98">
        <f t="shared" si="64"/>
        <v>21.905882352941177</v>
      </c>
      <c r="K402" s="103"/>
      <c r="L402" s="103"/>
      <c r="M402" s="103" t="s">
        <v>273</v>
      </c>
      <c r="N402" s="10"/>
    </row>
    <row r="403" spans="1:14" x14ac:dyDescent="0.3">
      <c r="A403" s="67" t="s">
        <v>14</v>
      </c>
      <c r="B403" s="4" t="s">
        <v>222</v>
      </c>
      <c r="C403" s="58">
        <v>7</v>
      </c>
      <c r="D403" s="56">
        <v>6.8</v>
      </c>
      <c r="E403" s="51">
        <v>7</v>
      </c>
      <c r="F403" s="4" t="s">
        <v>90</v>
      </c>
      <c r="G403" s="4" t="s">
        <v>141</v>
      </c>
      <c r="H403" s="48">
        <f>IF(G403&gt;0,VLOOKUP(G403,Apoio!$A$2:$B$25,2,0),"")</f>
        <v>7</v>
      </c>
      <c r="I403" s="44">
        <f t="shared" si="61"/>
        <v>50.441176470588239</v>
      </c>
      <c r="J403" s="98">
        <f t="shared" si="64"/>
        <v>19.16764705882353</v>
      </c>
      <c r="K403" s="103"/>
      <c r="L403" s="103"/>
      <c r="M403" s="103" t="s">
        <v>273</v>
      </c>
      <c r="N403" s="10"/>
    </row>
    <row r="404" spans="1:14" x14ac:dyDescent="0.3">
      <c r="A404" s="67" t="s">
        <v>14</v>
      </c>
      <c r="B404" s="4" t="s">
        <v>222</v>
      </c>
      <c r="C404" s="58">
        <v>7</v>
      </c>
      <c r="D404" s="56">
        <v>6.8</v>
      </c>
      <c r="E404" s="51">
        <v>7</v>
      </c>
      <c r="F404" s="4" t="s">
        <v>90</v>
      </c>
      <c r="G404" s="4" t="s">
        <v>144</v>
      </c>
      <c r="H404" s="48">
        <f>IF(G404&gt;0,VLOOKUP(G404,Apoio!$A$2:$B$25,2,0),"")</f>
        <v>7</v>
      </c>
      <c r="I404" s="44">
        <f t="shared" si="61"/>
        <v>50.441176470588239</v>
      </c>
      <c r="J404" s="98">
        <f t="shared" si="64"/>
        <v>19.16764705882353</v>
      </c>
      <c r="K404" s="103"/>
      <c r="L404" s="103"/>
      <c r="M404" s="103" t="s">
        <v>273</v>
      </c>
      <c r="N404" s="10"/>
    </row>
    <row r="405" spans="1:14" x14ac:dyDescent="0.3">
      <c r="A405" s="67" t="s">
        <v>14</v>
      </c>
      <c r="B405" s="4" t="s">
        <v>222</v>
      </c>
      <c r="C405" s="58">
        <v>7</v>
      </c>
      <c r="D405" s="56">
        <v>6.8</v>
      </c>
      <c r="E405" s="51">
        <v>7</v>
      </c>
      <c r="F405" s="4" t="s">
        <v>90</v>
      </c>
      <c r="G405" s="4" t="s">
        <v>147</v>
      </c>
      <c r="H405" s="48">
        <f>IF(G405&gt;0,VLOOKUP(G405,Apoio!$A$2:$B$25,2,0),"")</f>
        <v>7</v>
      </c>
      <c r="I405" s="44">
        <f t="shared" si="61"/>
        <v>50.441176470588239</v>
      </c>
      <c r="J405" s="98">
        <f t="shared" si="64"/>
        <v>19.16764705882353</v>
      </c>
      <c r="K405" s="103"/>
      <c r="L405" s="103"/>
      <c r="M405" s="103" t="s">
        <v>273</v>
      </c>
      <c r="N405" s="10"/>
    </row>
    <row r="406" spans="1:14" x14ac:dyDescent="0.3">
      <c r="A406" s="67" t="s">
        <v>14</v>
      </c>
      <c r="B406" s="4" t="s">
        <v>222</v>
      </c>
      <c r="C406" s="58">
        <v>7</v>
      </c>
      <c r="D406" s="56">
        <v>6.8</v>
      </c>
      <c r="E406" s="51">
        <v>7</v>
      </c>
      <c r="F406" s="4" t="s">
        <v>90</v>
      </c>
      <c r="G406" s="4" t="s">
        <v>150</v>
      </c>
      <c r="H406" s="48">
        <f>IF(G406&gt;0,VLOOKUP(G406,Apoio!$A$2:$B$25,2,0),"")</f>
        <v>8</v>
      </c>
      <c r="I406" s="44">
        <f t="shared" si="61"/>
        <v>57.647058823529413</v>
      </c>
      <c r="J406" s="98">
        <f t="shared" si="64"/>
        <v>21.905882352941177</v>
      </c>
      <c r="K406" s="103"/>
      <c r="L406" s="103"/>
      <c r="M406" s="103" t="s">
        <v>273</v>
      </c>
      <c r="N406" s="10"/>
    </row>
    <row r="407" spans="1:14" x14ac:dyDescent="0.3">
      <c r="A407" s="67" t="s">
        <v>14</v>
      </c>
      <c r="B407" s="4" t="s">
        <v>18</v>
      </c>
      <c r="C407" s="58">
        <v>3</v>
      </c>
      <c r="D407" s="56">
        <v>5</v>
      </c>
      <c r="E407" s="51">
        <v>7</v>
      </c>
      <c r="F407" s="4" t="s">
        <v>69</v>
      </c>
      <c r="G407" s="4" t="s">
        <v>68</v>
      </c>
      <c r="H407" s="48">
        <f>IF(G407&gt;0,VLOOKUP(G407,Apoio!$A$2:$B$25,2,0),"")</f>
        <v>7</v>
      </c>
      <c r="I407" s="44">
        <f t="shared" si="61"/>
        <v>29.4</v>
      </c>
      <c r="J407" s="98">
        <f t="shared" ref="J407:J418" si="65">I407*26%</f>
        <v>7.6440000000000001</v>
      </c>
      <c r="K407" s="103"/>
      <c r="L407" s="103"/>
      <c r="M407" s="103" t="s">
        <v>273</v>
      </c>
      <c r="N407" s="10"/>
    </row>
    <row r="408" spans="1:14" x14ac:dyDescent="0.3">
      <c r="A408" s="67" t="s">
        <v>14</v>
      </c>
      <c r="B408" s="4" t="s">
        <v>18</v>
      </c>
      <c r="C408" s="58">
        <v>3</v>
      </c>
      <c r="D408" s="56">
        <v>5</v>
      </c>
      <c r="E408" s="51">
        <v>7</v>
      </c>
      <c r="F408" s="4" t="s">
        <v>69</v>
      </c>
      <c r="G408" s="4" t="s">
        <v>75</v>
      </c>
      <c r="H408" s="48">
        <f>IF(G408&gt;0,VLOOKUP(G408,Apoio!$A$2:$B$25,2,0),"")</f>
        <v>8</v>
      </c>
      <c r="I408" s="44">
        <f t="shared" si="61"/>
        <v>33.6</v>
      </c>
      <c r="J408" s="98">
        <f t="shared" si="65"/>
        <v>8.7360000000000007</v>
      </c>
      <c r="K408" s="103"/>
      <c r="L408" s="103"/>
      <c r="M408" s="103" t="s">
        <v>273</v>
      </c>
      <c r="N408" s="10"/>
    </row>
    <row r="409" spans="1:14" x14ac:dyDescent="0.3">
      <c r="A409" s="67" t="s">
        <v>14</v>
      </c>
      <c r="B409" s="4" t="s">
        <v>18</v>
      </c>
      <c r="C409" s="58">
        <v>3</v>
      </c>
      <c r="D409" s="56">
        <v>5</v>
      </c>
      <c r="E409" s="51">
        <v>7</v>
      </c>
      <c r="F409" s="4" t="s">
        <v>69</v>
      </c>
      <c r="G409" s="4" t="s">
        <v>82</v>
      </c>
      <c r="H409" s="48">
        <f>IF(G409&gt;0,VLOOKUP(G409,Apoio!$A$2:$B$25,2,0),"")</f>
        <v>6</v>
      </c>
      <c r="I409" s="44">
        <f t="shared" si="61"/>
        <v>25.2</v>
      </c>
      <c r="J409" s="98">
        <f t="shared" si="65"/>
        <v>6.5519999999999996</v>
      </c>
      <c r="K409" s="103"/>
      <c r="L409" s="103"/>
      <c r="M409" s="103" t="s">
        <v>273</v>
      </c>
      <c r="N409" s="10"/>
    </row>
    <row r="410" spans="1:14" x14ac:dyDescent="0.3">
      <c r="A410" s="67" t="s">
        <v>14</v>
      </c>
      <c r="B410" s="4" t="s">
        <v>18</v>
      </c>
      <c r="C410" s="58">
        <v>3</v>
      </c>
      <c r="D410" s="56">
        <v>5</v>
      </c>
      <c r="E410" s="51">
        <v>7</v>
      </c>
      <c r="F410" s="4" t="s">
        <v>69</v>
      </c>
      <c r="G410" s="4" t="s">
        <v>89</v>
      </c>
      <c r="H410" s="48">
        <f>IF(G410&gt;0,VLOOKUP(G410,Apoio!$A$2:$B$25,2,0),"")</f>
        <v>8</v>
      </c>
      <c r="I410" s="44">
        <f t="shared" si="61"/>
        <v>33.6</v>
      </c>
      <c r="J410" s="98">
        <f t="shared" si="65"/>
        <v>8.7360000000000007</v>
      </c>
      <c r="K410" s="103"/>
      <c r="L410" s="103"/>
      <c r="M410" s="103" t="s">
        <v>273</v>
      </c>
      <c r="N410" s="10"/>
    </row>
    <row r="411" spans="1:14" x14ac:dyDescent="0.3">
      <c r="A411" s="67" t="s">
        <v>14</v>
      </c>
      <c r="B411" s="4" t="s">
        <v>18</v>
      </c>
      <c r="C411" s="58">
        <v>3</v>
      </c>
      <c r="D411" s="56">
        <v>5</v>
      </c>
      <c r="E411" s="51">
        <v>7</v>
      </c>
      <c r="F411" s="4" t="s">
        <v>69</v>
      </c>
      <c r="G411" s="4" t="s">
        <v>96</v>
      </c>
      <c r="H411" s="48">
        <f>IF(G411&gt;0,VLOOKUP(G411,Apoio!$A$2:$B$25,2,0),"")</f>
        <v>8</v>
      </c>
      <c r="I411" s="44">
        <f t="shared" ref="I411:I470" si="66">IF(D411&gt;0,(((H411*E411)*C411)/D411),"")</f>
        <v>33.6</v>
      </c>
      <c r="J411" s="98">
        <f t="shared" si="65"/>
        <v>8.7360000000000007</v>
      </c>
      <c r="K411" s="103"/>
      <c r="L411" s="103"/>
      <c r="M411" s="103" t="s">
        <v>273</v>
      </c>
      <c r="N411" s="10"/>
    </row>
    <row r="412" spans="1:14" x14ac:dyDescent="0.3">
      <c r="A412" s="67" t="s">
        <v>14</v>
      </c>
      <c r="B412" s="4" t="s">
        <v>18</v>
      </c>
      <c r="C412" s="58">
        <v>3</v>
      </c>
      <c r="D412" s="56">
        <v>5</v>
      </c>
      <c r="E412" s="51">
        <v>7</v>
      </c>
      <c r="F412" s="4" t="s">
        <v>69</v>
      </c>
      <c r="G412" s="4" t="s">
        <v>99</v>
      </c>
      <c r="H412" s="48">
        <f>IF(G412&gt;0,VLOOKUP(G412,Apoio!$A$2:$B$25,2,0),"")</f>
        <v>2</v>
      </c>
      <c r="I412" s="44">
        <f t="shared" si="66"/>
        <v>8.4</v>
      </c>
      <c r="J412" s="98">
        <f t="shared" si="65"/>
        <v>2.1840000000000002</v>
      </c>
      <c r="K412" s="103"/>
      <c r="L412" s="103"/>
      <c r="M412" s="103" t="s">
        <v>273</v>
      </c>
      <c r="N412" s="10"/>
    </row>
    <row r="413" spans="1:14" x14ac:dyDescent="0.3">
      <c r="A413" s="67" t="s">
        <v>14</v>
      </c>
      <c r="B413" s="4" t="s">
        <v>18</v>
      </c>
      <c r="C413" s="58">
        <v>4</v>
      </c>
      <c r="D413" s="56">
        <v>3.91</v>
      </c>
      <c r="E413" s="51">
        <v>7</v>
      </c>
      <c r="F413" s="4" t="s">
        <v>76</v>
      </c>
      <c r="G413" s="4" t="s">
        <v>102</v>
      </c>
      <c r="H413" s="48">
        <f>IF(G413&gt;0,VLOOKUP(G413,Apoio!$A$2:$B$25,2,0),"")</f>
        <v>5</v>
      </c>
      <c r="I413" s="44">
        <f t="shared" si="66"/>
        <v>35.805626598465473</v>
      </c>
      <c r="J413" s="98">
        <f t="shared" si="65"/>
        <v>9.3094629156010225</v>
      </c>
      <c r="K413" s="103"/>
      <c r="L413" s="103"/>
      <c r="M413" s="103" t="s">
        <v>273</v>
      </c>
      <c r="N413" s="10"/>
    </row>
    <row r="414" spans="1:14" x14ac:dyDescent="0.3">
      <c r="A414" s="67" t="s">
        <v>14</v>
      </c>
      <c r="B414" s="4" t="s">
        <v>18</v>
      </c>
      <c r="C414" s="58">
        <v>4</v>
      </c>
      <c r="D414" s="56">
        <v>3.91</v>
      </c>
      <c r="E414" s="51">
        <v>7</v>
      </c>
      <c r="F414" s="4" t="s">
        <v>76</v>
      </c>
      <c r="G414" s="4" t="s">
        <v>105</v>
      </c>
      <c r="H414" s="48">
        <f>IF(G414&gt;0,VLOOKUP(G414,Apoio!$A$2:$B$25,2,0),"")</f>
        <v>7</v>
      </c>
      <c r="I414" s="44">
        <f t="shared" si="66"/>
        <v>50.127877237851663</v>
      </c>
      <c r="J414" s="98">
        <f t="shared" si="65"/>
        <v>13.033248081841434</v>
      </c>
      <c r="K414" s="103"/>
      <c r="L414" s="103"/>
      <c r="M414" s="103" t="s">
        <v>273</v>
      </c>
      <c r="N414" s="10"/>
    </row>
    <row r="415" spans="1:14" x14ac:dyDescent="0.3">
      <c r="A415" s="67" t="s">
        <v>14</v>
      </c>
      <c r="B415" s="4" t="s">
        <v>18</v>
      </c>
      <c r="C415" s="58">
        <v>4</v>
      </c>
      <c r="D415" s="56">
        <v>3.91</v>
      </c>
      <c r="E415" s="51">
        <v>7</v>
      </c>
      <c r="F415" s="4" t="s">
        <v>76</v>
      </c>
      <c r="G415" s="4" t="s">
        <v>108</v>
      </c>
      <c r="H415" s="48">
        <f>IF(G415&gt;0,VLOOKUP(G415,Apoio!$A$2:$B$25,2,0),"")</f>
        <v>8</v>
      </c>
      <c r="I415" s="44">
        <f t="shared" si="66"/>
        <v>57.289002557544755</v>
      </c>
      <c r="J415" s="98">
        <f t="shared" si="65"/>
        <v>14.895140664961637</v>
      </c>
      <c r="K415" s="103"/>
      <c r="L415" s="103"/>
      <c r="M415" s="103" t="s">
        <v>273</v>
      </c>
      <c r="N415" s="10"/>
    </row>
    <row r="416" spans="1:14" x14ac:dyDescent="0.3">
      <c r="A416" s="67" t="s">
        <v>14</v>
      </c>
      <c r="B416" s="4" t="s">
        <v>18</v>
      </c>
      <c r="C416" s="58">
        <v>4</v>
      </c>
      <c r="D416" s="56">
        <v>3.91</v>
      </c>
      <c r="E416" s="51">
        <v>7</v>
      </c>
      <c r="F416" s="4" t="s">
        <v>76</v>
      </c>
      <c r="G416" s="4" t="s">
        <v>111</v>
      </c>
      <c r="H416" s="48">
        <f>IF(G416&gt;0,VLOOKUP(G416,Apoio!$A$2:$B$25,2,0),"")</f>
        <v>7</v>
      </c>
      <c r="I416" s="44">
        <f t="shared" si="66"/>
        <v>50.127877237851663</v>
      </c>
      <c r="J416" s="98">
        <f t="shared" si="65"/>
        <v>13.033248081841434</v>
      </c>
      <c r="K416" s="103"/>
      <c r="L416" s="103"/>
      <c r="M416" s="103" t="s">
        <v>273</v>
      </c>
      <c r="N416" s="10"/>
    </row>
    <row r="417" spans="1:14" x14ac:dyDescent="0.3">
      <c r="A417" s="67" t="s">
        <v>14</v>
      </c>
      <c r="B417" s="4" t="s">
        <v>18</v>
      </c>
      <c r="C417" s="58">
        <v>4</v>
      </c>
      <c r="D417" s="56">
        <v>3.91</v>
      </c>
      <c r="E417" s="51">
        <v>7</v>
      </c>
      <c r="F417" s="4" t="s">
        <v>76</v>
      </c>
      <c r="G417" s="4" t="s">
        <v>114</v>
      </c>
      <c r="H417" s="48">
        <f>IF(G417&gt;0,VLOOKUP(G417,Apoio!$A$2:$B$25,2,0),"")</f>
        <v>8</v>
      </c>
      <c r="I417" s="44">
        <f t="shared" si="66"/>
        <v>57.289002557544755</v>
      </c>
      <c r="J417" s="98">
        <f t="shared" si="65"/>
        <v>14.895140664961637</v>
      </c>
      <c r="K417" s="103"/>
      <c r="L417" s="103"/>
      <c r="M417" s="103" t="s">
        <v>273</v>
      </c>
      <c r="N417" s="10"/>
    </row>
    <row r="418" spans="1:14" x14ac:dyDescent="0.3">
      <c r="A418" s="67" t="s">
        <v>14</v>
      </c>
      <c r="B418" s="4" t="s">
        <v>18</v>
      </c>
      <c r="C418" s="58">
        <v>4</v>
      </c>
      <c r="D418" s="56">
        <v>3.91</v>
      </c>
      <c r="E418" s="51">
        <v>7</v>
      </c>
      <c r="F418" s="4" t="s">
        <v>76</v>
      </c>
      <c r="G418" s="4" t="s">
        <v>117</v>
      </c>
      <c r="H418" s="48">
        <f>IF(G418&gt;0,VLOOKUP(G418,Apoio!$A$2:$B$25,2,0),"")</f>
        <v>3</v>
      </c>
      <c r="I418" s="44">
        <f t="shared" si="66"/>
        <v>21.483375959079282</v>
      </c>
      <c r="J418" s="98">
        <f t="shared" si="65"/>
        <v>5.585677749360614</v>
      </c>
      <c r="K418" s="103"/>
      <c r="L418" s="103"/>
      <c r="M418" s="103" t="s">
        <v>273</v>
      </c>
      <c r="N418" s="10"/>
    </row>
    <row r="419" spans="1:14" x14ac:dyDescent="0.3">
      <c r="A419" s="4" t="s">
        <v>19</v>
      </c>
      <c r="B419" s="4" t="s">
        <v>20</v>
      </c>
      <c r="C419" s="58">
        <v>4</v>
      </c>
      <c r="D419" s="56">
        <v>7.4</v>
      </c>
      <c r="E419" s="51">
        <v>7</v>
      </c>
      <c r="F419" s="4" t="s">
        <v>69</v>
      </c>
      <c r="G419" s="4" t="s">
        <v>68</v>
      </c>
      <c r="H419" s="48">
        <f>IF(G419&gt;0,VLOOKUP(G419,Apoio!$A$2:$B$25,2,0),"")</f>
        <v>7</v>
      </c>
      <c r="I419" s="44">
        <f t="shared" si="66"/>
        <v>26.486486486486484</v>
      </c>
      <c r="J419" s="98"/>
      <c r="K419" s="103"/>
      <c r="L419" s="103"/>
      <c r="M419" s="103"/>
      <c r="N419" s="10"/>
    </row>
    <row r="420" spans="1:14" x14ac:dyDescent="0.3">
      <c r="A420" s="4" t="s">
        <v>19</v>
      </c>
      <c r="B420" s="4" t="s">
        <v>20</v>
      </c>
      <c r="C420" s="58">
        <v>4</v>
      </c>
      <c r="D420" s="56">
        <v>7.4</v>
      </c>
      <c r="E420" s="51">
        <v>7</v>
      </c>
      <c r="F420" s="4" t="s">
        <v>69</v>
      </c>
      <c r="G420" s="4" t="s">
        <v>75</v>
      </c>
      <c r="H420" s="48">
        <f>IF(G420&gt;0,VLOOKUP(G420,Apoio!$A$2:$B$25,2,0),"")</f>
        <v>8</v>
      </c>
      <c r="I420" s="44">
        <f t="shared" si="66"/>
        <v>30.27027027027027</v>
      </c>
      <c r="J420" s="98"/>
      <c r="K420" s="103"/>
      <c r="L420" s="103"/>
      <c r="M420" s="103"/>
      <c r="N420" s="10"/>
    </row>
    <row r="421" spans="1:14" x14ac:dyDescent="0.3">
      <c r="A421" s="4" t="s">
        <v>19</v>
      </c>
      <c r="B421" s="4" t="s">
        <v>20</v>
      </c>
      <c r="C421" s="58">
        <v>4</v>
      </c>
      <c r="D421" s="56">
        <v>7.4</v>
      </c>
      <c r="E421" s="51">
        <v>7</v>
      </c>
      <c r="F421" s="4" t="s">
        <v>69</v>
      </c>
      <c r="G421" s="4" t="s">
        <v>82</v>
      </c>
      <c r="H421" s="48">
        <f>IF(G421&gt;0,VLOOKUP(G421,Apoio!$A$2:$B$25,2,0),"")</f>
        <v>6</v>
      </c>
      <c r="I421" s="44">
        <f t="shared" si="66"/>
        <v>22.702702702702702</v>
      </c>
      <c r="J421" s="98"/>
      <c r="K421" s="103"/>
      <c r="L421" s="103"/>
      <c r="M421" s="103"/>
      <c r="N421" s="10"/>
    </row>
    <row r="422" spans="1:14" x14ac:dyDescent="0.3">
      <c r="A422" s="4" t="s">
        <v>19</v>
      </c>
      <c r="B422" s="4" t="s">
        <v>20</v>
      </c>
      <c r="C422" s="58">
        <v>4</v>
      </c>
      <c r="D422" s="56">
        <v>7.4</v>
      </c>
      <c r="E422" s="51">
        <v>7</v>
      </c>
      <c r="F422" s="4" t="s">
        <v>69</v>
      </c>
      <c r="G422" s="4" t="s">
        <v>89</v>
      </c>
      <c r="H422" s="48">
        <f>IF(G422&gt;0,VLOOKUP(G422,Apoio!$A$2:$B$25,2,0),"")</f>
        <v>8</v>
      </c>
      <c r="I422" s="44">
        <f t="shared" si="66"/>
        <v>30.27027027027027</v>
      </c>
      <c r="J422" s="98"/>
      <c r="K422" s="103"/>
      <c r="L422" s="103"/>
      <c r="M422" s="103"/>
      <c r="N422" s="10"/>
    </row>
    <row r="423" spans="1:14" x14ac:dyDescent="0.3">
      <c r="A423" s="4" t="s">
        <v>19</v>
      </c>
      <c r="B423" s="4" t="s">
        <v>20</v>
      </c>
      <c r="C423" s="58">
        <v>4</v>
      </c>
      <c r="D423" s="56">
        <v>7.4</v>
      </c>
      <c r="E423" s="51">
        <v>7</v>
      </c>
      <c r="F423" s="4" t="s">
        <v>69</v>
      </c>
      <c r="G423" s="4" t="s">
        <v>96</v>
      </c>
      <c r="H423" s="48">
        <f>IF(G423&gt;0,VLOOKUP(G423,Apoio!$A$2:$B$25,2,0),"")</f>
        <v>8</v>
      </c>
      <c r="I423" s="44">
        <f t="shared" si="66"/>
        <v>30.27027027027027</v>
      </c>
      <c r="J423" s="98"/>
      <c r="K423" s="103"/>
      <c r="L423" s="103"/>
      <c r="M423" s="103"/>
      <c r="N423" s="10"/>
    </row>
    <row r="424" spans="1:14" x14ac:dyDescent="0.3">
      <c r="A424" s="4" t="s">
        <v>19</v>
      </c>
      <c r="B424" s="4" t="s">
        <v>20</v>
      </c>
      <c r="C424" s="58">
        <v>4</v>
      </c>
      <c r="D424" s="56">
        <v>7.4</v>
      </c>
      <c r="E424" s="51">
        <v>7</v>
      </c>
      <c r="F424" s="4" t="s">
        <v>69</v>
      </c>
      <c r="G424" s="4" t="s">
        <v>99</v>
      </c>
      <c r="H424" s="48">
        <f>IF(G424&gt;0,VLOOKUP(G424,Apoio!$A$2:$B$25,2,0),"")</f>
        <v>2</v>
      </c>
      <c r="I424" s="44">
        <f t="shared" si="66"/>
        <v>7.5675675675675675</v>
      </c>
      <c r="J424" s="98"/>
      <c r="K424" s="103"/>
      <c r="L424" s="103"/>
      <c r="M424" s="103"/>
      <c r="N424" s="10"/>
    </row>
    <row r="425" spans="1:14" x14ac:dyDescent="0.3">
      <c r="A425" s="4" t="s">
        <v>19</v>
      </c>
      <c r="B425" s="4" t="s">
        <v>20</v>
      </c>
      <c r="C425" s="58">
        <v>4</v>
      </c>
      <c r="D425" s="96">
        <v>10.1</v>
      </c>
      <c r="E425" s="51">
        <v>7</v>
      </c>
      <c r="F425" s="4" t="s">
        <v>76</v>
      </c>
      <c r="G425" s="4" t="s">
        <v>102</v>
      </c>
      <c r="H425" s="48">
        <f>IF(G425&gt;0,VLOOKUP(G425,Apoio!$A$2:$B$25,2,0),"")</f>
        <v>5</v>
      </c>
      <c r="I425" s="44">
        <f t="shared" si="66"/>
        <v>13.861386138613861</v>
      </c>
      <c r="J425" s="98"/>
      <c r="K425" s="103"/>
      <c r="L425" s="103"/>
      <c r="M425" s="103"/>
      <c r="N425" s="10"/>
    </row>
    <row r="426" spans="1:14" x14ac:dyDescent="0.3">
      <c r="A426" s="4" t="s">
        <v>19</v>
      </c>
      <c r="B426" s="4" t="s">
        <v>20</v>
      </c>
      <c r="C426" s="58">
        <v>4</v>
      </c>
      <c r="D426" s="97">
        <v>10.1</v>
      </c>
      <c r="E426" s="51">
        <v>7</v>
      </c>
      <c r="F426" s="4" t="s">
        <v>76</v>
      </c>
      <c r="G426" s="4" t="s">
        <v>105</v>
      </c>
      <c r="H426" s="48">
        <f>IF(G426&gt;0,VLOOKUP(G426,Apoio!$A$2:$B$25,2,0),"")</f>
        <v>7</v>
      </c>
      <c r="I426" s="44">
        <f t="shared" si="66"/>
        <v>19.405940594059405</v>
      </c>
      <c r="J426" s="98"/>
      <c r="K426" s="103"/>
      <c r="L426" s="103"/>
      <c r="M426" s="103"/>
      <c r="N426" s="10"/>
    </row>
    <row r="427" spans="1:14" x14ac:dyDescent="0.3">
      <c r="A427" s="4" t="s">
        <v>19</v>
      </c>
      <c r="B427" s="4" t="s">
        <v>20</v>
      </c>
      <c r="C427" s="58">
        <v>4</v>
      </c>
      <c r="D427" s="97">
        <v>10.1</v>
      </c>
      <c r="E427" s="51">
        <v>7</v>
      </c>
      <c r="F427" s="4" t="s">
        <v>76</v>
      </c>
      <c r="G427" s="4" t="s">
        <v>108</v>
      </c>
      <c r="H427" s="48">
        <f>IF(G427&gt;0,VLOOKUP(G427,Apoio!$A$2:$B$25,2,0),"")</f>
        <v>8</v>
      </c>
      <c r="I427" s="44">
        <f t="shared" si="66"/>
        <v>22.17821782178218</v>
      </c>
      <c r="J427" s="98"/>
      <c r="K427" s="103"/>
      <c r="L427" s="103"/>
      <c r="M427" s="103"/>
      <c r="N427" s="10"/>
    </row>
    <row r="428" spans="1:14" x14ac:dyDescent="0.3">
      <c r="A428" s="4" t="s">
        <v>19</v>
      </c>
      <c r="B428" s="4" t="s">
        <v>20</v>
      </c>
      <c r="C428" s="58">
        <v>4</v>
      </c>
      <c r="D428" s="56">
        <v>10.1</v>
      </c>
      <c r="E428" s="51">
        <v>7</v>
      </c>
      <c r="F428" s="4" t="s">
        <v>76</v>
      </c>
      <c r="G428" s="4" t="s">
        <v>111</v>
      </c>
      <c r="H428" s="48">
        <f>IF(G428&gt;0,VLOOKUP(G428,Apoio!$A$2:$B$25,2,0),"")</f>
        <v>7</v>
      </c>
      <c r="I428" s="44">
        <f t="shared" si="66"/>
        <v>19.405940594059405</v>
      </c>
      <c r="J428" s="98"/>
      <c r="K428" s="103"/>
      <c r="L428" s="103"/>
      <c r="M428" s="103"/>
      <c r="N428" s="10"/>
    </row>
    <row r="429" spans="1:14" x14ac:dyDescent="0.3">
      <c r="A429" s="4" t="s">
        <v>19</v>
      </c>
      <c r="B429" s="4" t="s">
        <v>20</v>
      </c>
      <c r="C429" s="58">
        <v>4</v>
      </c>
      <c r="D429" s="56">
        <v>10.1</v>
      </c>
      <c r="E429" s="51">
        <v>7</v>
      </c>
      <c r="F429" s="4" t="s">
        <v>76</v>
      </c>
      <c r="G429" s="4" t="s">
        <v>114</v>
      </c>
      <c r="H429" s="48">
        <f>IF(G429&gt;0,VLOOKUP(G429,Apoio!$A$2:$B$25,2,0),"")</f>
        <v>8</v>
      </c>
      <c r="I429" s="44">
        <f t="shared" si="66"/>
        <v>22.17821782178218</v>
      </c>
      <c r="J429" s="98"/>
      <c r="K429" s="103"/>
      <c r="L429" s="103"/>
      <c r="M429" s="103"/>
      <c r="N429" s="10"/>
    </row>
    <row r="430" spans="1:14" x14ac:dyDescent="0.3">
      <c r="A430" s="4" t="s">
        <v>19</v>
      </c>
      <c r="B430" s="4" t="s">
        <v>20</v>
      </c>
      <c r="C430" s="58">
        <v>4</v>
      </c>
      <c r="D430" s="56">
        <v>10.1</v>
      </c>
      <c r="E430" s="51">
        <v>7</v>
      </c>
      <c r="F430" s="4" t="s">
        <v>76</v>
      </c>
      <c r="G430" s="4" t="s">
        <v>117</v>
      </c>
      <c r="H430" s="48">
        <f>IF(G430&gt;0,VLOOKUP(G430,Apoio!$A$2:$B$25,2,0),"")</f>
        <v>3</v>
      </c>
      <c r="I430" s="44">
        <f t="shared" si="66"/>
        <v>8.3168316831683171</v>
      </c>
      <c r="J430" s="98"/>
      <c r="K430" s="103"/>
      <c r="L430" s="103"/>
      <c r="M430" s="103"/>
      <c r="N430" s="10"/>
    </row>
    <row r="431" spans="1:14" x14ac:dyDescent="0.3">
      <c r="A431" s="4" t="s">
        <v>19</v>
      </c>
      <c r="B431" s="4" t="s">
        <v>20</v>
      </c>
      <c r="C431" s="58">
        <v>4</v>
      </c>
      <c r="D431" s="115">
        <v>9.5</v>
      </c>
      <c r="E431" s="51">
        <v>7</v>
      </c>
      <c r="F431" s="4" t="s">
        <v>83</v>
      </c>
      <c r="G431" s="4" t="s">
        <v>120</v>
      </c>
      <c r="H431" s="48">
        <f>IF(G431&gt;0,VLOOKUP(G431,Apoio!$A$2:$B$25,2,0),"")</f>
        <v>7</v>
      </c>
      <c r="I431" s="44">
        <f t="shared" si="66"/>
        <v>20.631578947368421</v>
      </c>
      <c r="J431" s="98"/>
      <c r="K431" s="103"/>
      <c r="L431" s="103"/>
      <c r="M431" s="103"/>
      <c r="N431" s="10"/>
    </row>
    <row r="432" spans="1:14" x14ac:dyDescent="0.3">
      <c r="A432" s="4" t="s">
        <v>19</v>
      </c>
      <c r="B432" s="4" t="s">
        <v>20</v>
      </c>
      <c r="C432" s="58">
        <v>4</v>
      </c>
      <c r="D432" s="115">
        <v>9.5</v>
      </c>
      <c r="E432" s="51">
        <v>7</v>
      </c>
      <c r="F432" s="4" t="s">
        <v>83</v>
      </c>
      <c r="G432" s="4" t="s">
        <v>123</v>
      </c>
      <c r="H432" s="48">
        <f>IF(G432&gt;0,VLOOKUP(G432,Apoio!$A$2:$B$25,2,0),"")</f>
        <v>8</v>
      </c>
      <c r="I432" s="44">
        <f t="shared" si="66"/>
        <v>23.578947368421051</v>
      </c>
      <c r="J432" s="98"/>
      <c r="K432" s="103"/>
      <c r="L432" s="103"/>
      <c r="M432" s="103"/>
      <c r="N432" s="10"/>
    </row>
    <row r="433" spans="1:14" x14ac:dyDescent="0.3">
      <c r="A433" s="4" t="s">
        <v>19</v>
      </c>
      <c r="B433" s="4" t="s">
        <v>20</v>
      </c>
      <c r="C433" s="58">
        <v>4</v>
      </c>
      <c r="D433" s="115">
        <v>9.5</v>
      </c>
      <c r="E433" s="51">
        <v>7</v>
      </c>
      <c r="F433" s="4" t="s">
        <v>83</v>
      </c>
      <c r="G433" s="4" t="s">
        <v>126</v>
      </c>
      <c r="H433" s="48">
        <f>IF(G433&gt;0,VLOOKUP(G433,Apoio!$A$2:$B$25,2,0),"")</f>
        <v>8</v>
      </c>
      <c r="I433" s="44">
        <f t="shared" si="66"/>
        <v>23.578947368421051</v>
      </c>
      <c r="J433" s="98"/>
      <c r="K433" s="103"/>
      <c r="L433" s="103"/>
      <c r="M433" s="103"/>
      <c r="N433" s="10"/>
    </row>
    <row r="434" spans="1:14" x14ac:dyDescent="0.3">
      <c r="A434" s="4" t="s">
        <v>19</v>
      </c>
      <c r="B434" s="4" t="s">
        <v>20</v>
      </c>
      <c r="C434" s="58">
        <v>4</v>
      </c>
      <c r="D434" s="115">
        <v>9.5</v>
      </c>
      <c r="E434" s="51">
        <v>7</v>
      </c>
      <c r="F434" s="4" t="s">
        <v>83</v>
      </c>
      <c r="G434" s="4" t="s">
        <v>129</v>
      </c>
      <c r="H434" s="48">
        <f>IF(G434&gt;0,VLOOKUP(G434,Apoio!$A$2:$B$25,2,0),"")</f>
        <v>8</v>
      </c>
      <c r="I434" s="44">
        <f t="shared" si="66"/>
        <v>23.578947368421051</v>
      </c>
      <c r="J434" s="98"/>
      <c r="K434" s="103"/>
      <c r="L434" s="103"/>
      <c r="M434" s="103"/>
      <c r="N434" s="10"/>
    </row>
    <row r="435" spans="1:14" x14ac:dyDescent="0.3">
      <c r="A435" s="4" t="s">
        <v>19</v>
      </c>
      <c r="B435" s="4" t="s">
        <v>20</v>
      </c>
      <c r="C435" s="58">
        <v>4</v>
      </c>
      <c r="D435" s="115">
        <v>9.5</v>
      </c>
      <c r="E435" s="51">
        <v>7</v>
      </c>
      <c r="F435" s="4" t="s">
        <v>83</v>
      </c>
      <c r="G435" s="4" t="s">
        <v>132</v>
      </c>
      <c r="H435" s="48">
        <f>IF(G435&gt;0,VLOOKUP(G435,Apoio!$A$2:$B$25,2,0),"")</f>
        <v>7</v>
      </c>
      <c r="I435" s="44">
        <f t="shared" si="66"/>
        <v>20.631578947368421</v>
      </c>
      <c r="J435" s="98"/>
      <c r="K435" s="103"/>
      <c r="L435" s="103"/>
      <c r="M435" s="103"/>
      <c r="N435" s="10"/>
    </row>
    <row r="436" spans="1:14" x14ac:dyDescent="0.3">
      <c r="A436" s="4" t="s">
        <v>19</v>
      </c>
      <c r="B436" s="4" t="s">
        <v>20</v>
      </c>
      <c r="C436" s="58">
        <v>4</v>
      </c>
      <c r="D436" s="56">
        <v>9.5</v>
      </c>
      <c r="E436" s="51">
        <v>7</v>
      </c>
      <c r="F436" s="4" t="s">
        <v>83</v>
      </c>
      <c r="G436" s="4" t="s">
        <v>135</v>
      </c>
      <c r="H436" s="48">
        <f>IF(G436&gt;0,VLOOKUP(G436,Apoio!$A$2:$B$25,2,0),"")</f>
        <v>3</v>
      </c>
      <c r="I436" s="44">
        <f t="shared" si="66"/>
        <v>8.8421052631578956</v>
      </c>
      <c r="J436" s="98"/>
      <c r="K436" s="103"/>
      <c r="L436" s="103"/>
      <c r="M436" s="103"/>
      <c r="N436" s="10"/>
    </row>
    <row r="437" spans="1:14" x14ac:dyDescent="0.3">
      <c r="A437" s="4" t="s">
        <v>19</v>
      </c>
      <c r="B437" s="4" t="s">
        <v>20</v>
      </c>
      <c r="C437" s="108">
        <v>4</v>
      </c>
      <c r="D437" s="51">
        <v>9.5</v>
      </c>
      <c r="E437" s="51">
        <v>7</v>
      </c>
      <c r="F437" s="4" t="s">
        <v>90</v>
      </c>
      <c r="G437" s="4" t="s">
        <v>138</v>
      </c>
      <c r="H437" s="48">
        <f>IF(G437&gt;0,VLOOKUP(G437,Apoio!$A$2:$B$25,2,0),"")</f>
        <v>8</v>
      </c>
      <c r="I437" s="44">
        <f t="shared" si="66"/>
        <v>23.578947368421051</v>
      </c>
      <c r="J437" s="98">
        <v>8</v>
      </c>
      <c r="K437" s="406">
        <f t="shared" ref="K437:K442" si="67">I437-J437</f>
        <v>15.578947368421051</v>
      </c>
      <c r="L437" s="103"/>
      <c r="M437" s="103"/>
      <c r="N437" s="10"/>
    </row>
    <row r="438" spans="1:14" x14ac:dyDescent="0.3">
      <c r="A438" s="4" t="s">
        <v>19</v>
      </c>
      <c r="B438" s="4" t="s">
        <v>20</v>
      </c>
      <c r="C438" s="108">
        <v>4</v>
      </c>
      <c r="D438" s="51">
        <v>9.5</v>
      </c>
      <c r="E438" s="51">
        <v>7</v>
      </c>
      <c r="F438" s="4" t="s">
        <v>90</v>
      </c>
      <c r="G438" s="4" t="s">
        <v>141</v>
      </c>
      <c r="H438" s="48">
        <f>IF(G438&gt;0,VLOOKUP(G438,Apoio!$A$2:$B$25,2,0),"")</f>
        <v>7</v>
      </c>
      <c r="I438" s="44">
        <f t="shared" si="66"/>
        <v>20.631578947368421</v>
      </c>
      <c r="J438" s="98">
        <v>8</v>
      </c>
      <c r="K438" s="406">
        <f t="shared" si="67"/>
        <v>12.631578947368421</v>
      </c>
      <c r="L438" s="103"/>
      <c r="M438" s="103"/>
      <c r="N438" s="10"/>
    </row>
    <row r="439" spans="1:14" x14ac:dyDescent="0.3">
      <c r="A439" s="4" t="s">
        <v>19</v>
      </c>
      <c r="B439" s="4" t="s">
        <v>20</v>
      </c>
      <c r="C439" s="108">
        <v>4</v>
      </c>
      <c r="D439" s="51">
        <v>9.5</v>
      </c>
      <c r="E439" s="51">
        <v>7</v>
      </c>
      <c r="F439" s="4" t="s">
        <v>90</v>
      </c>
      <c r="G439" s="4" t="s">
        <v>144</v>
      </c>
      <c r="H439" s="48">
        <f>IF(G439&gt;0,VLOOKUP(G439,Apoio!$A$2:$B$25,2,0),"")</f>
        <v>7</v>
      </c>
      <c r="I439" s="44">
        <f t="shared" si="66"/>
        <v>20.631578947368421</v>
      </c>
      <c r="J439" s="98">
        <v>8</v>
      </c>
      <c r="K439" s="406">
        <f t="shared" si="67"/>
        <v>12.631578947368421</v>
      </c>
      <c r="L439" s="103"/>
      <c r="M439" s="103"/>
      <c r="N439" s="10"/>
    </row>
    <row r="440" spans="1:14" x14ac:dyDescent="0.3">
      <c r="A440" s="4" t="s">
        <v>19</v>
      </c>
      <c r="B440" s="4" t="s">
        <v>20</v>
      </c>
      <c r="C440" s="108">
        <v>4</v>
      </c>
      <c r="D440" s="51">
        <v>9.5</v>
      </c>
      <c r="E440" s="51">
        <v>7</v>
      </c>
      <c r="F440" s="4" t="s">
        <v>90</v>
      </c>
      <c r="G440" s="4" t="s">
        <v>147</v>
      </c>
      <c r="H440" s="48">
        <f>IF(G440&gt;0,VLOOKUP(G440,Apoio!$A$2:$B$25,2,0),"")</f>
        <v>7</v>
      </c>
      <c r="I440" s="44">
        <f t="shared" si="66"/>
        <v>20.631578947368421</v>
      </c>
      <c r="J440" s="98">
        <v>8</v>
      </c>
      <c r="K440" s="406">
        <f t="shared" si="67"/>
        <v>12.631578947368421</v>
      </c>
      <c r="L440" s="103"/>
      <c r="M440" s="103"/>
      <c r="N440" s="10"/>
    </row>
    <row r="441" spans="1:14" x14ac:dyDescent="0.3">
      <c r="A441" s="4" t="s">
        <v>19</v>
      </c>
      <c r="B441" s="4" t="s">
        <v>20</v>
      </c>
      <c r="C441" s="108">
        <v>4</v>
      </c>
      <c r="D441" s="51">
        <v>9.5</v>
      </c>
      <c r="E441" s="51">
        <v>7</v>
      </c>
      <c r="F441" s="4" t="s">
        <v>90</v>
      </c>
      <c r="G441" s="4" t="s">
        <v>150</v>
      </c>
      <c r="H441" s="48">
        <f>IF(G441&gt;0,VLOOKUP(G441,Apoio!$A$2:$B$25,2,0),"")</f>
        <v>8</v>
      </c>
      <c r="I441" s="44">
        <f t="shared" si="66"/>
        <v>23.578947368421051</v>
      </c>
      <c r="J441" s="98">
        <v>8</v>
      </c>
      <c r="K441" s="406">
        <f t="shared" si="67"/>
        <v>15.578947368421051</v>
      </c>
      <c r="L441" s="103"/>
      <c r="M441" s="103"/>
      <c r="N441" s="10"/>
    </row>
    <row r="442" spans="1:14" x14ac:dyDescent="0.3">
      <c r="A442" s="4" t="s">
        <v>19</v>
      </c>
      <c r="B442" s="4" t="s">
        <v>20</v>
      </c>
      <c r="C442" s="108">
        <v>4</v>
      </c>
      <c r="D442" s="51">
        <v>9.5</v>
      </c>
      <c r="E442" s="51">
        <v>7</v>
      </c>
      <c r="F442" s="4" t="s">
        <v>90</v>
      </c>
      <c r="G442" s="4" t="s">
        <v>153</v>
      </c>
      <c r="H442" s="48">
        <f>IF(G442&gt;0,VLOOKUP(G442,Apoio!$A$2:$B$25,2,0),"")</f>
        <v>8</v>
      </c>
      <c r="I442" s="44">
        <f>IF(D442&gt;0,(((H442*E442)*C442)/D442),"")</f>
        <v>23.578947368421051</v>
      </c>
      <c r="J442" s="98">
        <v>8</v>
      </c>
      <c r="K442" s="406">
        <f t="shared" si="67"/>
        <v>15.578947368421051</v>
      </c>
      <c r="L442" s="103"/>
      <c r="M442" s="103"/>
      <c r="N442" s="10"/>
    </row>
    <row r="443" spans="1:14" x14ac:dyDescent="0.3">
      <c r="A443" s="4" t="s">
        <v>19</v>
      </c>
      <c r="B443" s="4" t="s">
        <v>21</v>
      </c>
      <c r="C443" s="58">
        <v>7</v>
      </c>
      <c r="D443" s="51">
        <v>5.4</v>
      </c>
      <c r="E443" s="51">
        <v>7</v>
      </c>
      <c r="F443" s="4" t="s">
        <v>69</v>
      </c>
      <c r="G443" s="4" t="s">
        <v>68</v>
      </c>
      <c r="H443" s="48">
        <f>IF(G443&gt;0,VLOOKUP(G443,Apoio!$A$2:$B$25,2,0),"")</f>
        <v>7</v>
      </c>
      <c r="I443" s="44">
        <f t="shared" si="66"/>
        <v>63.518518518518512</v>
      </c>
      <c r="J443" s="98"/>
      <c r="K443" s="103"/>
      <c r="L443" s="103"/>
      <c r="M443" s="103"/>
      <c r="N443" s="10"/>
    </row>
    <row r="444" spans="1:14" x14ac:dyDescent="0.3">
      <c r="A444" s="4" t="s">
        <v>19</v>
      </c>
      <c r="B444" s="4" t="s">
        <v>21</v>
      </c>
      <c r="C444" s="58">
        <v>7</v>
      </c>
      <c r="D444" s="51">
        <v>5.4</v>
      </c>
      <c r="E444" s="51">
        <v>7</v>
      </c>
      <c r="F444" s="4" t="s">
        <v>69</v>
      </c>
      <c r="G444" s="4" t="s">
        <v>75</v>
      </c>
      <c r="H444" s="48">
        <f>IF(G444&gt;0,VLOOKUP(G444,Apoio!$A$2:$B$25,2,0),"")</f>
        <v>8</v>
      </c>
      <c r="I444" s="44">
        <f t="shared" si="66"/>
        <v>72.592592592592581</v>
      </c>
      <c r="J444" s="98"/>
      <c r="K444" s="103"/>
      <c r="L444" s="103"/>
      <c r="M444" s="103"/>
      <c r="N444" s="10"/>
    </row>
    <row r="445" spans="1:14" x14ac:dyDescent="0.3">
      <c r="A445" s="4" t="s">
        <v>19</v>
      </c>
      <c r="B445" s="4" t="s">
        <v>21</v>
      </c>
      <c r="C445" s="58">
        <v>7</v>
      </c>
      <c r="D445" s="51">
        <v>5.4</v>
      </c>
      <c r="E445" s="51">
        <v>7</v>
      </c>
      <c r="F445" s="4" t="s">
        <v>69</v>
      </c>
      <c r="G445" s="4" t="s">
        <v>82</v>
      </c>
      <c r="H445" s="48">
        <f>IF(G445&gt;0,VLOOKUP(G445,Apoio!$A$2:$B$25,2,0),"")</f>
        <v>6</v>
      </c>
      <c r="I445" s="44">
        <f t="shared" si="66"/>
        <v>54.444444444444443</v>
      </c>
      <c r="J445" s="98"/>
      <c r="K445" s="103"/>
      <c r="L445" s="103"/>
      <c r="M445" s="103"/>
      <c r="N445" s="10"/>
    </row>
    <row r="446" spans="1:14" x14ac:dyDescent="0.3">
      <c r="A446" s="4" t="s">
        <v>19</v>
      </c>
      <c r="B446" s="4" t="s">
        <v>21</v>
      </c>
      <c r="C446" s="58">
        <v>7</v>
      </c>
      <c r="D446" s="51">
        <v>5.4</v>
      </c>
      <c r="E446" s="51">
        <v>7</v>
      </c>
      <c r="F446" s="4" t="s">
        <v>69</v>
      </c>
      <c r="G446" s="4" t="s">
        <v>89</v>
      </c>
      <c r="H446" s="48">
        <f>IF(G446&gt;0,VLOOKUP(G446,Apoio!$A$2:$B$25,2,0),"")</f>
        <v>8</v>
      </c>
      <c r="I446" s="44">
        <f t="shared" si="66"/>
        <v>72.592592592592581</v>
      </c>
      <c r="J446" s="98"/>
      <c r="K446" s="103"/>
      <c r="L446" s="103"/>
      <c r="M446" s="103"/>
      <c r="N446" s="10"/>
    </row>
    <row r="447" spans="1:14" x14ac:dyDescent="0.3">
      <c r="A447" s="4" t="s">
        <v>19</v>
      </c>
      <c r="B447" s="4" t="s">
        <v>21</v>
      </c>
      <c r="C447" s="58">
        <v>7</v>
      </c>
      <c r="D447" s="51">
        <v>5.4</v>
      </c>
      <c r="E447" s="51">
        <v>7</v>
      </c>
      <c r="F447" s="4" t="s">
        <v>69</v>
      </c>
      <c r="G447" s="4" t="s">
        <v>96</v>
      </c>
      <c r="H447" s="48">
        <f>IF(G447&gt;0,VLOOKUP(G447,Apoio!$A$2:$B$25,2,0),"")</f>
        <v>8</v>
      </c>
      <c r="I447" s="44">
        <f t="shared" si="66"/>
        <v>72.592592592592581</v>
      </c>
      <c r="J447" s="98"/>
      <c r="K447" s="103"/>
      <c r="L447" s="103"/>
      <c r="M447" s="103"/>
      <c r="N447" s="10"/>
    </row>
    <row r="448" spans="1:14" x14ac:dyDescent="0.3">
      <c r="A448" s="4" t="s">
        <v>19</v>
      </c>
      <c r="B448" s="4" t="s">
        <v>21</v>
      </c>
      <c r="C448" s="58">
        <v>7</v>
      </c>
      <c r="D448" s="51">
        <v>5.4</v>
      </c>
      <c r="E448" s="51">
        <v>7</v>
      </c>
      <c r="F448" s="4" t="s">
        <v>69</v>
      </c>
      <c r="G448" s="4" t="s">
        <v>99</v>
      </c>
      <c r="H448" s="48">
        <f>IF(G448&gt;0,VLOOKUP(G448,Apoio!$A$2:$B$25,2,0),"")</f>
        <v>2</v>
      </c>
      <c r="I448" s="44">
        <f t="shared" si="66"/>
        <v>18.148148148148145</v>
      </c>
      <c r="J448" s="98"/>
      <c r="K448" s="103"/>
      <c r="L448" s="103"/>
      <c r="M448" s="103"/>
      <c r="N448" s="10"/>
    </row>
    <row r="449" spans="1:14" x14ac:dyDescent="0.3">
      <c r="A449" s="4" t="s">
        <v>19</v>
      </c>
      <c r="B449" s="4" t="s">
        <v>21</v>
      </c>
      <c r="C449" s="58">
        <v>7</v>
      </c>
      <c r="D449" s="51">
        <v>5.4</v>
      </c>
      <c r="E449" s="51">
        <v>7</v>
      </c>
      <c r="F449" s="4" t="s">
        <v>76</v>
      </c>
      <c r="G449" s="4" t="s">
        <v>102</v>
      </c>
      <c r="H449" s="48">
        <f>IF(G449&gt;0,VLOOKUP(G449,Apoio!$A$2:$B$25,2,0),"")</f>
        <v>5</v>
      </c>
      <c r="I449" s="44">
        <f t="shared" si="66"/>
        <v>45.370370370370367</v>
      </c>
      <c r="J449" s="98"/>
      <c r="K449" s="103"/>
      <c r="L449" s="103"/>
      <c r="M449" s="103"/>
      <c r="N449" s="10"/>
    </row>
    <row r="450" spans="1:14" x14ac:dyDescent="0.3">
      <c r="A450" s="4" t="s">
        <v>19</v>
      </c>
      <c r="B450" s="4" t="s">
        <v>21</v>
      </c>
      <c r="C450" s="58">
        <v>7</v>
      </c>
      <c r="D450" s="51">
        <v>5.4</v>
      </c>
      <c r="E450" s="51">
        <v>7</v>
      </c>
      <c r="F450" s="4" t="s">
        <v>76</v>
      </c>
      <c r="G450" s="4" t="s">
        <v>105</v>
      </c>
      <c r="H450" s="48">
        <f>IF(G450&gt;0,VLOOKUP(G450,Apoio!$A$2:$B$25,2,0),"")</f>
        <v>7</v>
      </c>
      <c r="I450" s="44">
        <f t="shared" si="66"/>
        <v>63.518518518518512</v>
      </c>
      <c r="J450" s="98"/>
      <c r="K450" s="103"/>
      <c r="L450" s="103"/>
      <c r="M450" s="103"/>
      <c r="N450" s="10"/>
    </row>
    <row r="451" spans="1:14" x14ac:dyDescent="0.3">
      <c r="A451" s="4" t="s">
        <v>19</v>
      </c>
      <c r="B451" s="4" t="s">
        <v>21</v>
      </c>
      <c r="C451" s="58">
        <v>7</v>
      </c>
      <c r="D451" s="51">
        <v>5.4</v>
      </c>
      <c r="E451" s="51">
        <v>7</v>
      </c>
      <c r="F451" s="4" t="s">
        <v>76</v>
      </c>
      <c r="G451" s="4" t="s">
        <v>108</v>
      </c>
      <c r="H451" s="48">
        <f>IF(G451&gt;0,VLOOKUP(G451,Apoio!$A$2:$B$25,2,0),"")</f>
        <v>8</v>
      </c>
      <c r="I451" s="44">
        <f t="shared" si="66"/>
        <v>72.592592592592581</v>
      </c>
      <c r="J451" s="98"/>
      <c r="K451" s="103"/>
      <c r="L451" s="103"/>
      <c r="M451" s="103"/>
      <c r="N451" s="10"/>
    </row>
    <row r="452" spans="1:14" x14ac:dyDescent="0.3">
      <c r="A452" s="4" t="s">
        <v>19</v>
      </c>
      <c r="B452" s="4" t="s">
        <v>21</v>
      </c>
      <c r="C452" s="58">
        <v>7</v>
      </c>
      <c r="D452" s="51">
        <v>5.4</v>
      </c>
      <c r="E452" s="51">
        <v>7</v>
      </c>
      <c r="F452" s="4" t="s">
        <v>76</v>
      </c>
      <c r="G452" s="4" t="s">
        <v>111</v>
      </c>
      <c r="H452" s="48">
        <f>IF(G452&gt;0,VLOOKUP(G452,Apoio!$A$2:$B$25,2,0),"")</f>
        <v>7</v>
      </c>
      <c r="I452" s="44">
        <f t="shared" si="66"/>
        <v>63.518518518518512</v>
      </c>
      <c r="J452" s="98"/>
      <c r="K452" s="103"/>
      <c r="L452" s="103"/>
      <c r="M452" s="103"/>
      <c r="N452" s="10"/>
    </row>
    <row r="453" spans="1:14" x14ac:dyDescent="0.3">
      <c r="A453" s="4" t="s">
        <v>19</v>
      </c>
      <c r="B453" s="4" t="s">
        <v>21</v>
      </c>
      <c r="C453" s="58">
        <v>7</v>
      </c>
      <c r="D453" s="51">
        <v>5.4</v>
      </c>
      <c r="E453" s="51">
        <v>7</v>
      </c>
      <c r="F453" s="4" t="s">
        <v>76</v>
      </c>
      <c r="G453" s="4" t="s">
        <v>114</v>
      </c>
      <c r="H453" s="48">
        <f>IF(G453&gt;0,VLOOKUP(G453,Apoio!$A$2:$B$25,2,0),"")</f>
        <v>8</v>
      </c>
      <c r="I453" s="44">
        <f t="shared" si="66"/>
        <v>72.592592592592581</v>
      </c>
      <c r="J453" s="98"/>
      <c r="K453" s="103"/>
      <c r="L453" s="103"/>
      <c r="M453" s="103"/>
      <c r="N453" s="10"/>
    </row>
    <row r="454" spans="1:14" x14ac:dyDescent="0.3">
      <c r="A454" s="4" t="s">
        <v>19</v>
      </c>
      <c r="B454" s="4" t="s">
        <v>21</v>
      </c>
      <c r="C454" s="58">
        <v>7</v>
      </c>
      <c r="D454" s="51">
        <v>5.4</v>
      </c>
      <c r="E454" s="51">
        <v>7</v>
      </c>
      <c r="F454" s="4" t="s">
        <v>76</v>
      </c>
      <c r="G454" s="4" t="s">
        <v>117</v>
      </c>
      <c r="H454" s="48">
        <f>IF(G454&gt;0,VLOOKUP(G454,Apoio!$A$2:$B$25,2,0),"")</f>
        <v>3</v>
      </c>
      <c r="I454" s="44">
        <f t="shared" si="66"/>
        <v>27.222222222222221</v>
      </c>
      <c r="J454" s="98"/>
      <c r="K454" s="103"/>
      <c r="L454" s="103"/>
      <c r="M454" s="103"/>
      <c r="N454" s="10"/>
    </row>
    <row r="455" spans="1:14" x14ac:dyDescent="0.3">
      <c r="A455" s="4" t="s">
        <v>19</v>
      </c>
      <c r="B455" s="4" t="s">
        <v>21</v>
      </c>
      <c r="C455" s="58">
        <v>7</v>
      </c>
      <c r="D455" s="51">
        <v>5.4</v>
      </c>
      <c r="E455" s="51">
        <v>7</v>
      </c>
      <c r="F455" s="4" t="s">
        <v>83</v>
      </c>
      <c r="G455" s="4" t="s">
        <v>120</v>
      </c>
      <c r="H455" s="48">
        <f>IF(G455&gt;0,VLOOKUP(G455,Apoio!$A$2:$B$25,2,0),"")</f>
        <v>7</v>
      </c>
      <c r="I455" s="44">
        <f t="shared" si="66"/>
        <v>63.518518518518512</v>
      </c>
      <c r="J455" s="98"/>
      <c r="K455" s="103"/>
      <c r="L455" s="103"/>
      <c r="M455" s="103"/>
      <c r="N455" s="10"/>
    </row>
    <row r="456" spans="1:14" x14ac:dyDescent="0.3">
      <c r="A456" s="4" t="s">
        <v>19</v>
      </c>
      <c r="B456" s="4" t="s">
        <v>21</v>
      </c>
      <c r="C456" s="58">
        <v>7</v>
      </c>
      <c r="D456" s="51">
        <v>5.4</v>
      </c>
      <c r="E456" s="51">
        <v>7</v>
      </c>
      <c r="F456" s="4" t="s">
        <v>83</v>
      </c>
      <c r="G456" s="4" t="s">
        <v>123</v>
      </c>
      <c r="H456" s="48">
        <f>IF(G456&gt;0,VLOOKUP(G456,Apoio!$A$2:$B$25,2,0),"")</f>
        <v>8</v>
      </c>
      <c r="I456" s="44">
        <f t="shared" si="66"/>
        <v>72.592592592592581</v>
      </c>
      <c r="J456" s="98"/>
      <c r="K456" s="103"/>
      <c r="L456" s="103"/>
      <c r="M456" s="103"/>
      <c r="N456" s="10"/>
    </row>
    <row r="457" spans="1:14" x14ac:dyDescent="0.3">
      <c r="A457" s="4" t="s">
        <v>19</v>
      </c>
      <c r="B457" s="4" t="s">
        <v>21</v>
      </c>
      <c r="C457" s="58">
        <v>7</v>
      </c>
      <c r="D457" s="51">
        <v>5.4</v>
      </c>
      <c r="E457" s="51">
        <v>7</v>
      </c>
      <c r="F457" s="4" t="s">
        <v>83</v>
      </c>
      <c r="G457" s="4" t="s">
        <v>126</v>
      </c>
      <c r="H457" s="48">
        <f>IF(G457&gt;0,VLOOKUP(G457,Apoio!$A$2:$B$25,2,0),"")</f>
        <v>8</v>
      </c>
      <c r="I457" s="44">
        <f t="shared" si="66"/>
        <v>72.592592592592581</v>
      </c>
      <c r="J457" s="98"/>
      <c r="K457" s="103"/>
      <c r="L457" s="103"/>
      <c r="M457" s="103"/>
      <c r="N457" s="10"/>
    </row>
    <row r="458" spans="1:14" x14ac:dyDescent="0.3">
      <c r="A458" s="4" t="s">
        <v>19</v>
      </c>
      <c r="B458" s="4" t="s">
        <v>21</v>
      </c>
      <c r="C458" s="58">
        <v>7</v>
      </c>
      <c r="D458" s="51">
        <v>5.4</v>
      </c>
      <c r="E458" s="51">
        <v>7</v>
      </c>
      <c r="F458" s="4" t="s">
        <v>83</v>
      </c>
      <c r="G458" s="4" t="s">
        <v>129</v>
      </c>
      <c r="H458" s="48">
        <f>IF(G458&gt;0,VLOOKUP(G458,Apoio!$A$2:$B$25,2,0),"")</f>
        <v>8</v>
      </c>
      <c r="I458" s="44">
        <f t="shared" si="66"/>
        <v>72.592592592592581</v>
      </c>
      <c r="J458" s="98"/>
      <c r="K458" s="103"/>
      <c r="L458" s="103"/>
      <c r="M458" s="103"/>
      <c r="N458" s="10"/>
    </row>
    <row r="459" spans="1:14" x14ac:dyDescent="0.3">
      <c r="A459" s="4" t="s">
        <v>19</v>
      </c>
      <c r="B459" s="4" t="s">
        <v>21</v>
      </c>
      <c r="C459" s="58">
        <v>7</v>
      </c>
      <c r="D459" s="51">
        <v>5.4</v>
      </c>
      <c r="E459" s="51">
        <v>7</v>
      </c>
      <c r="F459" s="4" t="s">
        <v>83</v>
      </c>
      <c r="G459" s="4" t="s">
        <v>132</v>
      </c>
      <c r="H459" s="48">
        <f>IF(G459&gt;0,VLOOKUP(G459,Apoio!$A$2:$B$25,2,0),"")</f>
        <v>7</v>
      </c>
      <c r="I459" s="44">
        <f t="shared" si="66"/>
        <v>63.518518518518512</v>
      </c>
      <c r="J459" s="98"/>
      <c r="K459" s="103"/>
      <c r="L459" s="103"/>
      <c r="M459" s="103"/>
      <c r="N459" s="10"/>
    </row>
    <row r="460" spans="1:14" x14ac:dyDescent="0.3">
      <c r="A460" s="4" t="s">
        <v>19</v>
      </c>
      <c r="B460" s="4" t="s">
        <v>21</v>
      </c>
      <c r="C460" s="58">
        <v>7</v>
      </c>
      <c r="D460" s="51">
        <v>5.4</v>
      </c>
      <c r="E460" s="51">
        <v>7</v>
      </c>
      <c r="F460" s="4" t="s">
        <v>83</v>
      </c>
      <c r="G460" s="4" t="s">
        <v>135</v>
      </c>
      <c r="H460" s="48">
        <f>IF(G460&gt;0,VLOOKUP(G460,Apoio!$A$2:$B$25,2,0),"")</f>
        <v>3</v>
      </c>
      <c r="I460" s="44">
        <f t="shared" si="66"/>
        <v>27.222222222222221</v>
      </c>
      <c r="J460" s="98"/>
      <c r="K460" s="103"/>
      <c r="L460" s="103"/>
      <c r="M460" s="103"/>
      <c r="N460" s="10"/>
    </row>
    <row r="461" spans="1:14" x14ac:dyDescent="0.3">
      <c r="A461" s="4" t="s">
        <v>19</v>
      </c>
      <c r="B461" s="4" t="s">
        <v>293</v>
      </c>
      <c r="C461" s="108">
        <v>7</v>
      </c>
      <c r="D461" s="51">
        <v>5.4</v>
      </c>
      <c r="E461" s="51">
        <v>7</v>
      </c>
      <c r="F461" s="4" t="s">
        <v>90</v>
      </c>
      <c r="G461" s="4" t="s">
        <v>138</v>
      </c>
      <c r="H461" s="48">
        <f>IF(G461&gt;0,VLOOKUP(G461,Apoio!$A$2:$B$25,2,0),"")</f>
        <v>8</v>
      </c>
      <c r="I461" s="44">
        <f t="shared" si="66"/>
        <v>72.592592592592581</v>
      </c>
      <c r="J461" s="98">
        <v>8</v>
      </c>
      <c r="K461" s="406">
        <f t="shared" ref="K461:K466" si="68">I461-J461</f>
        <v>64.592592592592581</v>
      </c>
      <c r="L461" s="103"/>
      <c r="M461" s="103"/>
      <c r="N461" s="10"/>
    </row>
    <row r="462" spans="1:14" x14ac:dyDescent="0.3">
      <c r="A462" s="4" t="s">
        <v>19</v>
      </c>
      <c r="B462" s="4" t="s">
        <v>293</v>
      </c>
      <c r="C462" s="108">
        <v>7</v>
      </c>
      <c r="D462" s="51">
        <v>5.4</v>
      </c>
      <c r="E462" s="51">
        <v>7</v>
      </c>
      <c r="F462" s="4" t="s">
        <v>90</v>
      </c>
      <c r="G462" s="4" t="s">
        <v>141</v>
      </c>
      <c r="H462" s="48">
        <f>IF(G462&gt;0,VLOOKUP(G462,Apoio!$A$2:$B$25,2,0),"")</f>
        <v>7</v>
      </c>
      <c r="I462" s="44">
        <f t="shared" si="66"/>
        <v>63.518518518518512</v>
      </c>
      <c r="J462" s="98">
        <v>8</v>
      </c>
      <c r="K462" s="406">
        <f t="shared" si="68"/>
        <v>55.518518518518512</v>
      </c>
      <c r="L462" s="103"/>
      <c r="M462" s="103"/>
      <c r="N462" s="10"/>
    </row>
    <row r="463" spans="1:14" x14ac:dyDescent="0.3">
      <c r="A463" s="4" t="s">
        <v>19</v>
      </c>
      <c r="B463" s="4" t="s">
        <v>293</v>
      </c>
      <c r="C463" s="108">
        <v>7</v>
      </c>
      <c r="D463" s="51">
        <v>5.4</v>
      </c>
      <c r="E463" s="51">
        <v>7</v>
      </c>
      <c r="F463" s="4" t="s">
        <v>90</v>
      </c>
      <c r="G463" s="4" t="s">
        <v>144</v>
      </c>
      <c r="H463" s="48">
        <f>IF(G463&gt;0,VLOOKUP(G463,Apoio!$A$2:$B$25,2,0),"")</f>
        <v>7</v>
      </c>
      <c r="I463" s="44">
        <f t="shared" si="66"/>
        <v>63.518518518518512</v>
      </c>
      <c r="J463" s="98">
        <v>8</v>
      </c>
      <c r="K463" s="406">
        <f t="shared" si="68"/>
        <v>55.518518518518512</v>
      </c>
      <c r="L463" s="103"/>
      <c r="M463" s="103"/>
      <c r="N463" s="10"/>
    </row>
    <row r="464" spans="1:14" x14ac:dyDescent="0.3">
      <c r="A464" s="4" t="s">
        <v>19</v>
      </c>
      <c r="B464" s="4" t="s">
        <v>293</v>
      </c>
      <c r="C464" s="108">
        <v>7</v>
      </c>
      <c r="D464" s="51">
        <v>5.4</v>
      </c>
      <c r="E464" s="51">
        <v>7</v>
      </c>
      <c r="F464" s="4" t="s">
        <v>90</v>
      </c>
      <c r="G464" s="4" t="s">
        <v>147</v>
      </c>
      <c r="H464" s="48">
        <f>IF(G464&gt;0,VLOOKUP(G464,Apoio!$A$2:$B$25,2,0),"")</f>
        <v>7</v>
      </c>
      <c r="I464" s="44">
        <f t="shared" si="66"/>
        <v>63.518518518518512</v>
      </c>
      <c r="J464" s="98">
        <v>8</v>
      </c>
      <c r="K464" s="406">
        <f t="shared" si="68"/>
        <v>55.518518518518512</v>
      </c>
      <c r="L464" s="103"/>
      <c r="M464" s="103"/>
      <c r="N464" s="10"/>
    </row>
    <row r="465" spans="1:14" x14ac:dyDescent="0.3">
      <c r="A465" s="4" t="s">
        <v>19</v>
      </c>
      <c r="B465" s="4" t="s">
        <v>293</v>
      </c>
      <c r="C465" s="108">
        <v>7</v>
      </c>
      <c r="D465" s="51">
        <v>5.4</v>
      </c>
      <c r="E465" s="51">
        <v>7</v>
      </c>
      <c r="F465" s="4" t="s">
        <v>90</v>
      </c>
      <c r="G465" s="4" t="s">
        <v>150</v>
      </c>
      <c r="H465" s="48">
        <f>IF(G465&gt;0,VLOOKUP(G465,Apoio!$A$2:$B$25,2,0),"")</f>
        <v>8</v>
      </c>
      <c r="I465" s="44">
        <f t="shared" si="66"/>
        <v>72.592592592592581</v>
      </c>
      <c r="J465" s="98">
        <v>8</v>
      </c>
      <c r="K465" s="406">
        <f t="shared" si="68"/>
        <v>64.592592592592581</v>
      </c>
      <c r="L465" s="103"/>
      <c r="M465" s="103"/>
      <c r="N465" s="10"/>
    </row>
    <row r="466" spans="1:14" x14ac:dyDescent="0.3">
      <c r="A466" s="4" t="s">
        <v>19</v>
      </c>
      <c r="B466" s="4" t="s">
        <v>293</v>
      </c>
      <c r="C466" s="108">
        <v>7</v>
      </c>
      <c r="D466" s="51">
        <v>5.4</v>
      </c>
      <c r="E466" s="51">
        <v>7</v>
      </c>
      <c r="F466" s="4" t="s">
        <v>90</v>
      </c>
      <c r="G466" s="4" t="s">
        <v>153</v>
      </c>
      <c r="H466" s="48">
        <f>IF(G466&gt;0,VLOOKUP(G466,Apoio!$A$2:$B$25,2,0),"")</f>
        <v>8</v>
      </c>
      <c r="I466" s="44">
        <f t="shared" ref="I466" si="69">IF(D466&gt;0,(((H466*E466)*C466)/D466),"")</f>
        <v>72.592592592592581</v>
      </c>
      <c r="J466" s="98">
        <v>8</v>
      </c>
      <c r="K466" s="406">
        <f t="shared" si="68"/>
        <v>64.592592592592581</v>
      </c>
      <c r="L466" s="103"/>
      <c r="M466" s="103"/>
      <c r="N466" s="10"/>
    </row>
    <row r="467" spans="1:14" x14ac:dyDescent="0.3">
      <c r="A467" s="4" t="s">
        <v>19</v>
      </c>
      <c r="B467" s="4" t="s">
        <v>22</v>
      </c>
      <c r="C467" s="58">
        <v>7</v>
      </c>
      <c r="D467" s="117">
        <v>7.3</v>
      </c>
      <c r="E467" s="51">
        <v>7</v>
      </c>
      <c r="F467" s="4" t="s">
        <v>69</v>
      </c>
      <c r="G467" s="4" t="s">
        <v>68</v>
      </c>
      <c r="H467" s="48">
        <f>IF(G467&gt;0,VLOOKUP(G467,Apoio!$A$2:$B$25,2,0),"")</f>
        <v>7</v>
      </c>
      <c r="I467" s="44">
        <f t="shared" si="66"/>
        <v>46.986301369863014</v>
      </c>
      <c r="J467" s="98"/>
      <c r="K467" s="103"/>
      <c r="L467" s="103"/>
      <c r="M467" s="103"/>
      <c r="N467" s="10"/>
    </row>
    <row r="468" spans="1:14" x14ac:dyDescent="0.3">
      <c r="A468" s="4" t="s">
        <v>19</v>
      </c>
      <c r="B468" s="4" t="s">
        <v>22</v>
      </c>
      <c r="C468" s="58">
        <v>7</v>
      </c>
      <c r="D468" s="117">
        <v>7.3</v>
      </c>
      <c r="E468" s="51">
        <v>7</v>
      </c>
      <c r="F468" s="4" t="s">
        <v>69</v>
      </c>
      <c r="G468" s="4" t="s">
        <v>75</v>
      </c>
      <c r="H468" s="48">
        <f>IF(G468&gt;0,VLOOKUP(G468,Apoio!$A$2:$B$25,2,0),"")</f>
        <v>8</v>
      </c>
      <c r="I468" s="44">
        <f t="shared" si="66"/>
        <v>53.698630136986303</v>
      </c>
      <c r="J468" s="98"/>
      <c r="K468" s="103"/>
      <c r="L468" s="103"/>
      <c r="M468" s="103"/>
      <c r="N468" s="10"/>
    </row>
    <row r="469" spans="1:14" x14ac:dyDescent="0.3">
      <c r="A469" s="4" t="s">
        <v>19</v>
      </c>
      <c r="B469" s="4" t="s">
        <v>22</v>
      </c>
      <c r="C469" s="58">
        <v>7</v>
      </c>
      <c r="D469" s="117">
        <v>7.3</v>
      </c>
      <c r="E469" s="51">
        <v>7</v>
      </c>
      <c r="F469" s="4" t="s">
        <v>69</v>
      </c>
      <c r="G469" s="4" t="s">
        <v>82</v>
      </c>
      <c r="H469" s="48">
        <f>IF(G469&gt;0,VLOOKUP(G469,Apoio!$A$2:$B$25,2,0),"")</f>
        <v>6</v>
      </c>
      <c r="I469" s="44">
        <f t="shared" si="66"/>
        <v>40.273972602739725</v>
      </c>
      <c r="J469" s="98"/>
      <c r="K469" s="103"/>
      <c r="L469" s="103"/>
      <c r="M469" s="103"/>
      <c r="N469" s="10"/>
    </row>
    <row r="470" spans="1:14" x14ac:dyDescent="0.3">
      <c r="A470" s="4" t="s">
        <v>19</v>
      </c>
      <c r="B470" s="4" t="s">
        <v>22</v>
      </c>
      <c r="C470" s="58">
        <v>7</v>
      </c>
      <c r="D470" s="117">
        <v>7.3</v>
      </c>
      <c r="E470" s="51">
        <v>7</v>
      </c>
      <c r="F470" s="4" t="s">
        <v>69</v>
      </c>
      <c r="G470" s="4" t="s">
        <v>89</v>
      </c>
      <c r="H470" s="48">
        <f>IF(G470&gt;0,VLOOKUP(G470,Apoio!$A$2:$B$25,2,0),"")</f>
        <v>8</v>
      </c>
      <c r="I470" s="44">
        <f t="shared" si="66"/>
        <v>53.698630136986303</v>
      </c>
      <c r="J470" s="98"/>
      <c r="K470" s="103"/>
      <c r="L470" s="103"/>
      <c r="M470" s="103"/>
      <c r="N470" s="10"/>
    </row>
    <row r="471" spans="1:14" x14ac:dyDescent="0.3">
      <c r="A471" s="4" t="s">
        <v>19</v>
      </c>
      <c r="B471" s="4" t="s">
        <v>22</v>
      </c>
      <c r="C471" s="58">
        <v>7</v>
      </c>
      <c r="D471" s="117">
        <v>7.3</v>
      </c>
      <c r="E471" s="51">
        <v>7</v>
      </c>
      <c r="F471" s="4" t="s">
        <v>69</v>
      </c>
      <c r="G471" s="4" t="s">
        <v>96</v>
      </c>
      <c r="H471" s="48">
        <f>IF(G471&gt;0,VLOOKUP(G471,Apoio!$A$2:$B$25,2,0),"")</f>
        <v>8</v>
      </c>
      <c r="I471" s="44">
        <f t="shared" ref="I471:I536" si="70">IF(D471&gt;0,(((H471*E471)*C471)/D471),"")</f>
        <v>53.698630136986303</v>
      </c>
      <c r="J471" s="98"/>
      <c r="K471" s="103"/>
      <c r="L471" s="103"/>
      <c r="M471" s="103"/>
      <c r="N471" s="10"/>
    </row>
    <row r="472" spans="1:14" x14ac:dyDescent="0.3">
      <c r="A472" s="4" t="s">
        <v>19</v>
      </c>
      <c r="B472" s="4" t="s">
        <v>22</v>
      </c>
      <c r="C472" s="58">
        <v>7</v>
      </c>
      <c r="D472" s="117">
        <v>7.3</v>
      </c>
      <c r="E472" s="51">
        <v>7</v>
      </c>
      <c r="F472" s="4" t="s">
        <v>69</v>
      </c>
      <c r="G472" s="4" t="s">
        <v>99</v>
      </c>
      <c r="H472" s="48">
        <f>IF(G472&gt;0,VLOOKUP(G472,Apoio!$A$2:$B$25,2,0),"")</f>
        <v>2</v>
      </c>
      <c r="I472" s="44">
        <f t="shared" si="70"/>
        <v>13.424657534246576</v>
      </c>
      <c r="J472" s="98"/>
      <c r="K472" s="103"/>
      <c r="L472" s="103"/>
      <c r="M472" s="103"/>
      <c r="N472" s="10"/>
    </row>
    <row r="473" spans="1:14" x14ac:dyDescent="0.3">
      <c r="A473" s="4" t="s">
        <v>19</v>
      </c>
      <c r="B473" s="4" t="s">
        <v>22</v>
      </c>
      <c r="C473" s="58">
        <v>7</v>
      </c>
      <c r="D473" s="117">
        <v>7.3</v>
      </c>
      <c r="E473" s="51">
        <v>7</v>
      </c>
      <c r="F473" s="4" t="s">
        <v>76</v>
      </c>
      <c r="G473" s="4" t="s">
        <v>102</v>
      </c>
      <c r="H473" s="48">
        <f>IF(G473&gt;0,VLOOKUP(G473,Apoio!$A$2:$B$25,2,0),"")</f>
        <v>5</v>
      </c>
      <c r="I473" s="44">
        <f t="shared" si="70"/>
        <v>33.561643835616437</v>
      </c>
      <c r="J473" s="98"/>
      <c r="K473" s="103"/>
      <c r="L473" s="103"/>
      <c r="M473" s="103"/>
      <c r="N473" s="10"/>
    </row>
    <row r="474" spans="1:14" x14ac:dyDescent="0.3">
      <c r="A474" s="4" t="s">
        <v>19</v>
      </c>
      <c r="B474" s="4" t="s">
        <v>22</v>
      </c>
      <c r="C474" s="58">
        <v>7</v>
      </c>
      <c r="D474" s="117">
        <v>7.3</v>
      </c>
      <c r="E474" s="51">
        <v>7</v>
      </c>
      <c r="F474" s="4" t="s">
        <v>76</v>
      </c>
      <c r="G474" s="4" t="s">
        <v>105</v>
      </c>
      <c r="H474" s="48">
        <f>IF(G474&gt;0,VLOOKUP(G474,Apoio!$A$2:$B$25,2,0),"")</f>
        <v>7</v>
      </c>
      <c r="I474" s="44">
        <f t="shared" si="70"/>
        <v>46.986301369863014</v>
      </c>
      <c r="J474" s="98"/>
      <c r="K474" s="103"/>
      <c r="L474" s="103"/>
      <c r="M474" s="103"/>
      <c r="N474" s="10"/>
    </row>
    <row r="475" spans="1:14" x14ac:dyDescent="0.3">
      <c r="A475" s="4" t="s">
        <v>19</v>
      </c>
      <c r="B475" s="4" t="s">
        <v>22</v>
      </c>
      <c r="C475" s="58">
        <v>7</v>
      </c>
      <c r="D475" s="117">
        <v>7.3</v>
      </c>
      <c r="E475" s="51">
        <v>7</v>
      </c>
      <c r="F475" s="4" t="s">
        <v>76</v>
      </c>
      <c r="G475" s="4" t="s">
        <v>108</v>
      </c>
      <c r="H475" s="48">
        <f>IF(G475&gt;0,VLOOKUP(G475,Apoio!$A$2:$B$25,2,0),"")</f>
        <v>8</v>
      </c>
      <c r="I475" s="44">
        <f t="shared" si="70"/>
        <v>53.698630136986303</v>
      </c>
      <c r="J475" s="98"/>
      <c r="K475" s="103"/>
      <c r="L475" s="103"/>
      <c r="M475" s="103"/>
      <c r="N475" s="10"/>
    </row>
    <row r="476" spans="1:14" x14ac:dyDescent="0.3">
      <c r="A476" s="4" t="s">
        <v>19</v>
      </c>
      <c r="B476" s="4" t="s">
        <v>22</v>
      </c>
      <c r="C476" s="58">
        <v>7</v>
      </c>
      <c r="D476" s="117">
        <v>7.3</v>
      </c>
      <c r="E476" s="51">
        <v>7</v>
      </c>
      <c r="F476" s="4" t="s">
        <v>76</v>
      </c>
      <c r="G476" s="4" t="s">
        <v>111</v>
      </c>
      <c r="H476" s="48">
        <f>IF(G476&gt;0,VLOOKUP(G476,Apoio!$A$2:$B$25,2,0),"")</f>
        <v>7</v>
      </c>
      <c r="I476" s="44">
        <f t="shared" si="70"/>
        <v>46.986301369863014</v>
      </c>
      <c r="J476" s="98"/>
      <c r="K476" s="103"/>
      <c r="L476" s="103"/>
      <c r="M476" s="103"/>
      <c r="N476" s="10"/>
    </row>
    <row r="477" spans="1:14" x14ac:dyDescent="0.3">
      <c r="A477" s="4" t="s">
        <v>19</v>
      </c>
      <c r="B477" s="4" t="s">
        <v>22</v>
      </c>
      <c r="C477" s="58">
        <v>7</v>
      </c>
      <c r="D477" s="117">
        <v>7.3</v>
      </c>
      <c r="E477" s="51">
        <v>7</v>
      </c>
      <c r="F477" s="4" t="s">
        <v>76</v>
      </c>
      <c r="G477" s="4" t="s">
        <v>114</v>
      </c>
      <c r="H477" s="48">
        <f>IF(G477&gt;0,VLOOKUP(G477,Apoio!$A$2:$B$25,2,0),"")</f>
        <v>8</v>
      </c>
      <c r="I477" s="44">
        <f t="shared" si="70"/>
        <v>53.698630136986303</v>
      </c>
      <c r="J477" s="98"/>
      <c r="K477" s="103"/>
      <c r="L477" s="103"/>
      <c r="M477" s="103"/>
      <c r="N477" s="10"/>
    </row>
    <row r="478" spans="1:14" x14ac:dyDescent="0.3">
      <c r="A478" s="4" t="s">
        <v>19</v>
      </c>
      <c r="B478" s="4" t="s">
        <v>22</v>
      </c>
      <c r="C478" s="58">
        <v>7</v>
      </c>
      <c r="D478" s="117">
        <v>7.3</v>
      </c>
      <c r="E478" s="51">
        <v>7</v>
      </c>
      <c r="F478" s="4" t="s">
        <v>76</v>
      </c>
      <c r="G478" s="4" t="s">
        <v>117</v>
      </c>
      <c r="H478" s="48">
        <f>IF(G478&gt;0,VLOOKUP(G478,Apoio!$A$2:$B$25,2,0),"")</f>
        <v>3</v>
      </c>
      <c r="I478" s="44">
        <f t="shared" si="70"/>
        <v>20.136986301369863</v>
      </c>
      <c r="J478" s="98"/>
      <c r="K478" s="103"/>
      <c r="L478" s="103"/>
      <c r="M478" s="103"/>
      <c r="N478" s="10"/>
    </row>
    <row r="479" spans="1:14" x14ac:dyDescent="0.3">
      <c r="A479" s="4" t="s">
        <v>19</v>
      </c>
      <c r="B479" s="4" t="s">
        <v>22</v>
      </c>
      <c r="C479" s="58">
        <v>7</v>
      </c>
      <c r="D479" s="117">
        <v>7.3</v>
      </c>
      <c r="E479" s="51">
        <v>7</v>
      </c>
      <c r="F479" s="4" t="s">
        <v>83</v>
      </c>
      <c r="G479" s="4" t="s">
        <v>120</v>
      </c>
      <c r="H479" s="48">
        <f>IF(G479&gt;0,VLOOKUP(G479,Apoio!$A$2:$B$25,2,0),"")</f>
        <v>7</v>
      </c>
      <c r="I479" s="44">
        <f t="shared" si="70"/>
        <v>46.986301369863014</v>
      </c>
      <c r="J479" s="98"/>
      <c r="K479" s="103"/>
      <c r="L479" s="103"/>
      <c r="M479" s="103"/>
      <c r="N479" s="10"/>
    </row>
    <row r="480" spans="1:14" x14ac:dyDescent="0.3">
      <c r="A480" s="4" t="s">
        <v>19</v>
      </c>
      <c r="B480" s="4" t="s">
        <v>22</v>
      </c>
      <c r="C480" s="58">
        <v>7</v>
      </c>
      <c r="D480" s="117">
        <v>7.3</v>
      </c>
      <c r="E480" s="51">
        <v>7</v>
      </c>
      <c r="F480" s="4" t="s">
        <v>83</v>
      </c>
      <c r="G480" s="4" t="s">
        <v>123</v>
      </c>
      <c r="H480" s="48">
        <f>IF(G480&gt;0,VLOOKUP(G480,Apoio!$A$2:$B$25,2,0),"")</f>
        <v>8</v>
      </c>
      <c r="I480" s="44">
        <f t="shared" si="70"/>
        <v>53.698630136986303</v>
      </c>
      <c r="J480" s="98"/>
      <c r="K480" s="103"/>
      <c r="L480" s="103"/>
      <c r="M480" s="103"/>
      <c r="N480" s="10"/>
    </row>
    <row r="481" spans="1:14" x14ac:dyDescent="0.3">
      <c r="A481" s="4" t="s">
        <v>19</v>
      </c>
      <c r="B481" s="4" t="s">
        <v>22</v>
      </c>
      <c r="C481" s="58">
        <v>7</v>
      </c>
      <c r="D481" s="117">
        <v>7.3</v>
      </c>
      <c r="E481" s="51">
        <v>7</v>
      </c>
      <c r="F481" s="4" t="s">
        <v>83</v>
      </c>
      <c r="G481" s="4" t="s">
        <v>126</v>
      </c>
      <c r="H481" s="48">
        <f>IF(G481&gt;0,VLOOKUP(G481,Apoio!$A$2:$B$25,2,0),"")</f>
        <v>8</v>
      </c>
      <c r="I481" s="44">
        <f t="shared" si="70"/>
        <v>53.698630136986303</v>
      </c>
      <c r="J481" s="98"/>
      <c r="K481" s="103"/>
      <c r="L481" s="103"/>
      <c r="M481" s="103"/>
      <c r="N481" s="10"/>
    </row>
    <row r="482" spans="1:14" x14ac:dyDescent="0.3">
      <c r="A482" s="4" t="s">
        <v>19</v>
      </c>
      <c r="B482" s="4" t="s">
        <v>22</v>
      </c>
      <c r="C482" s="58">
        <v>7</v>
      </c>
      <c r="D482" s="117">
        <v>7.3</v>
      </c>
      <c r="E482" s="51">
        <v>7</v>
      </c>
      <c r="F482" s="4" t="s">
        <v>83</v>
      </c>
      <c r="G482" s="4" t="s">
        <v>129</v>
      </c>
      <c r="H482" s="48">
        <f>IF(G482&gt;0,VLOOKUP(G482,Apoio!$A$2:$B$25,2,0),"")</f>
        <v>8</v>
      </c>
      <c r="I482" s="44">
        <f t="shared" si="70"/>
        <v>53.698630136986303</v>
      </c>
      <c r="J482" s="98"/>
      <c r="K482" s="103"/>
      <c r="L482" s="103"/>
      <c r="M482" s="103"/>
      <c r="N482" s="10"/>
    </row>
    <row r="483" spans="1:14" x14ac:dyDescent="0.3">
      <c r="A483" s="4" t="s">
        <v>19</v>
      </c>
      <c r="B483" s="4" t="s">
        <v>22</v>
      </c>
      <c r="C483" s="58">
        <v>7</v>
      </c>
      <c r="D483" s="117">
        <v>7.3</v>
      </c>
      <c r="E483" s="51">
        <v>7</v>
      </c>
      <c r="F483" s="4" t="s">
        <v>83</v>
      </c>
      <c r="G483" s="4" t="s">
        <v>132</v>
      </c>
      <c r="H483" s="48">
        <f>IF(G483&gt;0,VLOOKUP(G483,Apoio!$A$2:$B$25,2,0),"")</f>
        <v>7</v>
      </c>
      <c r="I483" s="44">
        <f t="shared" si="70"/>
        <v>46.986301369863014</v>
      </c>
      <c r="J483" s="98"/>
      <c r="K483" s="103"/>
      <c r="L483" s="103"/>
      <c r="M483" s="103"/>
      <c r="N483" s="10"/>
    </row>
    <row r="484" spans="1:14" x14ac:dyDescent="0.3">
      <c r="A484" s="4" t="s">
        <v>19</v>
      </c>
      <c r="B484" s="4" t="s">
        <v>22</v>
      </c>
      <c r="C484" s="58">
        <v>7</v>
      </c>
      <c r="D484" s="117">
        <v>7.3</v>
      </c>
      <c r="E484" s="51">
        <v>7</v>
      </c>
      <c r="F484" s="4" t="s">
        <v>83</v>
      </c>
      <c r="G484" s="4" t="s">
        <v>135</v>
      </c>
      <c r="H484" s="48">
        <f>IF(G484&gt;0,VLOOKUP(G484,Apoio!$A$2:$B$25,2,0),"")</f>
        <v>3</v>
      </c>
      <c r="I484" s="44">
        <f t="shared" si="70"/>
        <v>20.136986301369863</v>
      </c>
      <c r="J484" s="98"/>
      <c r="K484" s="103"/>
      <c r="L484" s="103"/>
      <c r="M484" s="103"/>
      <c r="N484" s="10"/>
    </row>
    <row r="485" spans="1:14" x14ac:dyDescent="0.3">
      <c r="A485" s="4" t="s">
        <v>19</v>
      </c>
      <c r="B485" s="4" t="s">
        <v>292</v>
      </c>
      <c r="C485" s="108">
        <v>7</v>
      </c>
      <c r="D485" s="117">
        <v>7.3</v>
      </c>
      <c r="E485" s="51">
        <v>7</v>
      </c>
      <c r="F485" s="4" t="s">
        <v>90</v>
      </c>
      <c r="G485" s="4" t="s">
        <v>138</v>
      </c>
      <c r="H485" s="48">
        <f>IF(G485&gt;0,VLOOKUP(G485,Apoio!$A$2:$B$25,2,0),"")</f>
        <v>8</v>
      </c>
      <c r="I485" s="44">
        <f t="shared" si="70"/>
        <v>53.698630136986303</v>
      </c>
      <c r="J485" s="98">
        <v>8</v>
      </c>
      <c r="K485" s="406">
        <f t="shared" ref="K485:K490" si="71">I485-J485</f>
        <v>45.698630136986303</v>
      </c>
      <c r="L485" s="103"/>
      <c r="M485" s="103"/>
      <c r="N485" s="10"/>
    </row>
    <row r="486" spans="1:14" x14ac:dyDescent="0.3">
      <c r="A486" s="4" t="s">
        <v>19</v>
      </c>
      <c r="B486" s="4" t="s">
        <v>292</v>
      </c>
      <c r="C486" s="108">
        <v>7</v>
      </c>
      <c r="D486" s="117">
        <v>7.3</v>
      </c>
      <c r="E486" s="51">
        <v>7</v>
      </c>
      <c r="F486" s="4" t="s">
        <v>90</v>
      </c>
      <c r="G486" s="4" t="s">
        <v>141</v>
      </c>
      <c r="H486" s="48">
        <f>IF(G486&gt;0,VLOOKUP(G486,Apoio!$A$2:$B$25,2,0),"")</f>
        <v>7</v>
      </c>
      <c r="I486" s="44">
        <f t="shared" si="70"/>
        <v>46.986301369863014</v>
      </c>
      <c r="J486" s="98">
        <v>8</v>
      </c>
      <c r="K486" s="406">
        <f t="shared" si="71"/>
        <v>38.986301369863014</v>
      </c>
      <c r="L486" s="103"/>
      <c r="M486" s="103"/>
      <c r="N486" s="10"/>
    </row>
    <row r="487" spans="1:14" x14ac:dyDescent="0.3">
      <c r="A487" s="4" t="s">
        <v>19</v>
      </c>
      <c r="B487" s="4" t="s">
        <v>292</v>
      </c>
      <c r="C487" s="108">
        <v>7</v>
      </c>
      <c r="D487" s="117">
        <v>7.3</v>
      </c>
      <c r="E487" s="51">
        <v>7</v>
      </c>
      <c r="F487" s="4" t="s">
        <v>90</v>
      </c>
      <c r="G487" s="4" t="s">
        <v>144</v>
      </c>
      <c r="H487" s="48">
        <f>IF(G487&gt;0,VLOOKUP(G487,Apoio!$A$2:$B$25,2,0),"")</f>
        <v>7</v>
      </c>
      <c r="I487" s="44">
        <f t="shared" si="70"/>
        <v>46.986301369863014</v>
      </c>
      <c r="J487" s="98">
        <v>8</v>
      </c>
      <c r="K487" s="406">
        <f t="shared" si="71"/>
        <v>38.986301369863014</v>
      </c>
      <c r="L487" s="103"/>
      <c r="M487" s="103"/>
      <c r="N487" s="10"/>
    </row>
    <row r="488" spans="1:14" x14ac:dyDescent="0.3">
      <c r="A488" s="4" t="s">
        <v>19</v>
      </c>
      <c r="B488" s="4" t="s">
        <v>292</v>
      </c>
      <c r="C488" s="108">
        <v>7</v>
      </c>
      <c r="D488" s="117">
        <v>7.3</v>
      </c>
      <c r="E488" s="51">
        <v>7</v>
      </c>
      <c r="F488" s="4" t="s">
        <v>90</v>
      </c>
      <c r="G488" s="4" t="s">
        <v>147</v>
      </c>
      <c r="H488" s="48">
        <f>IF(G488&gt;0,VLOOKUP(G488,Apoio!$A$2:$B$25,2,0),"")</f>
        <v>7</v>
      </c>
      <c r="I488" s="44">
        <f t="shared" si="70"/>
        <v>46.986301369863014</v>
      </c>
      <c r="J488" s="98">
        <v>8</v>
      </c>
      <c r="K488" s="406">
        <f t="shared" si="71"/>
        <v>38.986301369863014</v>
      </c>
      <c r="L488" s="103"/>
      <c r="M488" s="103"/>
      <c r="N488" s="10"/>
    </row>
    <row r="489" spans="1:14" x14ac:dyDescent="0.3">
      <c r="A489" s="4" t="s">
        <v>19</v>
      </c>
      <c r="B489" s="4" t="s">
        <v>292</v>
      </c>
      <c r="C489" s="108">
        <v>7</v>
      </c>
      <c r="D489" s="117">
        <v>7.3</v>
      </c>
      <c r="E489" s="51">
        <v>7</v>
      </c>
      <c r="F489" s="4" t="s">
        <v>90</v>
      </c>
      <c r="G489" s="4" t="s">
        <v>150</v>
      </c>
      <c r="H489" s="48">
        <f>IF(G489&gt;0,VLOOKUP(G489,Apoio!$A$2:$B$25,2,0),"")</f>
        <v>8</v>
      </c>
      <c r="I489" s="44">
        <f t="shared" si="70"/>
        <v>53.698630136986303</v>
      </c>
      <c r="J489" s="98">
        <v>8</v>
      </c>
      <c r="K489" s="406">
        <f t="shared" si="71"/>
        <v>45.698630136986303</v>
      </c>
      <c r="L489" s="103"/>
      <c r="M489" s="103"/>
      <c r="N489" s="10"/>
    </row>
    <row r="490" spans="1:14" x14ac:dyDescent="0.3">
      <c r="A490" s="4" t="s">
        <v>19</v>
      </c>
      <c r="B490" s="4" t="s">
        <v>292</v>
      </c>
      <c r="C490" s="108">
        <v>7</v>
      </c>
      <c r="D490" s="117">
        <v>7.3</v>
      </c>
      <c r="E490" s="51">
        <v>7</v>
      </c>
      <c r="F490" s="4" t="s">
        <v>90</v>
      </c>
      <c r="G490" s="4" t="s">
        <v>153</v>
      </c>
      <c r="H490" s="48">
        <f>IF(G490&gt;0,VLOOKUP(G490,Apoio!$A$2:$B$25,2,0),"")</f>
        <v>8</v>
      </c>
      <c r="I490" s="44">
        <f t="shared" ref="I490" si="72">IF(D490&gt;0,(((H490*E490)*C490)/D490),"")</f>
        <v>53.698630136986303</v>
      </c>
      <c r="J490" s="98">
        <v>8</v>
      </c>
      <c r="K490" s="406">
        <f t="shared" si="71"/>
        <v>45.698630136986303</v>
      </c>
      <c r="L490" s="103"/>
      <c r="M490" s="103"/>
      <c r="N490" s="10"/>
    </row>
    <row r="491" spans="1:14" x14ac:dyDescent="0.3">
      <c r="A491" s="4" t="s">
        <v>19</v>
      </c>
      <c r="B491" s="4" t="s">
        <v>23</v>
      </c>
      <c r="C491" s="58">
        <v>7</v>
      </c>
      <c r="D491" s="51">
        <v>7.2</v>
      </c>
      <c r="E491" s="51">
        <v>7</v>
      </c>
      <c r="F491" s="4" t="s">
        <v>69</v>
      </c>
      <c r="G491" s="4" t="s">
        <v>68</v>
      </c>
      <c r="H491" s="48">
        <f>IF(G491&gt;0,VLOOKUP(G491,Apoio!$A$2:$B$25,2,0),"")</f>
        <v>7</v>
      </c>
      <c r="I491" s="44">
        <f t="shared" si="70"/>
        <v>47.638888888888886</v>
      </c>
      <c r="J491" s="98"/>
      <c r="K491" s="103"/>
      <c r="L491" s="103"/>
      <c r="M491" s="103"/>
      <c r="N491" s="10"/>
    </row>
    <row r="492" spans="1:14" x14ac:dyDescent="0.3">
      <c r="A492" s="4" t="s">
        <v>19</v>
      </c>
      <c r="B492" s="4" t="s">
        <v>23</v>
      </c>
      <c r="C492" s="58">
        <v>7</v>
      </c>
      <c r="D492" s="51">
        <v>7.2</v>
      </c>
      <c r="E492" s="51">
        <v>7</v>
      </c>
      <c r="F492" s="4" t="s">
        <v>69</v>
      </c>
      <c r="G492" s="4" t="s">
        <v>75</v>
      </c>
      <c r="H492" s="48">
        <f>IF(G492&gt;0,VLOOKUP(G492,Apoio!$A$2:$B$25,2,0),"")</f>
        <v>8</v>
      </c>
      <c r="I492" s="44">
        <f t="shared" si="70"/>
        <v>54.444444444444443</v>
      </c>
      <c r="J492" s="98"/>
      <c r="K492" s="103"/>
      <c r="L492" s="103"/>
      <c r="M492" s="103"/>
      <c r="N492" s="10"/>
    </row>
    <row r="493" spans="1:14" x14ac:dyDescent="0.3">
      <c r="A493" s="4" t="s">
        <v>19</v>
      </c>
      <c r="B493" s="4" t="s">
        <v>23</v>
      </c>
      <c r="C493" s="58">
        <v>7</v>
      </c>
      <c r="D493" s="51">
        <v>7.2</v>
      </c>
      <c r="E493" s="51">
        <v>7</v>
      </c>
      <c r="F493" s="4" t="s">
        <v>69</v>
      </c>
      <c r="G493" s="4" t="s">
        <v>82</v>
      </c>
      <c r="H493" s="48">
        <f>IF(G493&gt;0,VLOOKUP(G493,Apoio!$A$2:$B$25,2,0),"")</f>
        <v>6</v>
      </c>
      <c r="I493" s="44">
        <f t="shared" si="70"/>
        <v>40.833333333333336</v>
      </c>
      <c r="J493" s="98"/>
      <c r="K493" s="103"/>
      <c r="L493" s="103"/>
      <c r="M493" s="103"/>
      <c r="N493" s="10"/>
    </row>
    <row r="494" spans="1:14" x14ac:dyDescent="0.3">
      <c r="A494" s="4" t="s">
        <v>19</v>
      </c>
      <c r="B494" s="4" t="s">
        <v>23</v>
      </c>
      <c r="C494" s="58">
        <v>7</v>
      </c>
      <c r="D494" s="51">
        <v>7.2</v>
      </c>
      <c r="E494" s="51">
        <v>7</v>
      </c>
      <c r="F494" s="4" t="s">
        <v>69</v>
      </c>
      <c r="G494" s="4" t="s">
        <v>89</v>
      </c>
      <c r="H494" s="48">
        <f>IF(G494&gt;0,VLOOKUP(G494,Apoio!$A$2:$B$25,2,0),"")</f>
        <v>8</v>
      </c>
      <c r="I494" s="44">
        <f t="shared" si="70"/>
        <v>54.444444444444443</v>
      </c>
      <c r="J494" s="98"/>
      <c r="K494" s="103"/>
      <c r="L494" s="103"/>
      <c r="M494" s="103"/>
      <c r="N494" s="10"/>
    </row>
    <row r="495" spans="1:14" x14ac:dyDescent="0.3">
      <c r="A495" s="4" t="s">
        <v>19</v>
      </c>
      <c r="B495" s="4" t="s">
        <v>23</v>
      </c>
      <c r="C495" s="58">
        <v>7</v>
      </c>
      <c r="D495" s="51">
        <v>7.2</v>
      </c>
      <c r="E495" s="51">
        <v>7</v>
      </c>
      <c r="F495" s="4" t="s">
        <v>69</v>
      </c>
      <c r="G495" s="4" t="s">
        <v>96</v>
      </c>
      <c r="H495" s="48">
        <f>IF(G495&gt;0,VLOOKUP(G495,Apoio!$A$2:$B$25,2,0),"")</f>
        <v>8</v>
      </c>
      <c r="I495" s="44">
        <f t="shared" si="70"/>
        <v>54.444444444444443</v>
      </c>
      <c r="J495" s="98"/>
      <c r="K495" s="103"/>
      <c r="L495" s="103"/>
      <c r="M495" s="103"/>
      <c r="N495" s="10"/>
    </row>
    <row r="496" spans="1:14" x14ac:dyDescent="0.3">
      <c r="A496" s="4" t="s">
        <v>19</v>
      </c>
      <c r="B496" s="4" t="s">
        <v>23</v>
      </c>
      <c r="C496" s="58">
        <v>7</v>
      </c>
      <c r="D496" s="51">
        <v>7.2</v>
      </c>
      <c r="E496" s="51">
        <v>7</v>
      </c>
      <c r="F496" s="4" t="s">
        <v>69</v>
      </c>
      <c r="G496" s="4" t="s">
        <v>99</v>
      </c>
      <c r="H496" s="48">
        <f>IF(G496&gt;0,VLOOKUP(G496,Apoio!$A$2:$B$25,2,0),"")</f>
        <v>2</v>
      </c>
      <c r="I496" s="44">
        <f t="shared" si="70"/>
        <v>13.611111111111111</v>
      </c>
      <c r="J496" s="98"/>
      <c r="K496" s="103"/>
      <c r="L496" s="103"/>
      <c r="M496" s="103"/>
      <c r="N496" s="10"/>
    </row>
    <row r="497" spans="1:14" x14ac:dyDescent="0.3">
      <c r="A497" s="4" t="s">
        <v>19</v>
      </c>
      <c r="B497" s="4" t="s">
        <v>23</v>
      </c>
      <c r="C497" s="58">
        <v>7</v>
      </c>
      <c r="D497" s="51">
        <v>7.2</v>
      </c>
      <c r="E497" s="51">
        <v>7</v>
      </c>
      <c r="F497" s="4" t="s">
        <v>76</v>
      </c>
      <c r="G497" s="4" t="s">
        <v>102</v>
      </c>
      <c r="H497" s="48">
        <f>IF(G497&gt;0,VLOOKUP(G497,Apoio!$A$2:$B$25,2,0),"")</f>
        <v>5</v>
      </c>
      <c r="I497" s="44">
        <f t="shared" si="70"/>
        <v>34.027777777777779</v>
      </c>
      <c r="J497" s="98"/>
      <c r="K497" s="103"/>
      <c r="L497" s="103"/>
      <c r="M497" s="103"/>
      <c r="N497" s="10"/>
    </row>
    <row r="498" spans="1:14" x14ac:dyDescent="0.3">
      <c r="A498" s="4" t="s">
        <v>19</v>
      </c>
      <c r="B498" s="4" t="s">
        <v>23</v>
      </c>
      <c r="C498" s="58">
        <v>7</v>
      </c>
      <c r="D498" s="51">
        <v>7.2</v>
      </c>
      <c r="E498" s="51">
        <v>7</v>
      </c>
      <c r="F498" s="4" t="s">
        <v>76</v>
      </c>
      <c r="G498" s="4" t="s">
        <v>105</v>
      </c>
      <c r="H498" s="48">
        <f>IF(G498&gt;0,VLOOKUP(G498,Apoio!$A$2:$B$25,2,0),"")</f>
        <v>7</v>
      </c>
      <c r="I498" s="44">
        <f t="shared" si="70"/>
        <v>47.638888888888886</v>
      </c>
      <c r="J498" s="98"/>
      <c r="K498" s="103"/>
      <c r="L498" s="103"/>
      <c r="M498" s="103"/>
      <c r="N498" s="10"/>
    </row>
    <row r="499" spans="1:14" x14ac:dyDescent="0.3">
      <c r="A499" s="4" t="s">
        <v>19</v>
      </c>
      <c r="B499" s="4" t="s">
        <v>23</v>
      </c>
      <c r="C499" s="58">
        <v>7</v>
      </c>
      <c r="D499" s="51">
        <v>7.2</v>
      </c>
      <c r="E499" s="51">
        <v>7</v>
      </c>
      <c r="F499" s="4" t="s">
        <v>76</v>
      </c>
      <c r="G499" s="4" t="s">
        <v>108</v>
      </c>
      <c r="H499" s="48">
        <f>IF(G499&gt;0,VLOOKUP(G499,Apoio!$A$2:$B$25,2,0),"")</f>
        <v>8</v>
      </c>
      <c r="I499" s="44">
        <f t="shared" si="70"/>
        <v>54.444444444444443</v>
      </c>
      <c r="J499" s="98"/>
      <c r="K499" s="103"/>
      <c r="L499" s="103"/>
      <c r="M499" s="103"/>
      <c r="N499" s="10"/>
    </row>
    <row r="500" spans="1:14" x14ac:dyDescent="0.3">
      <c r="A500" s="4" t="s">
        <v>19</v>
      </c>
      <c r="B500" s="4" t="s">
        <v>23</v>
      </c>
      <c r="C500" s="58">
        <v>7</v>
      </c>
      <c r="D500" s="51">
        <v>7.2</v>
      </c>
      <c r="E500" s="51">
        <v>7</v>
      </c>
      <c r="F500" s="4" t="s">
        <v>76</v>
      </c>
      <c r="G500" s="4" t="s">
        <v>111</v>
      </c>
      <c r="H500" s="48">
        <f>IF(G500&gt;0,VLOOKUP(G500,Apoio!$A$2:$B$25,2,0),"")</f>
        <v>7</v>
      </c>
      <c r="I500" s="44">
        <f t="shared" si="70"/>
        <v>47.638888888888886</v>
      </c>
      <c r="J500" s="98"/>
      <c r="K500" s="103"/>
      <c r="L500" s="103"/>
      <c r="M500" s="103"/>
      <c r="N500" s="10"/>
    </row>
    <row r="501" spans="1:14" x14ac:dyDescent="0.3">
      <c r="A501" s="4" t="s">
        <v>19</v>
      </c>
      <c r="B501" s="4" t="s">
        <v>23</v>
      </c>
      <c r="C501" s="58">
        <v>7</v>
      </c>
      <c r="D501" s="51">
        <v>7.2</v>
      </c>
      <c r="E501" s="51">
        <v>7</v>
      </c>
      <c r="F501" s="4" t="s">
        <v>76</v>
      </c>
      <c r="G501" s="4" t="s">
        <v>114</v>
      </c>
      <c r="H501" s="48">
        <f>IF(G501&gt;0,VLOOKUP(G501,Apoio!$A$2:$B$25,2,0),"")</f>
        <v>8</v>
      </c>
      <c r="I501" s="44">
        <f t="shared" si="70"/>
        <v>54.444444444444443</v>
      </c>
      <c r="J501" s="98"/>
      <c r="K501" s="103"/>
      <c r="L501" s="103"/>
      <c r="M501" s="103"/>
      <c r="N501" s="10"/>
    </row>
    <row r="502" spans="1:14" x14ac:dyDescent="0.3">
      <c r="A502" s="4" t="s">
        <v>19</v>
      </c>
      <c r="B502" s="4" t="s">
        <v>23</v>
      </c>
      <c r="C502" s="58">
        <v>7</v>
      </c>
      <c r="D502" s="51">
        <v>7.2</v>
      </c>
      <c r="E502" s="51">
        <v>7</v>
      </c>
      <c r="F502" s="4" t="s">
        <v>76</v>
      </c>
      <c r="G502" s="4" t="s">
        <v>117</v>
      </c>
      <c r="H502" s="48">
        <f>IF(G502&gt;0,VLOOKUP(G502,Apoio!$A$2:$B$25,2,0),"")</f>
        <v>3</v>
      </c>
      <c r="I502" s="44">
        <f t="shared" si="70"/>
        <v>20.416666666666668</v>
      </c>
      <c r="J502" s="98"/>
      <c r="K502" s="103"/>
      <c r="L502" s="103"/>
      <c r="M502" s="103"/>
      <c r="N502" s="10"/>
    </row>
    <row r="503" spans="1:14" x14ac:dyDescent="0.3">
      <c r="A503" s="4" t="s">
        <v>19</v>
      </c>
      <c r="B503" s="4" t="s">
        <v>23</v>
      </c>
      <c r="C503" s="58">
        <v>7</v>
      </c>
      <c r="D503" s="51">
        <v>7.2</v>
      </c>
      <c r="E503" s="51">
        <v>7</v>
      </c>
      <c r="F503" s="4" t="s">
        <v>83</v>
      </c>
      <c r="G503" s="4" t="s">
        <v>120</v>
      </c>
      <c r="H503" s="48">
        <f>IF(G503&gt;0,VLOOKUP(G503,Apoio!$A$2:$B$25,2,0),"")</f>
        <v>7</v>
      </c>
      <c r="I503" s="44">
        <f t="shared" si="70"/>
        <v>47.638888888888886</v>
      </c>
      <c r="J503" s="98"/>
      <c r="K503" s="103"/>
      <c r="L503" s="103"/>
      <c r="M503" s="103"/>
      <c r="N503" s="10"/>
    </row>
    <row r="504" spans="1:14" x14ac:dyDescent="0.3">
      <c r="A504" s="4" t="s">
        <v>19</v>
      </c>
      <c r="B504" s="4" t="s">
        <v>23</v>
      </c>
      <c r="C504" s="58">
        <v>7</v>
      </c>
      <c r="D504" s="51">
        <v>7.2</v>
      </c>
      <c r="E504" s="51">
        <v>7</v>
      </c>
      <c r="F504" s="4" t="s">
        <v>83</v>
      </c>
      <c r="G504" s="4" t="s">
        <v>123</v>
      </c>
      <c r="H504" s="48">
        <f>IF(G504&gt;0,VLOOKUP(G504,Apoio!$A$2:$B$25,2,0),"")</f>
        <v>8</v>
      </c>
      <c r="I504" s="44">
        <f t="shared" si="70"/>
        <v>54.444444444444443</v>
      </c>
      <c r="J504" s="98"/>
      <c r="K504" s="103"/>
      <c r="L504" s="103"/>
      <c r="M504" s="103"/>
      <c r="N504" s="10"/>
    </row>
    <row r="505" spans="1:14" x14ac:dyDescent="0.3">
      <c r="A505" s="67" t="s">
        <v>19</v>
      </c>
      <c r="B505" s="4" t="s">
        <v>23</v>
      </c>
      <c r="C505" s="58">
        <v>7</v>
      </c>
      <c r="D505" s="51">
        <v>7.2</v>
      </c>
      <c r="E505" s="51">
        <v>7</v>
      </c>
      <c r="F505" s="4" t="s">
        <v>83</v>
      </c>
      <c r="G505" s="4" t="s">
        <v>126</v>
      </c>
      <c r="H505" s="48">
        <f>IF(G505&gt;0,VLOOKUP(G505,Apoio!$A$2:$B$25,2,0),"")</f>
        <v>8</v>
      </c>
      <c r="I505" s="44">
        <f t="shared" si="70"/>
        <v>54.444444444444443</v>
      </c>
      <c r="J505" s="98"/>
      <c r="K505" s="103"/>
      <c r="L505" s="103"/>
      <c r="M505" s="103"/>
      <c r="N505" s="10"/>
    </row>
    <row r="506" spans="1:14" x14ac:dyDescent="0.3">
      <c r="A506" s="67" t="s">
        <v>19</v>
      </c>
      <c r="B506" s="4" t="s">
        <v>23</v>
      </c>
      <c r="C506" s="58">
        <v>7</v>
      </c>
      <c r="D506" s="51">
        <v>7.2</v>
      </c>
      <c r="E506" s="51">
        <v>7</v>
      </c>
      <c r="F506" s="4" t="s">
        <v>83</v>
      </c>
      <c r="G506" s="4" t="s">
        <v>129</v>
      </c>
      <c r="H506" s="48">
        <f>IF(G506&gt;0,VLOOKUP(G506,Apoio!$A$2:$B$25,2,0),"")</f>
        <v>8</v>
      </c>
      <c r="I506" s="44">
        <f t="shared" si="70"/>
        <v>54.444444444444443</v>
      </c>
      <c r="J506" s="98"/>
      <c r="K506" s="103"/>
      <c r="L506" s="103"/>
      <c r="M506" s="103"/>
      <c r="N506" s="10"/>
    </row>
    <row r="507" spans="1:14" x14ac:dyDescent="0.3">
      <c r="A507" s="67" t="s">
        <v>19</v>
      </c>
      <c r="B507" s="4" t="s">
        <v>23</v>
      </c>
      <c r="C507" s="58">
        <v>7</v>
      </c>
      <c r="D507" s="51">
        <v>7.2</v>
      </c>
      <c r="E507" s="51">
        <v>7</v>
      </c>
      <c r="F507" s="4" t="s">
        <v>83</v>
      </c>
      <c r="G507" s="4" t="s">
        <v>132</v>
      </c>
      <c r="H507" s="48">
        <f>IF(G507&gt;0,VLOOKUP(G507,Apoio!$A$2:$B$25,2,0),"")</f>
        <v>7</v>
      </c>
      <c r="I507" s="44">
        <f t="shared" si="70"/>
        <v>47.638888888888886</v>
      </c>
      <c r="J507" s="98"/>
      <c r="K507" s="103"/>
      <c r="L507" s="103"/>
      <c r="M507" s="103"/>
      <c r="N507" s="10"/>
    </row>
    <row r="508" spans="1:14" x14ac:dyDescent="0.3">
      <c r="A508" s="67" t="s">
        <v>19</v>
      </c>
      <c r="B508" s="4" t="s">
        <v>23</v>
      </c>
      <c r="C508" s="58">
        <v>7</v>
      </c>
      <c r="D508" s="51">
        <v>7.2</v>
      </c>
      <c r="E508" s="51">
        <v>7</v>
      </c>
      <c r="F508" s="4" t="s">
        <v>83</v>
      </c>
      <c r="G508" s="4" t="s">
        <v>135</v>
      </c>
      <c r="H508" s="48">
        <f>IF(G508&gt;0,VLOOKUP(G508,Apoio!$A$2:$B$25,2,0),"")</f>
        <v>3</v>
      </c>
      <c r="I508" s="44">
        <f t="shared" si="70"/>
        <v>20.416666666666668</v>
      </c>
      <c r="J508" s="98"/>
      <c r="K508" s="103"/>
      <c r="L508" s="103"/>
      <c r="M508" s="103"/>
      <c r="N508" s="10"/>
    </row>
    <row r="509" spans="1:14" x14ac:dyDescent="0.3">
      <c r="A509" s="67" t="s">
        <v>19</v>
      </c>
      <c r="B509" s="4" t="s">
        <v>294</v>
      </c>
      <c r="C509" s="108">
        <v>7</v>
      </c>
      <c r="D509" s="51">
        <v>7.2</v>
      </c>
      <c r="E509" s="51">
        <v>7</v>
      </c>
      <c r="F509" s="4" t="s">
        <v>90</v>
      </c>
      <c r="G509" s="4" t="s">
        <v>138</v>
      </c>
      <c r="H509" s="48">
        <f>IF(G509&gt;0,VLOOKUP(G509,Apoio!$A$2:$B$25,2,0),"")</f>
        <v>8</v>
      </c>
      <c r="I509" s="44">
        <f t="shared" si="70"/>
        <v>54.444444444444443</v>
      </c>
      <c r="J509" s="98">
        <v>8</v>
      </c>
      <c r="K509" s="406">
        <f t="shared" ref="K509:K514" si="73">I509-J509</f>
        <v>46.444444444444443</v>
      </c>
      <c r="L509" s="103"/>
      <c r="M509" s="103"/>
      <c r="N509" s="10"/>
    </row>
    <row r="510" spans="1:14" x14ac:dyDescent="0.3">
      <c r="A510" s="67" t="s">
        <v>19</v>
      </c>
      <c r="B510" s="4" t="s">
        <v>294</v>
      </c>
      <c r="C510" s="108">
        <v>7</v>
      </c>
      <c r="D510" s="51">
        <v>7.2</v>
      </c>
      <c r="E510" s="51">
        <v>7</v>
      </c>
      <c r="F510" s="4" t="s">
        <v>90</v>
      </c>
      <c r="G510" s="4" t="s">
        <v>141</v>
      </c>
      <c r="H510" s="48">
        <f>IF(G510&gt;0,VLOOKUP(G510,Apoio!$A$2:$B$25,2,0),"")</f>
        <v>7</v>
      </c>
      <c r="I510" s="44">
        <f t="shared" si="70"/>
        <v>47.638888888888886</v>
      </c>
      <c r="J510" s="98">
        <v>8</v>
      </c>
      <c r="K510" s="406">
        <f t="shared" si="73"/>
        <v>39.638888888888886</v>
      </c>
      <c r="L510" s="103"/>
      <c r="M510" s="103"/>
      <c r="N510" s="10"/>
    </row>
    <row r="511" spans="1:14" x14ac:dyDescent="0.3">
      <c r="A511" s="67" t="s">
        <v>19</v>
      </c>
      <c r="B511" s="4" t="s">
        <v>294</v>
      </c>
      <c r="C511" s="108">
        <v>7</v>
      </c>
      <c r="D511" s="51">
        <v>7.2</v>
      </c>
      <c r="E511" s="51">
        <v>7</v>
      </c>
      <c r="F511" s="4" t="s">
        <v>90</v>
      </c>
      <c r="G511" s="4" t="s">
        <v>144</v>
      </c>
      <c r="H511" s="48">
        <f>IF(G511&gt;0,VLOOKUP(G511,Apoio!$A$2:$B$25,2,0),"")</f>
        <v>7</v>
      </c>
      <c r="I511" s="44">
        <f t="shared" si="70"/>
        <v>47.638888888888886</v>
      </c>
      <c r="J511" s="98">
        <v>8</v>
      </c>
      <c r="K511" s="406">
        <f t="shared" si="73"/>
        <v>39.638888888888886</v>
      </c>
      <c r="L511" s="103"/>
      <c r="M511" s="103"/>
      <c r="N511" s="10"/>
    </row>
    <row r="512" spans="1:14" x14ac:dyDescent="0.3">
      <c r="A512" s="67" t="s">
        <v>19</v>
      </c>
      <c r="B512" s="4" t="s">
        <v>294</v>
      </c>
      <c r="C512" s="108">
        <v>7</v>
      </c>
      <c r="D512" s="51">
        <v>7.2</v>
      </c>
      <c r="E512" s="51">
        <v>7</v>
      </c>
      <c r="F512" s="4" t="s">
        <v>90</v>
      </c>
      <c r="G512" s="4" t="s">
        <v>147</v>
      </c>
      <c r="H512" s="48">
        <f>IF(G512&gt;0,VLOOKUP(G512,Apoio!$A$2:$B$25,2,0),"")</f>
        <v>7</v>
      </c>
      <c r="I512" s="44">
        <f t="shared" si="70"/>
        <v>47.638888888888886</v>
      </c>
      <c r="J512" s="98">
        <v>8</v>
      </c>
      <c r="K512" s="406">
        <f t="shared" si="73"/>
        <v>39.638888888888886</v>
      </c>
      <c r="L512" s="103"/>
      <c r="M512" s="103"/>
      <c r="N512" s="10"/>
    </row>
    <row r="513" spans="1:14" x14ac:dyDescent="0.3">
      <c r="A513" s="67" t="s">
        <v>19</v>
      </c>
      <c r="B513" s="4" t="s">
        <v>294</v>
      </c>
      <c r="C513" s="108">
        <v>7</v>
      </c>
      <c r="D513" s="51">
        <v>7.2</v>
      </c>
      <c r="E513" s="51">
        <v>7</v>
      </c>
      <c r="F513" s="4" t="s">
        <v>90</v>
      </c>
      <c r="G513" s="4" t="s">
        <v>150</v>
      </c>
      <c r="H513" s="48">
        <f>IF(G513&gt;0,VLOOKUP(G513,Apoio!$A$2:$B$25,2,0),"")</f>
        <v>8</v>
      </c>
      <c r="I513" s="44">
        <f t="shared" si="70"/>
        <v>54.444444444444443</v>
      </c>
      <c r="J513" s="98">
        <v>8</v>
      </c>
      <c r="K513" s="406">
        <f t="shared" si="73"/>
        <v>46.444444444444443</v>
      </c>
      <c r="L513" s="103"/>
      <c r="M513" s="103"/>
      <c r="N513" s="10"/>
    </row>
    <row r="514" spans="1:14" x14ac:dyDescent="0.3">
      <c r="A514" s="67" t="s">
        <v>19</v>
      </c>
      <c r="B514" s="4" t="s">
        <v>294</v>
      </c>
      <c r="C514" s="108">
        <v>7</v>
      </c>
      <c r="D514" s="51">
        <v>7.2</v>
      </c>
      <c r="E514" s="51">
        <v>7</v>
      </c>
      <c r="F514" s="4" t="s">
        <v>90</v>
      </c>
      <c r="G514" s="4" t="s">
        <v>153</v>
      </c>
      <c r="H514" s="48">
        <f>IF(G514&gt;0,VLOOKUP(G514,Apoio!$A$2:$B$25,2,0),"")</f>
        <v>8</v>
      </c>
      <c r="I514" s="44">
        <f t="shared" ref="I514" si="74">IF(D514&gt;0,(((H514*E514)*C514)/D514),"")</f>
        <v>54.444444444444443</v>
      </c>
      <c r="J514" s="98">
        <v>8</v>
      </c>
      <c r="K514" s="406">
        <f t="shared" si="73"/>
        <v>46.444444444444443</v>
      </c>
      <c r="L514" s="103"/>
      <c r="M514" s="103"/>
      <c r="N514" s="10"/>
    </row>
    <row r="515" spans="1:14" x14ac:dyDescent="0.3">
      <c r="A515" s="67" t="s">
        <v>19</v>
      </c>
      <c r="B515" s="57" t="s">
        <v>24</v>
      </c>
      <c r="C515" s="57">
        <v>2</v>
      </c>
      <c r="D515" s="117">
        <v>6.5</v>
      </c>
      <c r="E515" s="51">
        <v>7</v>
      </c>
      <c r="F515" s="4" t="s">
        <v>69</v>
      </c>
      <c r="G515" s="4" t="s">
        <v>68</v>
      </c>
      <c r="H515" s="48">
        <f>IF(G515&gt;0,VLOOKUP(G515,Apoio!$A$2:$B$25,2,0),"")</f>
        <v>7</v>
      </c>
      <c r="I515" s="44">
        <f t="shared" si="70"/>
        <v>15.076923076923077</v>
      </c>
      <c r="J515" s="98"/>
      <c r="K515" s="103"/>
      <c r="L515" s="103"/>
      <c r="M515" s="103"/>
      <c r="N515" s="10"/>
    </row>
    <row r="516" spans="1:14" x14ac:dyDescent="0.3">
      <c r="A516" s="67" t="s">
        <v>19</v>
      </c>
      <c r="B516" s="57" t="s">
        <v>24</v>
      </c>
      <c r="C516" s="57">
        <v>2</v>
      </c>
      <c r="D516" s="117">
        <v>6.5</v>
      </c>
      <c r="E516" s="51">
        <v>7</v>
      </c>
      <c r="F516" s="4" t="s">
        <v>69</v>
      </c>
      <c r="G516" s="4" t="s">
        <v>75</v>
      </c>
      <c r="H516" s="48">
        <f>IF(G516&gt;0,VLOOKUP(G516,Apoio!$A$2:$B$25,2,0),"")</f>
        <v>8</v>
      </c>
      <c r="I516" s="44">
        <f t="shared" si="70"/>
        <v>17.23076923076923</v>
      </c>
      <c r="J516" s="98"/>
      <c r="K516" s="103"/>
      <c r="L516" s="103"/>
      <c r="M516" s="103"/>
      <c r="N516" s="10"/>
    </row>
    <row r="517" spans="1:14" x14ac:dyDescent="0.3">
      <c r="A517" s="67" t="s">
        <v>19</v>
      </c>
      <c r="B517" s="57" t="s">
        <v>24</v>
      </c>
      <c r="C517" s="57">
        <v>2</v>
      </c>
      <c r="D517" s="117">
        <v>6.5</v>
      </c>
      <c r="E517" s="51">
        <v>7</v>
      </c>
      <c r="F517" s="4" t="s">
        <v>69</v>
      </c>
      <c r="G517" s="4" t="s">
        <v>82</v>
      </c>
      <c r="H517" s="48">
        <f>IF(G517&gt;0,VLOOKUP(G517,Apoio!$A$2:$B$25,2,0),"")</f>
        <v>6</v>
      </c>
      <c r="I517" s="44">
        <f t="shared" si="70"/>
        <v>12.923076923076923</v>
      </c>
      <c r="J517" s="98"/>
      <c r="K517" s="103"/>
      <c r="L517" s="103"/>
      <c r="M517" s="103"/>
      <c r="N517" s="10"/>
    </row>
    <row r="518" spans="1:14" x14ac:dyDescent="0.3">
      <c r="A518" s="4" t="s">
        <v>19</v>
      </c>
      <c r="B518" s="57" t="s">
        <v>24</v>
      </c>
      <c r="C518" s="57">
        <v>2</v>
      </c>
      <c r="D518" s="117">
        <v>6.5</v>
      </c>
      <c r="E518" s="51">
        <v>7</v>
      </c>
      <c r="F518" s="4" t="s">
        <v>69</v>
      </c>
      <c r="G518" s="4" t="s">
        <v>89</v>
      </c>
      <c r="H518" s="48">
        <f>IF(G518&gt;0,VLOOKUP(G518,Apoio!$A$2:$B$25,2,0),"")</f>
        <v>8</v>
      </c>
      <c r="I518" s="44">
        <f t="shared" si="70"/>
        <v>17.23076923076923</v>
      </c>
      <c r="J518" s="98"/>
      <c r="K518" s="103"/>
      <c r="L518" s="103"/>
      <c r="M518" s="103"/>
      <c r="N518" s="10"/>
    </row>
    <row r="519" spans="1:14" x14ac:dyDescent="0.3">
      <c r="A519" s="4" t="s">
        <v>19</v>
      </c>
      <c r="B519" s="57" t="s">
        <v>24</v>
      </c>
      <c r="C519" s="57">
        <v>2</v>
      </c>
      <c r="D519" s="117">
        <v>6.5</v>
      </c>
      <c r="E519" s="51">
        <v>7</v>
      </c>
      <c r="F519" s="4" t="s">
        <v>69</v>
      </c>
      <c r="G519" s="4" t="s">
        <v>96</v>
      </c>
      <c r="H519" s="48">
        <f>IF(G519&gt;0,VLOOKUP(G519,Apoio!$A$2:$B$25,2,0),"")</f>
        <v>8</v>
      </c>
      <c r="I519" s="44">
        <f t="shared" si="70"/>
        <v>17.23076923076923</v>
      </c>
      <c r="J519" s="98"/>
      <c r="K519" s="103"/>
      <c r="L519" s="103"/>
      <c r="M519" s="103"/>
      <c r="N519" s="10"/>
    </row>
    <row r="520" spans="1:14" x14ac:dyDescent="0.3">
      <c r="A520" s="4" t="s">
        <v>19</v>
      </c>
      <c r="B520" s="57" t="s">
        <v>24</v>
      </c>
      <c r="C520" s="57">
        <v>2</v>
      </c>
      <c r="D520" s="117">
        <v>6.5</v>
      </c>
      <c r="E520" s="51">
        <v>7</v>
      </c>
      <c r="F520" s="4" t="s">
        <v>69</v>
      </c>
      <c r="G520" s="4" t="s">
        <v>99</v>
      </c>
      <c r="H520" s="48">
        <f>IF(G520&gt;0,VLOOKUP(G520,Apoio!$A$2:$B$25,2,0),"")</f>
        <v>2</v>
      </c>
      <c r="I520" s="44">
        <f t="shared" si="70"/>
        <v>4.3076923076923075</v>
      </c>
      <c r="J520" s="98"/>
      <c r="K520" s="103"/>
      <c r="L520" s="103"/>
      <c r="M520" s="103"/>
      <c r="N520" s="10"/>
    </row>
    <row r="521" spans="1:14" x14ac:dyDescent="0.3">
      <c r="A521" s="67" t="s">
        <v>19</v>
      </c>
      <c r="B521" s="57" t="s">
        <v>24</v>
      </c>
      <c r="C521" s="57">
        <v>2</v>
      </c>
      <c r="D521" s="117">
        <v>6.5</v>
      </c>
      <c r="E521" s="51">
        <v>7</v>
      </c>
      <c r="F521" s="4" t="s">
        <v>76</v>
      </c>
      <c r="G521" s="4" t="s">
        <v>102</v>
      </c>
      <c r="H521" s="48">
        <f>IF(G521&gt;0,VLOOKUP(G521,Apoio!$A$2:$B$25,2,0),"")</f>
        <v>5</v>
      </c>
      <c r="I521" s="44">
        <f t="shared" si="70"/>
        <v>10.76923076923077</v>
      </c>
      <c r="J521" s="98"/>
      <c r="K521" s="103"/>
      <c r="L521" s="103"/>
      <c r="M521" s="103"/>
      <c r="N521" s="10"/>
    </row>
    <row r="522" spans="1:14" x14ac:dyDescent="0.3">
      <c r="A522" s="67" t="s">
        <v>19</v>
      </c>
      <c r="B522" s="57" t="s">
        <v>24</v>
      </c>
      <c r="C522" s="57">
        <v>2</v>
      </c>
      <c r="D522" s="117">
        <v>6.5</v>
      </c>
      <c r="E522" s="51">
        <v>7</v>
      </c>
      <c r="F522" s="4" t="s">
        <v>76</v>
      </c>
      <c r="G522" s="4" t="s">
        <v>105</v>
      </c>
      <c r="H522" s="48">
        <f>IF(G522&gt;0,VLOOKUP(G522,Apoio!$A$2:$B$25,2,0),"")</f>
        <v>7</v>
      </c>
      <c r="I522" s="44">
        <f t="shared" si="70"/>
        <v>15.076923076923077</v>
      </c>
      <c r="J522" s="98"/>
      <c r="K522" s="103"/>
      <c r="L522" s="103"/>
      <c r="M522" s="103"/>
      <c r="N522" s="10"/>
    </row>
    <row r="523" spans="1:14" x14ac:dyDescent="0.3">
      <c r="A523" s="67" t="s">
        <v>19</v>
      </c>
      <c r="B523" s="57" t="s">
        <v>24</v>
      </c>
      <c r="C523" s="57">
        <v>2</v>
      </c>
      <c r="D523" s="117">
        <v>6.5</v>
      </c>
      <c r="E523" s="51">
        <v>7</v>
      </c>
      <c r="F523" s="4" t="s">
        <v>76</v>
      </c>
      <c r="G523" s="4" t="s">
        <v>108</v>
      </c>
      <c r="H523" s="48">
        <f>IF(G523&gt;0,VLOOKUP(G523,Apoio!$A$2:$B$25,2,0),"")</f>
        <v>8</v>
      </c>
      <c r="I523" s="44">
        <f t="shared" si="70"/>
        <v>17.23076923076923</v>
      </c>
      <c r="J523" s="98"/>
      <c r="K523" s="103"/>
      <c r="L523" s="103"/>
      <c r="M523" s="103"/>
      <c r="N523" s="10"/>
    </row>
    <row r="524" spans="1:14" x14ac:dyDescent="0.3">
      <c r="A524" s="67" t="s">
        <v>19</v>
      </c>
      <c r="B524" s="57" t="s">
        <v>24</v>
      </c>
      <c r="C524" s="57">
        <v>2</v>
      </c>
      <c r="D524" s="117">
        <v>6.5</v>
      </c>
      <c r="E524" s="51">
        <v>7</v>
      </c>
      <c r="F524" s="4" t="s">
        <v>76</v>
      </c>
      <c r="G524" s="4" t="s">
        <v>111</v>
      </c>
      <c r="H524" s="48">
        <f>IF(G524&gt;0,VLOOKUP(G524,Apoio!$A$2:$B$25,2,0),"")</f>
        <v>7</v>
      </c>
      <c r="I524" s="44">
        <f t="shared" si="70"/>
        <v>15.076923076923077</v>
      </c>
      <c r="J524" s="98"/>
      <c r="K524" s="103"/>
      <c r="L524" s="103"/>
      <c r="M524" s="103"/>
      <c r="N524" s="10"/>
    </row>
    <row r="525" spans="1:14" x14ac:dyDescent="0.3">
      <c r="A525" s="67" t="s">
        <v>19</v>
      </c>
      <c r="B525" s="57" t="s">
        <v>24</v>
      </c>
      <c r="C525" s="57">
        <v>2</v>
      </c>
      <c r="D525" s="117">
        <v>6.5</v>
      </c>
      <c r="E525" s="51">
        <v>7</v>
      </c>
      <c r="F525" s="4" t="s">
        <v>76</v>
      </c>
      <c r="G525" s="4" t="s">
        <v>114</v>
      </c>
      <c r="H525" s="48">
        <f>IF(G525&gt;0,VLOOKUP(G525,Apoio!$A$2:$B$25,2,0),"")</f>
        <v>8</v>
      </c>
      <c r="I525" s="44">
        <f t="shared" si="70"/>
        <v>17.23076923076923</v>
      </c>
      <c r="J525" s="98"/>
      <c r="K525" s="103"/>
      <c r="L525" s="103"/>
      <c r="M525" s="103"/>
      <c r="N525" s="10"/>
    </row>
    <row r="526" spans="1:14" x14ac:dyDescent="0.3">
      <c r="A526" s="67" t="s">
        <v>19</v>
      </c>
      <c r="B526" s="57" t="s">
        <v>24</v>
      </c>
      <c r="C526" s="57">
        <v>2</v>
      </c>
      <c r="D526" s="117">
        <v>6.5</v>
      </c>
      <c r="E526" s="51">
        <v>7</v>
      </c>
      <c r="F526" s="4" t="s">
        <v>76</v>
      </c>
      <c r="G526" s="4" t="s">
        <v>117</v>
      </c>
      <c r="H526" s="48">
        <f>IF(G526&gt;0,VLOOKUP(G526,Apoio!$A$2:$B$25,2,0),"")</f>
        <v>3</v>
      </c>
      <c r="I526" s="44">
        <f t="shared" si="70"/>
        <v>6.4615384615384617</v>
      </c>
      <c r="J526" s="98"/>
      <c r="K526" s="103"/>
      <c r="L526" s="103"/>
      <c r="M526" s="103"/>
      <c r="N526" s="10"/>
    </row>
    <row r="527" spans="1:14" x14ac:dyDescent="0.3">
      <c r="A527" s="67" t="s">
        <v>19</v>
      </c>
      <c r="B527" s="57" t="s">
        <v>24</v>
      </c>
      <c r="C527" s="57">
        <v>2</v>
      </c>
      <c r="D527" s="117">
        <v>6.5</v>
      </c>
      <c r="E527" s="51">
        <v>7</v>
      </c>
      <c r="F527" s="4" t="s">
        <v>83</v>
      </c>
      <c r="G527" s="4" t="s">
        <v>120</v>
      </c>
      <c r="H527" s="48">
        <f>IF(G527&gt;0,VLOOKUP(G527,Apoio!$A$2:$B$25,2,0),"")</f>
        <v>7</v>
      </c>
      <c r="I527" s="44">
        <f t="shared" si="70"/>
        <v>15.076923076923077</v>
      </c>
      <c r="J527" s="98"/>
      <c r="K527" s="103"/>
      <c r="L527" s="103"/>
      <c r="M527" s="103"/>
      <c r="N527" s="10"/>
    </row>
    <row r="528" spans="1:14" x14ac:dyDescent="0.3">
      <c r="A528" s="67" t="s">
        <v>19</v>
      </c>
      <c r="B528" s="57" t="s">
        <v>24</v>
      </c>
      <c r="C528" s="57">
        <v>2</v>
      </c>
      <c r="D528" s="117">
        <v>6.5</v>
      </c>
      <c r="E528" s="51">
        <v>7</v>
      </c>
      <c r="F528" s="4" t="s">
        <v>83</v>
      </c>
      <c r="G528" s="4" t="s">
        <v>123</v>
      </c>
      <c r="H528" s="48">
        <f>IF(G528&gt;0,VLOOKUP(G528,Apoio!$A$2:$B$25,2,0),"")</f>
        <v>8</v>
      </c>
      <c r="I528" s="44">
        <f t="shared" si="70"/>
        <v>17.23076923076923</v>
      </c>
      <c r="J528" s="98"/>
      <c r="K528" s="103"/>
      <c r="L528" s="103"/>
      <c r="M528" s="103"/>
      <c r="N528" s="10"/>
    </row>
    <row r="529" spans="1:14" x14ac:dyDescent="0.3">
      <c r="A529" s="67" t="s">
        <v>19</v>
      </c>
      <c r="B529" s="57" t="s">
        <v>24</v>
      </c>
      <c r="C529" s="57">
        <v>2</v>
      </c>
      <c r="D529" s="117">
        <v>6.5</v>
      </c>
      <c r="E529" s="51">
        <v>7</v>
      </c>
      <c r="F529" s="4" t="s">
        <v>83</v>
      </c>
      <c r="G529" s="4" t="s">
        <v>126</v>
      </c>
      <c r="H529" s="48">
        <f>IF(G529&gt;0,VLOOKUP(G529,Apoio!$A$2:$B$25,2,0),"")</f>
        <v>8</v>
      </c>
      <c r="I529" s="44">
        <f t="shared" si="70"/>
        <v>17.23076923076923</v>
      </c>
      <c r="J529" s="98"/>
      <c r="K529" s="103"/>
      <c r="L529" s="103"/>
      <c r="M529" s="103"/>
      <c r="N529" s="10"/>
    </row>
    <row r="530" spans="1:14" x14ac:dyDescent="0.3">
      <c r="A530" s="67" t="s">
        <v>19</v>
      </c>
      <c r="B530" s="57" t="s">
        <v>24</v>
      </c>
      <c r="C530" s="57">
        <v>2</v>
      </c>
      <c r="D530" s="117">
        <v>6.5</v>
      </c>
      <c r="E530" s="51">
        <v>7</v>
      </c>
      <c r="F530" s="4" t="s">
        <v>83</v>
      </c>
      <c r="G530" s="4" t="s">
        <v>129</v>
      </c>
      <c r="H530" s="48">
        <f>IF(G530&gt;0,VLOOKUP(G530,Apoio!$A$2:$B$25,2,0),"")</f>
        <v>8</v>
      </c>
      <c r="I530" s="44">
        <f t="shared" si="70"/>
        <v>17.23076923076923</v>
      </c>
      <c r="J530" s="98"/>
      <c r="K530" s="103"/>
      <c r="L530" s="103"/>
      <c r="M530" s="103"/>
      <c r="N530" s="10"/>
    </row>
    <row r="531" spans="1:14" x14ac:dyDescent="0.3">
      <c r="A531" s="67" t="s">
        <v>19</v>
      </c>
      <c r="B531" s="57" t="s">
        <v>24</v>
      </c>
      <c r="C531" s="57">
        <v>2</v>
      </c>
      <c r="D531" s="117">
        <v>6.5</v>
      </c>
      <c r="E531" s="51">
        <v>7</v>
      </c>
      <c r="F531" s="4" t="s">
        <v>83</v>
      </c>
      <c r="G531" s="4" t="s">
        <v>132</v>
      </c>
      <c r="H531" s="48">
        <f>IF(G531&gt;0,VLOOKUP(G531,Apoio!$A$2:$B$25,2,0),"")</f>
        <v>7</v>
      </c>
      <c r="I531" s="44">
        <f t="shared" si="70"/>
        <v>15.076923076923077</v>
      </c>
      <c r="J531" s="98"/>
      <c r="K531" s="103"/>
      <c r="L531" s="103"/>
      <c r="M531" s="103"/>
      <c r="N531" s="10"/>
    </row>
    <row r="532" spans="1:14" x14ac:dyDescent="0.3">
      <c r="A532" s="67" t="s">
        <v>19</v>
      </c>
      <c r="B532" s="57" t="s">
        <v>24</v>
      </c>
      <c r="C532" s="57">
        <v>2</v>
      </c>
      <c r="D532" s="117">
        <v>6.5</v>
      </c>
      <c r="E532" s="51">
        <v>7</v>
      </c>
      <c r="F532" s="4" t="s">
        <v>83</v>
      </c>
      <c r="G532" s="4" t="s">
        <v>135</v>
      </c>
      <c r="H532" s="48">
        <f>IF(G532&gt;0,VLOOKUP(G532,Apoio!$A$2:$B$25,2,0),"")</f>
        <v>3</v>
      </c>
      <c r="I532" s="44">
        <f t="shared" si="70"/>
        <v>6.4615384615384617</v>
      </c>
      <c r="J532" s="98"/>
      <c r="K532" s="103"/>
      <c r="L532" s="103"/>
      <c r="M532" s="103"/>
      <c r="N532" s="10"/>
    </row>
    <row r="533" spans="1:14" x14ac:dyDescent="0.3">
      <c r="A533" s="67" t="s">
        <v>19</v>
      </c>
      <c r="B533" s="57" t="s">
        <v>296</v>
      </c>
      <c r="C533" s="117">
        <v>2</v>
      </c>
      <c r="D533" s="117">
        <v>6.5</v>
      </c>
      <c r="E533" s="51">
        <v>7</v>
      </c>
      <c r="F533" s="4" t="s">
        <v>90</v>
      </c>
      <c r="G533" s="4" t="s">
        <v>138</v>
      </c>
      <c r="H533" s="48">
        <f>IF(G533&gt;0,VLOOKUP(G533,Apoio!$A$2:$B$25,2,0),"")</f>
        <v>8</v>
      </c>
      <c r="I533" s="44">
        <f t="shared" si="70"/>
        <v>17.23076923076923</v>
      </c>
      <c r="J533" s="98">
        <v>8</v>
      </c>
      <c r="K533" s="406">
        <f t="shared" ref="K533:K538" si="75">I533-J533</f>
        <v>9.2307692307692299</v>
      </c>
      <c r="L533" s="103"/>
      <c r="M533" s="103"/>
      <c r="N533" s="10"/>
    </row>
    <row r="534" spans="1:14" x14ac:dyDescent="0.3">
      <c r="A534" s="67" t="s">
        <v>19</v>
      </c>
      <c r="B534" s="57" t="s">
        <v>296</v>
      </c>
      <c r="C534" s="117">
        <v>2</v>
      </c>
      <c r="D534" s="117">
        <v>6.5</v>
      </c>
      <c r="E534" s="51">
        <v>7</v>
      </c>
      <c r="F534" s="4" t="s">
        <v>90</v>
      </c>
      <c r="G534" s="4" t="s">
        <v>141</v>
      </c>
      <c r="H534" s="48">
        <f>IF(G534&gt;0,VLOOKUP(G534,Apoio!$A$2:$B$25,2,0),"")</f>
        <v>7</v>
      </c>
      <c r="I534" s="44">
        <f t="shared" si="70"/>
        <v>15.076923076923077</v>
      </c>
      <c r="J534" s="98">
        <v>8</v>
      </c>
      <c r="K534" s="406">
        <f t="shared" si="75"/>
        <v>7.0769230769230766</v>
      </c>
      <c r="L534" s="103"/>
      <c r="M534" s="103"/>
      <c r="N534" s="10"/>
    </row>
    <row r="535" spans="1:14" x14ac:dyDescent="0.3">
      <c r="A535" s="67" t="s">
        <v>19</v>
      </c>
      <c r="B535" s="57" t="s">
        <v>296</v>
      </c>
      <c r="C535" s="117">
        <v>2</v>
      </c>
      <c r="D535" s="117">
        <v>6.5</v>
      </c>
      <c r="E535" s="51">
        <v>7</v>
      </c>
      <c r="F535" s="4" t="s">
        <v>90</v>
      </c>
      <c r="G535" s="4" t="s">
        <v>144</v>
      </c>
      <c r="H535" s="48">
        <f>IF(G535&gt;0,VLOOKUP(G535,Apoio!$A$2:$B$25,2,0),"")</f>
        <v>7</v>
      </c>
      <c r="I535" s="44">
        <f t="shared" si="70"/>
        <v>15.076923076923077</v>
      </c>
      <c r="J535" s="98">
        <v>8</v>
      </c>
      <c r="K535" s="406">
        <f t="shared" si="75"/>
        <v>7.0769230769230766</v>
      </c>
      <c r="L535" s="103"/>
      <c r="M535" s="103"/>
      <c r="N535" s="10"/>
    </row>
    <row r="536" spans="1:14" x14ac:dyDescent="0.3">
      <c r="A536" s="67" t="s">
        <v>19</v>
      </c>
      <c r="B536" s="57" t="s">
        <v>296</v>
      </c>
      <c r="C536" s="117">
        <v>2</v>
      </c>
      <c r="D536" s="117">
        <v>6.5</v>
      </c>
      <c r="E536" s="51">
        <v>7</v>
      </c>
      <c r="F536" s="4" t="s">
        <v>90</v>
      </c>
      <c r="G536" s="4" t="s">
        <v>147</v>
      </c>
      <c r="H536" s="48">
        <f>IF(G536&gt;0,VLOOKUP(G536,Apoio!$A$2:$B$25,2,0),"")</f>
        <v>7</v>
      </c>
      <c r="I536" s="44">
        <f t="shared" si="70"/>
        <v>15.076923076923077</v>
      </c>
      <c r="J536" s="98">
        <v>8</v>
      </c>
      <c r="K536" s="406">
        <f t="shared" si="75"/>
        <v>7.0769230769230766</v>
      </c>
      <c r="L536" s="103"/>
      <c r="M536" s="103"/>
      <c r="N536" s="10"/>
    </row>
    <row r="537" spans="1:14" x14ac:dyDescent="0.3">
      <c r="A537" s="67" t="s">
        <v>19</v>
      </c>
      <c r="B537" s="57" t="s">
        <v>296</v>
      </c>
      <c r="C537" s="117">
        <v>2</v>
      </c>
      <c r="D537" s="117">
        <v>6.5</v>
      </c>
      <c r="E537" s="51">
        <v>7</v>
      </c>
      <c r="F537" s="4" t="s">
        <v>90</v>
      </c>
      <c r="G537" s="4" t="s">
        <v>150</v>
      </c>
      <c r="H537" s="48">
        <f>IF(G537&gt;0,VLOOKUP(G537,Apoio!$A$2:$B$25,2,0),"")</f>
        <v>8</v>
      </c>
      <c r="I537" s="44">
        <f t="shared" ref="I537:I604" si="76">IF(D537&gt;0,(((H537*E537)*C537)/D537),"")</f>
        <v>17.23076923076923</v>
      </c>
      <c r="J537" s="98">
        <v>8</v>
      </c>
      <c r="K537" s="406">
        <f t="shared" si="75"/>
        <v>9.2307692307692299</v>
      </c>
      <c r="L537" s="103"/>
      <c r="M537" s="103"/>
      <c r="N537" s="10"/>
    </row>
    <row r="538" spans="1:14" x14ac:dyDescent="0.3">
      <c r="A538" s="67" t="s">
        <v>19</v>
      </c>
      <c r="B538" s="57" t="s">
        <v>296</v>
      </c>
      <c r="C538" s="117">
        <v>2</v>
      </c>
      <c r="D538" s="117">
        <v>6.5</v>
      </c>
      <c r="E538" s="51">
        <v>7</v>
      </c>
      <c r="F538" s="4" t="s">
        <v>90</v>
      </c>
      <c r="G538" s="4" t="s">
        <v>153</v>
      </c>
      <c r="H538" s="48">
        <f>IF(G538&gt;0,VLOOKUP(G538,Apoio!$A$2:$B$25,2,0),"")</f>
        <v>8</v>
      </c>
      <c r="I538" s="44">
        <f t="shared" ref="I538" si="77">IF(D538&gt;0,(((H538*E538)*C538)/D538),"")</f>
        <v>17.23076923076923</v>
      </c>
      <c r="J538" s="98">
        <v>8</v>
      </c>
      <c r="K538" s="406">
        <f t="shared" si="75"/>
        <v>9.2307692307692299</v>
      </c>
      <c r="L538" s="103"/>
      <c r="M538" s="103"/>
      <c r="N538" s="10"/>
    </row>
    <row r="539" spans="1:14" x14ac:dyDescent="0.3">
      <c r="A539" s="4" t="s">
        <v>19</v>
      </c>
      <c r="B539" s="4" t="s">
        <v>25</v>
      </c>
      <c r="C539" s="58">
        <v>7</v>
      </c>
      <c r="D539" s="117">
        <v>5.6</v>
      </c>
      <c r="E539" s="51">
        <v>7</v>
      </c>
      <c r="F539" s="4" t="s">
        <v>69</v>
      </c>
      <c r="G539" s="4" t="s">
        <v>68</v>
      </c>
      <c r="H539" s="48">
        <f>IF(G539&gt;0,VLOOKUP(G539,Apoio!$A$2:$B$25,2,0),"")</f>
        <v>7</v>
      </c>
      <c r="I539" s="44">
        <f t="shared" si="76"/>
        <v>61.250000000000007</v>
      </c>
      <c r="J539" s="98"/>
      <c r="K539" s="103"/>
      <c r="L539" s="103"/>
      <c r="M539" s="103"/>
      <c r="N539" s="10"/>
    </row>
    <row r="540" spans="1:14" x14ac:dyDescent="0.3">
      <c r="A540" s="4" t="s">
        <v>19</v>
      </c>
      <c r="B540" s="4" t="s">
        <v>25</v>
      </c>
      <c r="C540" s="58">
        <v>7</v>
      </c>
      <c r="D540" s="117">
        <v>5.6</v>
      </c>
      <c r="E540" s="51">
        <v>7</v>
      </c>
      <c r="F540" s="4" t="s">
        <v>69</v>
      </c>
      <c r="G540" s="4" t="s">
        <v>75</v>
      </c>
      <c r="H540" s="48">
        <f>IF(G540&gt;0,VLOOKUP(G540,Apoio!$A$2:$B$25,2,0),"")</f>
        <v>8</v>
      </c>
      <c r="I540" s="44">
        <f t="shared" si="76"/>
        <v>70</v>
      </c>
      <c r="J540" s="98"/>
      <c r="K540" s="103"/>
      <c r="L540" s="103"/>
      <c r="M540" s="103"/>
      <c r="N540" s="10"/>
    </row>
    <row r="541" spans="1:14" x14ac:dyDescent="0.3">
      <c r="A541" s="4" t="s">
        <v>19</v>
      </c>
      <c r="B541" s="4" t="s">
        <v>25</v>
      </c>
      <c r="C541" s="58">
        <v>7</v>
      </c>
      <c r="D541" s="117">
        <v>5.6</v>
      </c>
      <c r="E541" s="51">
        <v>7</v>
      </c>
      <c r="F541" s="4" t="s">
        <v>69</v>
      </c>
      <c r="G541" s="4" t="s">
        <v>82</v>
      </c>
      <c r="H541" s="48">
        <f>IF(G541&gt;0,VLOOKUP(G541,Apoio!$A$2:$B$25,2,0),"")</f>
        <v>6</v>
      </c>
      <c r="I541" s="44">
        <f t="shared" si="76"/>
        <v>52.5</v>
      </c>
      <c r="J541" s="98"/>
      <c r="K541" s="103"/>
      <c r="L541" s="103"/>
      <c r="M541" s="103"/>
      <c r="N541" s="10"/>
    </row>
    <row r="542" spans="1:14" x14ac:dyDescent="0.3">
      <c r="A542" s="4" t="s">
        <v>19</v>
      </c>
      <c r="B542" s="4" t="s">
        <v>25</v>
      </c>
      <c r="C542" s="58">
        <v>7</v>
      </c>
      <c r="D542" s="117">
        <v>5.6</v>
      </c>
      <c r="E542" s="51">
        <v>7</v>
      </c>
      <c r="F542" s="4" t="s">
        <v>69</v>
      </c>
      <c r="G542" s="4" t="s">
        <v>89</v>
      </c>
      <c r="H542" s="48">
        <f>IF(G542&gt;0,VLOOKUP(G542,Apoio!$A$2:$B$25,2,0),"")</f>
        <v>8</v>
      </c>
      <c r="I542" s="44">
        <f t="shared" si="76"/>
        <v>70</v>
      </c>
      <c r="J542" s="98"/>
      <c r="K542" s="103"/>
      <c r="L542" s="103"/>
      <c r="M542" s="103"/>
      <c r="N542" s="10"/>
    </row>
    <row r="543" spans="1:14" x14ac:dyDescent="0.3">
      <c r="A543" s="4" t="s">
        <v>19</v>
      </c>
      <c r="B543" s="4" t="s">
        <v>25</v>
      </c>
      <c r="C543" s="58">
        <v>7</v>
      </c>
      <c r="D543" s="117">
        <v>5.6</v>
      </c>
      <c r="E543" s="51">
        <v>7</v>
      </c>
      <c r="F543" s="4" t="s">
        <v>69</v>
      </c>
      <c r="G543" s="4" t="s">
        <v>96</v>
      </c>
      <c r="H543" s="48">
        <f>IF(G543&gt;0,VLOOKUP(G543,Apoio!$A$2:$B$25,2,0),"")</f>
        <v>8</v>
      </c>
      <c r="I543" s="44">
        <f t="shared" si="76"/>
        <v>70</v>
      </c>
      <c r="J543" s="98"/>
      <c r="K543" s="103"/>
      <c r="L543" s="103"/>
      <c r="M543" s="103"/>
      <c r="N543" s="10"/>
    </row>
    <row r="544" spans="1:14" x14ac:dyDescent="0.3">
      <c r="A544" s="4" t="s">
        <v>19</v>
      </c>
      <c r="B544" s="4" t="s">
        <v>25</v>
      </c>
      <c r="C544" s="58">
        <v>7</v>
      </c>
      <c r="D544" s="117">
        <v>5.6</v>
      </c>
      <c r="E544" s="51">
        <v>7</v>
      </c>
      <c r="F544" s="4" t="s">
        <v>69</v>
      </c>
      <c r="G544" s="4" t="s">
        <v>99</v>
      </c>
      <c r="H544" s="48">
        <f>IF(G544&gt;0,VLOOKUP(G544,Apoio!$A$2:$B$25,2,0),"")</f>
        <v>2</v>
      </c>
      <c r="I544" s="44">
        <f t="shared" si="76"/>
        <v>17.5</v>
      </c>
      <c r="J544" s="98"/>
      <c r="K544" s="103"/>
      <c r="L544" s="103"/>
      <c r="M544" s="103"/>
      <c r="N544" s="10"/>
    </row>
    <row r="545" spans="1:14" x14ac:dyDescent="0.3">
      <c r="A545" s="4" t="s">
        <v>19</v>
      </c>
      <c r="B545" s="4" t="s">
        <v>25</v>
      </c>
      <c r="C545" s="58">
        <v>7</v>
      </c>
      <c r="D545" s="117">
        <v>5.6</v>
      </c>
      <c r="E545" s="51">
        <v>7</v>
      </c>
      <c r="F545" s="4" t="s">
        <v>76</v>
      </c>
      <c r="G545" s="4" t="s">
        <v>102</v>
      </c>
      <c r="H545" s="48">
        <f>IF(G545&gt;0,VLOOKUP(G545,Apoio!$A$2:$B$25,2,0),"")</f>
        <v>5</v>
      </c>
      <c r="I545" s="44">
        <f t="shared" si="76"/>
        <v>43.75</v>
      </c>
      <c r="J545" s="98"/>
      <c r="K545" s="103"/>
      <c r="L545" s="103"/>
      <c r="M545" s="103"/>
      <c r="N545" s="10"/>
    </row>
    <row r="546" spans="1:14" x14ac:dyDescent="0.3">
      <c r="A546" s="4" t="s">
        <v>19</v>
      </c>
      <c r="B546" s="4" t="s">
        <v>25</v>
      </c>
      <c r="C546" s="58">
        <v>7</v>
      </c>
      <c r="D546" s="117">
        <v>5.6</v>
      </c>
      <c r="E546" s="51">
        <v>7</v>
      </c>
      <c r="F546" s="4" t="s">
        <v>76</v>
      </c>
      <c r="G546" s="4" t="s">
        <v>105</v>
      </c>
      <c r="H546" s="48">
        <f>IF(G546&gt;0,VLOOKUP(G546,Apoio!$A$2:$B$25,2,0),"")</f>
        <v>7</v>
      </c>
      <c r="I546" s="44">
        <f t="shared" si="76"/>
        <v>61.250000000000007</v>
      </c>
      <c r="J546" s="98"/>
      <c r="K546" s="103"/>
      <c r="L546" s="103"/>
      <c r="M546" s="103"/>
      <c r="N546" s="10"/>
    </row>
    <row r="547" spans="1:14" x14ac:dyDescent="0.3">
      <c r="A547" s="4" t="s">
        <v>19</v>
      </c>
      <c r="B547" s="4" t="s">
        <v>25</v>
      </c>
      <c r="C547" s="58">
        <v>7</v>
      </c>
      <c r="D547" s="117">
        <v>5.6</v>
      </c>
      <c r="E547" s="51">
        <v>7</v>
      </c>
      <c r="F547" s="4" t="s">
        <v>76</v>
      </c>
      <c r="G547" s="4" t="s">
        <v>108</v>
      </c>
      <c r="H547" s="48">
        <f>IF(G547&gt;0,VLOOKUP(G547,Apoio!$A$2:$B$25,2,0),"")</f>
        <v>8</v>
      </c>
      <c r="I547" s="44">
        <f t="shared" si="76"/>
        <v>70</v>
      </c>
      <c r="J547" s="98"/>
      <c r="K547" s="103"/>
      <c r="L547" s="103"/>
      <c r="M547" s="103"/>
      <c r="N547" s="10"/>
    </row>
    <row r="548" spans="1:14" x14ac:dyDescent="0.3">
      <c r="A548" s="4" t="s">
        <v>19</v>
      </c>
      <c r="B548" s="4" t="s">
        <v>25</v>
      </c>
      <c r="C548" s="58">
        <v>7</v>
      </c>
      <c r="D548" s="117">
        <v>5.6</v>
      </c>
      <c r="E548" s="51">
        <v>7</v>
      </c>
      <c r="F548" s="4" t="s">
        <v>76</v>
      </c>
      <c r="G548" s="4" t="s">
        <v>111</v>
      </c>
      <c r="H548" s="48">
        <f>IF(G548&gt;0,VLOOKUP(G548,Apoio!$A$2:$B$25,2,0),"")</f>
        <v>7</v>
      </c>
      <c r="I548" s="44">
        <f t="shared" si="76"/>
        <v>61.250000000000007</v>
      </c>
      <c r="J548" s="98"/>
      <c r="K548" s="103"/>
      <c r="L548" s="103"/>
      <c r="M548" s="103"/>
      <c r="N548" s="10"/>
    </row>
    <row r="549" spans="1:14" x14ac:dyDescent="0.3">
      <c r="A549" s="4" t="s">
        <v>19</v>
      </c>
      <c r="B549" s="4" t="s">
        <v>25</v>
      </c>
      <c r="C549" s="58">
        <v>7</v>
      </c>
      <c r="D549" s="117">
        <v>5.6</v>
      </c>
      <c r="E549" s="51">
        <v>7</v>
      </c>
      <c r="F549" s="4" t="s">
        <v>76</v>
      </c>
      <c r="G549" s="4" t="s">
        <v>114</v>
      </c>
      <c r="H549" s="48">
        <f>IF(G549&gt;0,VLOOKUP(G549,Apoio!$A$2:$B$25,2,0),"")</f>
        <v>8</v>
      </c>
      <c r="I549" s="44">
        <f t="shared" si="76"/>
        <v>70</v>
      </c>
      <c r="J549" s="98"/>
      <c r="K549" s="103"/>
      <c r="L549" s="103"/>
      <c r="M549" s="103"/>
      <c r="N549" s="10"/>
    </row>
    <row r="550" spans="1:14" x14ac:dyDescent="0.3">
      <c r="A550" s="4" t="s">
        <v>19</v>
      </c>
      <c r="B550" s="4" t="s">
        <v>25</v>
      </c>
      <c r="C550" s="58">
        <v>7</v>
      </c>
      <c r="D550" s="117">
        <v>5.6</v>
      </c>
      <c r="E550" s="51">
        <v>7</v>
      </c>
      <c r="F550" s="4" t="s">
        <v>76</v>
      </c>
      <c r="G550" s="4" t="s">
        <v>117</v>
      </c>
      <c r="H550" s="48">
        <f>IF(G550&gt;0,VLOOKUP(G550,Apoio!$A$2:$B$25,2,0),"")</f>
        <v>3</v>
      </c>
      <c r="I550" s="44">
        <f t="shared" si="76"/>
        <v>26.25</v>
      </c>
      <c r="J550" s="98"/>
      <c r="K550" s="103"/>
      <c r="L550" s="103"/>
      <c r="M550" s="103"/>
      <c r="N550" s="10"/>
    </row>
    <row r="551" spans="1:14" x14ac:dyDescent="0.3">
      <c r="A551" s="4" t="s">
        <v>19</v>
      </c>
      <c r="B551" s="4" t="s">
        <v>25</v>
      </c>
      <c r="C551" s="58">
        <v>7</v>
      </c>
      <c r="D551" s="117">
        <v>5.6</v>
      </c>
      <c r="E551" s="51">
        <v>7</v>
      </c>
      <c r="F551" s="4" t="s">
        <v>83</v>
      </c>
      <c r="G551" s="4" t="s">
        <v>120</v>
      </c>
      <c r="H551" s="48">
        <f>IF(G551&gt;0,VLOOKUP(G551,Apoio!$A$2:$B$25,2,0),"")</f>
        <v>7</v>
      </c>
      <c r="I551" s="44">
        <f t="shared" si="76"/>
        <v>61.250000000000007</v>
      </c>
      <c r="J551" s="98"/>
      <c r="K551" s="103"/>
      <c r="L551" s="103"/>
      <c r="M551" s="103"/>
      <c r="N551" s="10"/>
    </row>
    <row r="552" spans="1:14" x14ac:dyDescent="0.3">
      <c r="A552" s="4" t="s">
        <v>19</v>
      </c>
      <c r="B552" s="4" t="s">
        <v>25</v>
      </c>
      <c r="C552" s="58">
        <v>7</v>
      </c>
      <c r="D552" s="117">
        <v>5.6</v>
      </c>
      <c r="E552" s="51">
        <v>7</v>
      </c>
      <c r="F552" s="4" t="s">
        <v>83</v>
      </c>
      <c r="G552" s="4" t="s">
        <v>123</v>
      </c>
      <c r="H552" s="48">
        <f>IF(G552&gt;0,VLOOKUP(G552,Apoio!$A$2:$B$25,2,0),"")</f>
        <v>8</v>
      </c>
      <c r="I552" s="44">
        <f t="shared" si="76"/>
        <v>70</v>
      </c>
      <c r="J552" s="98"/>
      <c r="K552" s="103"/>
      <c r="L552" s="103"/>
      <c r="M552" s="103"/>
      <c r="N552" s="10"/>
    </row>
    <row r="553" spans="1:14" x14ac:dyDescent="0.3">
      <c r="A553" s="4" t="s">
        <v>19</v>
      </c>
      <c r="B553" s="4" t="s">
        <v>25</v>
      </c>
      <c r="C553" s="58">
        <v>7</v>
      </c>
      <c r="D553" s="117">
        <v>5.6</v>
      </c>
      <c r="E553" s="51">
        <v>7</v>
      </c>
      <c r="F553" s="4" t="s">
        <v>83</v>
      </c>
      <c r="G553" s="4" t="s">
        <v>126</v>
      </c>
      <c r="H553" s="48">
        <f>IF(G553&gt;0,VLOOKUP(G553,Apoio!$A$2:$B$25,2,0),"")</f>
        <v>8</v>
      </c>
      <c r="I553" s="44">
        <f t="shared" si="76"/>
        <v>70</v>
      </c>
      <c r="J553" s="98"/>
      <c r="K553" s="103"/>
      <c r="L553" s="103"/>
      <c r="M553" s="103"/>
      <c r="N553" s="10"/>
    </row>
    <row r="554" spans="1:14" x14ac:dyDescent="0.3">
      <c r="A554" s="4" t="s">
        <v>19</v>
      </c>
      <c r="B554" s="4" t="s">
        <v>25</v>
      </c>
      <c r="C554" s="58">
        <v>7</v>
      </c>
      <c r="D554" s="117">
        <v>5.6</v>
      </c>
      <c r="E554" s="51">
        <v>7</v>
      </c>
      <c r="F554" s="4" t="s">
        <v>83</v>
      </c>
      <c r="G554" s="4" t="s">
        <v>129</v>
      </c>
      <c r="H554" s="48">
        <f>IF(G554&gt;0,VLOOKUP(G554,Apoio!$A$2:$B$25,2,0),"")</f>
        <v>8</v>
      </c>
      <c r="I554" s="44">
        <f t="shared" si="76"/>
        <v>70</v>
      </c>
      <c r="J554" s="98"/>
      <c r="K554" s="103"/>
      <c r="L554" s="103"/>
      <c r="M554" s="103"/>
      <c r="N554" s="10"/>
    </row>
    <row r="555" spans="1:14" x14ac:dyDescent="0.3">
      <c r="A555" s="4" t="s">
        <v>19</v>
      </c>
      <c r="B555" s="4" t="s">
        <v>25</v>
      </c>
      <c r="C555" s="58">
        <v>7</v>
      </c>
      <c r="D555" s="117">
        <v>5.6</v>
      </c>
      <c r="E555" s="51">
        <v>7</v>
      </c>
      <c r="F555" s="4" t="s">
        <v>83</v>
      </c>
      <c r="G555" s="4" t="s">
        <v>132</v>
      </c>
      <c r="H555" s="48">
        <f>IF(G555&gt;0,VLOOKUP(G555,Apoio!$A$2:$B$25,2,0),"")</f>
        <v>7</v>
      </c>
      <c r="I555" s="44">
        <f t="shared" si="76"/>
        <v>61.250000000000007</v>
      </c>
      <c r="J555" s="98"/>
      <c r="K555" s="103"/>
      <c r="L555" s="103"/>
      <c r="M555" s="103"/>
      <c r="N555" s="10"/>
    </row>
    <row r="556" spans="1:14" x14ac:dyDescent="0.3">
      <c r="A556" s="4" t="s">
        <v>19</v>
      </c>
      <c r="B556" s="4" t="s">
        <v>25</v>
      </c>
      <c r="C556" s="58">
        <v>7</v>
      </c>
      <c r="D556" s="117">
        <v>5.6</v>
      </c>
      <c r="E556" s="51">
        <v>7</v>
      </c>
      <c r="F556" s="4" t="s">
        <v>83</v>
      </c>
      <c r="G556" s="4" t="s">
        <v>135</v>
      </c>
      <c r="H556" s="48">
        <f>IF(G556&gt;0,VLOOKUP(G556,Apoio!$A$2:$B$25,2,0),"")</f>
        <v>3</v>
      </c>
      <c r="I556" s="44">
        <f t="shared" si="76"/>
        <v>26.25</v>
      </c>
      <c r="J556" s="98"/>
      <c r="K556" s="103"/>
      <c r="L556" s="103"/>
      <c r="M556" s="103"/>
      <c r="N556" s="10"/>
    </row>
    <row r="557" spans="1:14" x14ac:dyDescent="0.3">
      <c r="A557" s="4" t="s">
        <v>19</v>
      </c>
      <c r="B557" s="4" t="s">
        <v>295</v>
      </c>
      <c r="C557" s="108">
        <v>7</v>
      </c>
      <c r="D557" s="117">
        <v>5.6</v>
      </c>
      <c r="E557" s="51">
        <v>7</v>
      </c>
      <c r="F557" s="4" t="s">
        <v>90</v>
      </c>
      <c r="G557" s="4" t="s">
        <v>138</v>
      </c>
      <c r="H557" s="48">
        <f>IF(G557&gt;0,VLOOKUP(G557,Apoio!$A$2:$B$25,2,0),"")</f>
        <v>8</v>
      </c>
      <c r="I557" s="44">
        <f t="shared" si="76"/>
        <v>70</v>
      </c>
      <c r="J557" s="98">
        <v>8</v>
      </c>
      <c r="K557" s="406">
        <f t="shared" ref="K557:K562" si="78">I557-J557</f>
        <v>62</v>
      </c>
      <c r="L557" s="103"/>
      <c r="M557" s="103"/>
      <c r="N557" s="10"/>
    </row>
    <row r="558" spans="1:14" x14ac:dyDescent="0.3">
      <c r="A558" s="4" t="s">
        <v>19</v>
      </c>
      <c r="B558" s="4" t="s">
        <v>295</v>
      </c>
      <c r="C558" s="108">
        <v>7</v>
      </c>
      <c r="D558" s="117">
        <v>5.6</v>
      </c>
      <c r="E558" s="51">
        <v>7</v>
      </c>
      <c r="F558" s="4" t="s">
        <v>90</v>
      </c>
      <c r="G558" s="4" t="s">
        <v>141</v>
      </c>
      <c r="H558" s="48">
        <f>IF(G558&gt;0,VLOOKUP(G558,Apoio!$A$2:$B$25,2,0),"")</f>
        <v>7</v>
      </c>
      <c r="I558" s="44">
        <f t="shared" si="76"/>
        <v>61.250000000000007</v>
      </c>
      <c r="J558" s="98">
        <v>8</v>
      </c>
      <c r="K558" s="406">
        <f t="shared" si="78"/>
        <v>53.250000000000007</v>
      </c>
      <c r="L558" s="103"/>
      <c r="M558" s="103"/>
      <c r="N558" s="10"/>
    </row>
    <row r="559" spans="1:14" x14ac:dyDescent="0.3">
      <c r="A559" s="4" t="s">
        <v>19</v>
      </c>
      <c r="B559" s="4" t="s">
        <v>295</v>
      </c>
      <c r="C559" s="108">
        <v>7</v>
      </c>
      <c r="D559" s="117">
        <v>5.6</v>
      </c>
      <c r="E559" s="51">
        <v>7</v>
      </c>
      <c r="F559" s="4" t="s">
        <v>90</v>
      </c>
      <c r="G559" s="4" t="s">
        <v>144</v>
      </c>
      <c r="H559" s="48">
        <f>IF(G559&gt;0,VLOOKUP(G559,Apoio!$A$2:$B$25,2,0),"")</f>
        <v>7</v>
      </c>
      <c r="I559" s="44">
        <f t="shared" si="76"/>
        <v>61.250000000000007</v>
      </c>
      <c r="J559" s="98">
        <v>8</v>
      </c>
      <c r="K559" s="406">
        <f t="shared" si="78"/>
        <v>53.250000000000007</v>
      </c>
      <c r="L559" s="103"/>
      <c r="M559" s="103"/>
      <c r="N559" s="10"/>
    </row>
    <row r="560" spans="1:14" x14ac:dyDescent="0.3">
      <c r="A560" s="4" t="s">
        <v>19</v>
      </c>
      <c r="B560" s="4" t="s">
        <v>295</v>
      </c>
      <c r="C560" s="108">
        <v>7</v>
      </c>
      <c r="D560" s="117">
        <v>5.6</v>
      </c>
      <c r="E560" s="51">
        <v>7</v>
      </c>
      <c r="F560" s="4" t="s">
        <v>90</v>
      </c>
      <c r="G560" s="4" t="s">
        <v>147</v>
      </c>
      <c r="H560" s="48">
        <f>IF(G560&gt;0,VLOOKUP(G560,Apoio!$A$2:$B$25,2,0),"")</f>
        <v>7</v>
      </c>
      <c r="I560" s="44">
        <f t="shared" si="76"/>
        <v>61.250000000000007</v>
      </c>
      <c r="J560" s="98">
        <v>8</v>
      </c>
      <c r="K560" s="406">
        <f t="shared" si="78"/>
        <v>53.250000000000007</v>
      </c>
      <c r="L560" s="103"/>
      <c r="M560" s="103"/>
      <c r="N560" s="10"/>
    </row>
    <row r="561" spans="1:14" x14ac:dyDescent="0.3">
      <c r="A561" s="4" t="s">
        <v>19</v>
      </c>
      <c r="B561" s="4" t="s">
        <v>295</v>
      </c>
      <c r="C561" s="108">
        <v>7</v>
      </c>
      <c r="D561" s="117">
        <v>5.6</v>
      </c>
      <c r="E561" s="51">
        <v>7</v>
      </c>
      <c r="F561" s="4" t="s">
        <v>90</v>
      </c>
      <c r="G561" s="4" t="s">
        <v>150</v>
      </c>
      <c r="H561" s="48">
        <f>IF(G561&gt;0,VLOOKUP(G561,Apoio!$A$2:$B$25,2,0),"")</f>
        <v>8</v>
      </c>
      <c r="I561" s="44">
        <f t="shared" si="76"/>
        <v>70</v>
      </c>
      <c r="J561" s="98">
        <v>8</v>
      </c>
      <c r="K561" s="406">
        <f t="shared" si="78"/>
        <v>62</v>
      </c>
      <c r="L561" s="103"/>
      <c r="M561" s="103"/>
      <c r="N561" s="10"/>
    </row>
    <row r="562" spans="1:14" x14ac:dyDescent="0.3">
      <c r="A562" s="4" t="s">
        <v>19</v>
      </c>
      <c r="B562" s="4" t="s">
        <v>295</v>
      </c>
      <c r="C562" s="108">
        <v>7</v>
      </c>
      <c r="D562" s="117">
        <v>5.6</v>
      </c>
      <c r="E562" s="51">
        <v>7</v>
      </c>
      <c r="F562" s="4" t="s">
        <v>90</v>
      </c>
      <c r="G562" s="4" t="s">
        <v>153</v>
      </c>
      <c r="H562" s="48">
        <f>IF(G562&gt;0,VLOOKUP(G562,Apoio!$A$2:$B$25,2,0),"")</f>
        <v>8</v>
      </c>
      <c r="I562" s="44">
        <f t="shared" ref="I562" si="79">IF(D562&gt;0,(((H562*E562)*C562)/D562),"")</f>
        <v>70</v>
      </c>
      <c r="J562" s="98">
        <v>8</v>
      </c>
      <c r="K562" s="406">
        <f t="shared" si="78"/>
        <v>62</v>
      </c>
      <c r="L562" s="103"/>
      <c r="M562" s="103"/>
      <c r="N562" s="10"/>
    </row>
    <row r="563" spans="1:14" x14ac:dyDescent="0.3">
      <c r="A563" s="58" t="s">
        <v>213</v>
      </c>
      <c r="B563" s="4" t="s">
        <v>32</v>
      </c>
      <c r="C563" s="58">
        <v>3</v>
      </c>
      <c r="D563" s="56">
        <v>6.4</v>
      </c>
      <c r="E563" s="51">
        <v>7</v>
      </c>
      <c r="F563" s="4" t="s">
        <v>69</v>
      </c>
      <c r="G563" s="4" t="s">
        <v>68</v>
      </c>
      <c r="H563" s="48">
        <f>IF(G563&gt;0,VLOOKUP(G563,Apoio!$A$2:$B$25,2,0),"")</f>
        <v>7</v>
      </c>
      <c r="I563" s="44">
        <f t="shared" si="76"/>
        <v>22.96875</v>
      </c>
      <c r="J563" s="98">
        <f t="shared" ref="J563:J584" si="80">I563*33%</f>
        <v>7.5796875000000004</v>
      </c>
      <c r="K563" s="103"/>
      <c r="L563" s="103"/>
      <c r="M563" s="103"/>
      <c r="N563" s="10"/>
    </row>
    <row r="564" spans="1:14" x14ac:dyDescent="0.3">
      <c r="A564" s="58" t="s">
        <v>213</v>
      </c>
      <c r="B564" s="4" t="s">
        <v>32</v>
      </c>
      <c r="C564" s="58">
        <v>3</v>
      </c>
      <c r="D564" s="56">
        <v>6.4</v>
      </c>
      <c r="E564" s="51">
        <v>7</v>
      </c>
      <c r="F564" s="4" t="s">
        <v>69</v>
      </c>
      <c r="G564" s="4" t="s">
        <v>75</v>
      </c>
      <c r="H564" s="48">
        <f>IF(G564&gt;0,VLOOKUP(G564,Apoio!$A$2:$B$25,2,0),"")</f>
        <v>8</v>
      </c>
      <c r="I564" s="44">
        <f t="shared" si="76"/>
        <v>26.25</v>
      </c>
      <c r="J564" s="98">
        <f t="shared" si="80"/>
        <v>8.6624999999999996</v>
      </c>
      <c r="K564" s="103"/>
      <c r="L564" s="103"/>
      <c r="M564" s="103"/>
      <c r="N564" s="10"/>
    </row>
    <row r="565" spans="1:14" x14ac:dyDescent="0.3">
      <c r="A565" s="58" t="s">
        <v>213</v>
      </c>
      <c r="B565" s="4" t="s">
        <v>32</v>
      </c>
      <c r="C565" s="58">
        <v>3</v>
      </c>
      <c r="D565" s="56">
        <v>6.4</v>
      </c>
      <c r="E565" s="51">
        <v>7</v>
      </c>
      <c r="F565" s="4" t="s">
        <v>69</v>
      </c>
      <c r="G565" s="4" t="s">
        <v>82</v>
      </c>
      <c r="H565" s="48">
        <f>IF(G565&gt;0,VLOOKUP(G565,Apoio!$A$2:$B$25,2,0),"")</f>
        <v>6</v>
      </c>
      <c r="I565" s="44">
        <f t="shared" si="76"/>
        <v>19.6875</v>
      </c>
      <c r="J565" s="98">
        <f t="shared" si="80"/>
        <v>6.4968750000000002</v>
      </c>
      <c r="K565" s="103"/>
      <c r="L565" s="103"/>
      <c r="M565" s="103"/>
      <c r="N565" s="10"/>
    </row>
    <row r="566" spans="1:14" x14ac:dyDescent="0.3">
      <c r="A566" s="58" t="s">
        <v>213</v>
      </c>
      <c r="B566" s="4" t="s">
        <v>32</v>
      </c>
      <c r="C566" s="58">
        <v>3</v>
      </c>
      <c r="D566" s="56">
        <v>6.4</v>
      </c>
      <c r="E566" s="51">
        <v>7</v>
      </c>
      <c r="F566" s="4" t="s">
        <v>69</v>
      </c>
      <c r="G566" s="4" t="s">
        <v>89</v>
      </c>
      <c r="H566" s="48">
        <f>IF(G566&gt;0,VLOOKUP(G566,Apoio!$A$2:$B$25,2,0),"")</f>
        <v>8</v>
      </c>
      <c r="I566" s="44">
        <f t="shared" si="76"/>
        <v>26.25</v>
      </c>
      <c r="J566" s="98">
        <f t="shared" si="80"/>
        <v>8.6624999999999996</v>
      </c>
      <c r="K566" s="103"/>
      <c r="L566" s="103"/>
      <c r="M566" s="103"/>
      <c r="N566" s="10"/>
    </row>
    <row r="567" spans="1:14" x14ac:dyDescent="0.3">
      <c r="A567" s="58" t="s">
        <v>213</v>
      </c>
      <c r="B567" s="4" t="s">
        <v>32</v>
      </c>
      <c r="C567" s="58">
        <v>3</v>
      </c>
      <c r="D567" s="56">
        <v>6.4</v>
      </c>
      <c r="E567" s="51">
        <v>7</v>
      </c>
      <c r="F567" s="4" t="s">
        <v>69</v>
      </c>
      <c r="G567" s="4" t="s">
        <v>96</v>
      </c>
      <c r="H567" s="48">
        <f>IF(G567&gt;0,VLOOKUP(G567,Apoio!$A$2:$B$25,2,0),"")</f>
        <v>8</v>
      </c>
      <c r="I567" s="44">
        <f t="shared" si="76"/>
        <v>26.25</v>
      </c>
      <c r="J567" s="98">
        <f t="shared" si="80"/>
        <v>8.6624999999999996</v>
      </c>
      <c r="K567" s="103"/>
      <c r="L567" s="103"/>
      <c r="M567" s="103"/>
      <c r="N567" s="10"/>
    </row>
    <row r="568" spans="1:14" x14ac:dyDescent="0.3">
      <c r="A568" s="58" t="s">
        <v>213</v>
      </c>
      <c r="B568" s="4" t="s">
        <v>32</v>
      </c>
      <c r="C568" s="58">
        <v>3</v>
      </c>
      <c r="D568" s="56">
        <v>6.4</v>
      </c>
      <c r="E568" s="51">
        <v>7</v>
      </c>
      <c r="F568" s="4" t="s">
        <v>69</v>
      </c>
      <c r="G568" s="4" t="s">
        <v>99</v>
      </c>
      <c r="H568" s="48">
        <f>IF(G568&gt;0,VLOOKUP(G568,Apoio!$A$2:$B$25,2,0),"")</f>
        <v>2</v>
      </c>
      <c r="I568" s="44">
        <f t="shared" si="76"/>
        <v>6.5625</v>
      </c>
      <c r="J568" s="98">
        <f t="shared" si="80"/>
        <v>2.1656249999999999</v>
      </c>
      <c r="K568" s="103"/>
      <c r="L568" s="103"/>
      <c r="M568" s="103"/>
      <c r="N568" s="10"/>
    </row>
    <row r="569" spans="1:14" x14ac:dyDescent="0.3">
      <c r="A569" s="58" t="s">
        <v>213</v>
      </c>
      <c r="B569" s="4" t="s">
        <v>32</v>
      </c>
      <c r="C569" s="58">
        <v>3</v>
      </c>
      <c r="D569" s="56">
        <v>6.4</v>
      </c>
      <c r="E569" s="51">
        <v>7</v>
      </c>
      <c r="F569" s="4" t="s">
        <v>76</v>
      </c>
      <c r="G569" s="4" t="s">
        <v>102</v>
      </c>
      <c r="H569" s="48">
        <f>IF(G569&gt;0,VLOOKUP(G569,Apoio!$A$2:$B$25,2,0),"")</f>
        <v>5</v>
      </c>
      <c r="I569" s="44">
        <f t="shared" si="76"/>
        <v>16.40625</v>
      </c>
      <c r="J569" s="98">
        <f t="shared" si="80"/>
        <v>5.4140625</v>
      </c>
      <c r="K569" s="103"/>
      <c r="L569" s="103"/>
      <c r="M569" s="103"/>
      <c r="N569" s="10"/>
    </row>
    <row r="570" spans="1:14" x14ac:dyDescent="0.3">
      <c r="A570" s="58" t="s">
        <v>213</v>
      </c>
      <c r="B570" s="4" t="s">
        <v>32</v>
      </c>
      <c r="C570" s="58">
        <v>3</v>
      </c>
      <c r="D570" s="56">
        <v>6.4</v>
      </c>
      <c r="E570" s="51">
        <v>7</v>
      </c>
      <c r="F570" s="4" t="s">
        <v>76</v>
      </c>
      <c r="G570" s="4" t="s">
        <v>105</v>
      </c>
      <c r="H570" s="48">
        <f>IF(G570&gt;0,VLOOKUP(G570,Apoio!$A$2:$B$25,2,0),"")</f>
        <v>7</v>
      </c>
      <c r="I570" s="44">
        <f t="shared" si="76"/>
        <v>22.96875</v>
      </c>
      <c r="J570" s="98">
        <f t="shared" si="80"/>
        <v>7.5796875000000004</v>
      </c>
      <c r="K570" s="103"/>
      <c r="L570" s="103"/>
      <c r="M570" s="103"/>
      <c r="N570" s="10"/>
    </row>
    <row r="571" spans="1:14" x14ac:dyDescent="0.3">
      <c r="A571" s="58" t="s">
        <v>213</v>
      </c>
      <c r="B571" s="4" t="s">
        <v>32</v>
      </c>
      <c r="C571" s="58">
        <v>3</v>
      </c>
      <c r="D571" s="56">
        <v>6.4</v>
      </c>
      <c r="E571" s="51">
        <v>7</v>
      </c>
      <c r="F571" s="4" t="s">
        <v>76</v>
      </c>
      <c r="G571" s="4" t="s">
        <v>108</v>
      </c>
      <c r="H571" s="48">
        <f>IF(G571&gt;0,VLOOKUP(G571,Apoio!$A$2:$B$25,2,0),"")</f>
        <v>8</v>
      </c>
      <c r="I571" s="44">
        <f t="shared" si="76"/>
        <v>26.25</v>
      </c>
      <c r="J571" s="98">
        <f t="shared" si="80"/>
        <v>8.6624999999999996</v>
      </c>
      <c r="K571" s="103"/>
      <c r="L571" s="103"/>
      <c r="M571" s="103"/>
      <c r="N571" s="10"/>
    </row>
    <row r="572" spans="1:14" x14ac:dyDescent="0.3">
      <c r="A572" s="58" t="s">
        <v>213</v>
      </c>
      <c r="B572" s="4" t="s">
        <v>32</v>
      </c>
      <c r="C572" s="58">
        <v>3</v>
      </c>
      <c r="D572" s="56">
        <v>6.4</v>
      </c>
      <c r="E572" s="51">
        <v>7</v>
      </c>
      <c r="F572" s="4" t="s">
        <v>76</v>
      </c>
      <c r="G572" s="4" t="s">
        <v>111</v>
      </c>
      <c r="H572" s="48">
        <f>IF(G572&gt;0,VLOOKUP(G572,Apoio!$A$2:$B$25,2,0),"")</f>
        <v>7</v>
      </c>
      <c r="I572" s="44">
        <f t="shared" si="76"/>
        <v>22.96875</v>
      </c>
      <c r="J572" s="98">
        <f t="shared" si="80"/>
        <v>7.5796875000000004</v>
      </c>
      <c r="K572" s="103"/>
      <c r="L572" s="103"/>
      <c r="M572" s="103"/>
      <c r="N572" s="10"/>
    </row>
    <row r="573" spans="1:14" x14ac:dyDescent="0.3">
      <c r="A573" s="58" t="s">
        <v>213</v>
      </c>
      <c r="B573" s="4" t="s">
        <v>32</v>
      </c>
      <c r="C573" s="58">
        <v>3</v>
      </c>
      <c r="D573" s="56">
        <v>6.4</v>
      </c>
      <c r="E573" s="51">
        <v>7</v>
      </c>
      <c r="F573" s="4" t="s">
        <v>76</v>
      </c>
      <c r="G573" s="4" t="s">
        <v>114</v>
      </c>
      <c r="H573" s="48">
        <f>IF(G573&gt;0,VLOOKUP(G573,Apoio!$A$2:$B$25,2,0),"")</f>
        <v>8</v>
      </c>
      <c r="I573" s="44">
        <f t="shared" si="76"/>
        <v>26.25</v>
      </c>
      <c r="J573" s="98">
        <f t="shared" si="80"/>
        <v>8.6624999999999996</v>
      </c>
      <c r="K573" s="103"/>
      <c r="L573" s="103"/>
      <c r="M573" s="103"/>
      <c r="N573" s="10"/>
    </row>
    <row r="574" spans="1:14" x14ac:dyDescent="0.3">
      <c r="A574" s="58" t="s">
        <v>213</v>
      </c>
      <c r="B574" s="4" t="s">
        <v>32</v>
      </c>
      <c r="C574" s="58">
        <v>3</v>
      </c>
      <c r="D574" s="56">
        <v>6.4</v>
      </c>
      <c r="E574" s="51">
        <v>7</v>
      </c>
      <c r="F574" s="4" t="s">
        <v>76</v>
      </c>
      <c r="G574" s="4" t="s">
        <v>117</v>
      </c>
      <c r="H574" s="48">
        <f>IF(G574&gt;0,VLOOKUP(G574,Apoio!$A$2:$B$25,2,0),"")</f>
        <v>3</v>
      </c>
      <c r="I574" s="44">
        <f t="shared" si="76"/>
        <v>9.84375</v>
      </c>
      <c r="J574" s="98">
        <f t="shared" si="80"/>
        <v>3.2484375000000001</v>
      </c>
      <c r="K574" s="103"/>
      <c r="L574" s="103"/>
      <c r="M574" s="103"/>
      <c r="N574" s="10"/>
    </row>
    <row r="575" spans="1:14" x14ac:dyDescent="0.3">
      <c r="A575" s="58" t="s">
        <v>213</v>
      </c>
      <c r="B575" s="4" t="s">
        <v>32</v>
      </c>
      <c r="C575" s="58">
        <v>3</v>
      </c>
      <c r="D575" s="56">
        <v>6.4</v>
      </c>
      <c r="E575" s="51">
        <v>7</v>
      </c>
      <c r="F575" s="4" t="s">
        <v>83</v>
      </c>
      <c r="G575" s="4" t="s">
        <v>120</v>
      </c>
      <c r="H575" s="48">
        <f>IF(G575&gt;0,VLOOKUP(G575,Apoio!$A$2:$B$25,2,0),"")</f>
        <v>7</v>
      </c>
      <c r="I575" s="44">
        <f t="shared" si="76"/>
        <v>22.96875</v>
      </c>
      <c r="J575" s="98">
        <f t="shared" si="80"/>
        <v>7.5796875000000004</v>
      </c>
      <c r="K575" s="103"/>
      <c r="L575" s="103"/>
      <c r="M575" s="103"/>
      <c r="N575" s="10"/>
    </row>
    <row r="576" spans="1:14" x14ac:dyDescent="0.3">
      <c r="A576" s="58" t="s">
        <v>213</v>
      </c>
      <c r="B576" s="4" t="s">
        <v>32</v>
      </c>
      <c r="C576" s="58">
        <v>3</v>
      </c>
      <c r="D576" s="56">
        <v>6.4</v>
      </c>
      <c r="E576" s="51">
        <v>7</v>
      </c>
      <c r="F576" s="4" t="s">
        <v>83</v>
      </c>
      <c r="G576" s="4" t="s">
        <v>123</v>
      </c>
      <c r="H576" s="48">
        <f>IF(G576&gt;0,VLOOKUP(G576,Apoio!$A$2:$B$25,2,0),"")</f>
        <v>8</v>
      </c>
      <c r="I576" s="44">
        <f t="shared" si="76"/>
        <v>26.25</v>
      </c>
      <c r="J576" s="98">
        <f t="shared" si="80"/>
        <v>8.6624999999999996</v>
      </c>
      <c r="K576" s="103"/>
      <c r="L576" s="103"/>
      <c r="M576" s="103"/>
      <c r="N576" s="10"/>
    </row>
    <row r="577" spans="1:14" x14ac:dyDescent="0.3">
      <c r="A577" s="58" t="s">
        <v>213</v>
      </c>
      <c r="B577" s="4" t="s">
        <v>32</v>
      </c>
      <c r="C577" s="58">
        <v>3</v>
      </c>
      <c r="D577" s="56">
        <v>6.4</v>
      </c>
      <c r="E577" s="51">
        <v>7</v>
      </c>
      <c r="F577" s="4" t="s">
        <v>83</v>
      </c>
      <c r="G577" s="4" t="s">
        <v>126</v>
      </c>
      <c r="H577" s="48">
        <f>IF(G577&gt;0,VLOOKUP(G577,Apoio!$A$2:$B$25,2,0),"")</f>
        <v>8</v>
      </c>
      <c r="I577" s="44">
        <f t="shared" si="76"/>
        <v>26.25</v>
      </c>
      <c r="J577" s="98">
        <f t="shared" si="80"/>
        <v>8.6624999999999996</v>
      </c>
      <c r="K577" s="103"/>
      <c r="L577" s="103"/>
      <c r="M577" s="103"/>
      <c r="N577" s="10"/>
    </row>
    <row r="578" spans="1:14" x14ac:dyDescent="0.3">
      <c r="A578" s="58" t="s">
        <v>213</v>
      </c>
      <c r="B578" s="4" t="s">
        <v>32</v>
      </c>
      <c r="C578" s="58">
        <v>3</v>
      </c>
      <c r="D578" s="56">
        <v>6.4</v>
      </c>
      <c r="E578" s="51">
        <v>7</v>
      </c>
      <c r="F578" s="4" t="s">
        <v>83</v>
      </c>
      <c r="G578" s="4" t="s">
        <v>129</v>
      </c>
      <c r="H578" s="48">
        <f>IF(G578&gt;0,VLOOKUP(G578,Apoio!$A$2:$B$25,2,0),"")</f>
        <v>8</v>
      </c>
      <c r="I578" s="44">
        <f t="shared" si="76"/>
        <v>26.25</v>
      </c>
      <c r="J578" s="98">
        <f t="shared" si="80"/>
        <v>8.6624999999999996</v>
      </c>
      <c r="K578" s="103"/>
      <c r="L578" s="103"/>
      <c r="M578" s="103"/>
      <c r="N578" s="10"/>
    </row>
    <row r="579" spans="1:14" x14ac:dyDescent="0.3">
      <c r="A579" s="58" t="s">
        <v>213</v>
      </c>
      <c r="B579" s="4" t="s">
        <v>32</v>
      </c>
      <c r="C579" s="58">
        <v>3</v>
      </c>
      <c r="D579" s="56">
        <v>6.4</v>
      </c>
      <c r="E579" s="51">
        <v>7</v>
      </c>
      <c r="F579" s="4" t="s">
        <v>83</v>
      </c>
      <c r="G579" s="4" t="s">
        <v>132</v>
      </c>
      <c r="H579" s="48">
        <f>IF(G579&gt;0,VLOOKUP(G579,Apoio!$A$2:$B$25,2,0),"")</f>
        <v>7</v>
      </c>
      <c r="I579" s="44">
        <f t="shared" si="76"/>
        <v>22.96875</v>
      </c>
      <c r="J579" s="98">
        <f t="shared" si="80"/>
        <v>7.5796875000000004</v>
      </c>
      <c r="K579" s="103"/>
      <c r="L579" s="103"/>
      <c r="M579" s="103"/>
      <c r="N579" s="10"/>
    </row>
    <row r="580" spans="1:14" x14ac:dyDescent="0.3">
      <c r="A580" s="58" t="s">
        <v>213</v>
      </c>
      <c r="B580" s="4" t="s">
        <v>32</v>
      </c>
      <c r="C580" s="58">
        <v>3</v>
      </c>
      <c r="D580" s="56">
        <v>6.4</v>
      </c>
      <c r="E580" s="51">
        <v>7</v>
      </c>
      <c r="F580" s="4" t="s">
        <v>83</v>
      </c>
      <c r="G580" s="4" t="s">
        <v>135</v>
      </c>
      <c r="H580" s="48">
        <f>IF(G580&gt;0,VLOOKUP(G580,Apoio!$A$2:$B$25,2,0),"")</f>
        <v>3</v>
      </c>
      <c r="I580" s="44">
        <f t="shared" si="76"/>
        <v>9.84375</v>
      </c>
      <c r="J580" s="98">
        <f t="shared" si="80"/>
        <v>3.2484375000000001</v>
      </c>
      <c r="K580" s="103"/>
      <c r="L580" s="103"/>
      <c r="M580" s="103"/>
      <c r="N580" s="10"/>
    </row>
    <row r="581" spans="1:14" x14ac:dyDescent="0.3">
      <c r="A581" s="58" t="s">
        <v>213</v>
      </c>
      <c r="B581" s="4" t="s">
        <v>32</v>
      </c>
      <c r="C581" s="108">
        <v>3</v>
      </c>
      <c r="D581" s="51">
        <v>6.4</v>
      </c>
      <c r="E581" s="51">
        <v>7</v>
      </c>
      <c r="F581" s="4" t="s">
        <v>90</v>
      </c>
      <c r="G581" s="4" t="s">
        <v>138</v>
      </c>
      <c r="H581" s="48">
        <f>IF(G581&gt;0,VLOOKUP(G581,Apoio!$A$2:$B$25,2,0),"")</f>
        <v>8</v>
      </c>
      <c r="I581" s="44">
        <f t="shared" si="76"/>
        <v>26.25</v>
      </c>
      <c r="J581" s="98">
        <f t="shared" si="80"/>
        <v>8.6624999999999996</v>
      </c>
      <c r="K581" s="406">
        <f t="shared" ref="K581:K586" si="81">I581-J581</f>
        <v>17.587499999999999</v>
      </c>
      <c r="L581" s="103"/>
      <c r="M581" s="103"/>
      <c r="N581" s="10"/>
    </row>
    <row r="582" spans="1:14" x14ac:dyDescent="0.3">
      <c r="A582" s="58" t="s">
        <v>213</v>
      </c>
      <c r="B582" s="4" t="s">
        <v>32</v>
      </c>
      <c r="C582" s="108">
        <v>3</v>
      </c>
      <c r="D582" s="51">
        <v>6.4</v>
      </c>
      <c r="E582" s="51">
        <v>7</v>
      </c>
      <c r="F582" s="4" t="s">
        <v>90</v>
      </c>
      <c r="G582" s="4" t="s">
        <v>141</v>
      </c>
      <c r="H582" s="48">
        <f>IF(G582&gt;0,VLOOKUP(G582,Apoio!$A$2:$B$25,2,0),"")</f>
        <v>7</v>
      </c>
      <c r="I582" s="44">
        <f t="shared" si="76"/>
        <v>22.96875</v>
      </c>
      <c r="J582" s="98">
        <f t="shared" si="80"/>
        <v>7.5796875000000004</v>
      </c>
      <c r="K582" s="406">
        <f t="shared" si="81"/>
        <v>15.3890625</v>
      </c>
      <c r="L582" s="103"/>
      <c r="M582" s="103"/>
      <c r="N582" s="10"/>
    </row>
    <row r="583" spans="1:14" x14ac:dyDescent="0.3">
      <c r="A583" s="58" t="s">
        <v>213</v>
      </c>
      <c r="B583" s="4" t="s">
        <v>32</v>
      </c>
      <c r="C583" s="108">
        <v>3</v>
      </c>
      <c r="D583" s="51">
        <v>6.4</v>
      </c>
      <c r="E583" s="51">
        <v>7</v>
      </c>
      <c r="F583" s="4" t="s">
        <v>90</v>
      </c>
      <c r="G583" s="4" t="s">
        <v>144</v>
      </c>
      <c r="H583" s="48">
        <f>IF(G583&gt;0,VLOOKUP(G583,Apoio!$A$2:$B$25,2,0),"")</f>
        <v>7</v>
      </c>
      <c r="I583" s="44">
        <f t="shared" si="76"/>
        <v>22.96875</v>
      </c>
      <c r="J583" s="98">
        <f t="shared" si="80"/>
        <v>7.5796875000000004</v>
      </c>
      <c r="K583" s="406">
        <f t="shared" si="81"/>
        <v>15.3890625</v>
      </c>
      <c r="L583" s="103"/>
      <c r="M583" s="103"/>
      <c r="N583" s="10"/>
    </row>
    <row r="584" spans="1:14" x14ac:dyDescent="0.3">
      <c r="A584" s="58" t="s">
        <v>213</v>
      </c>
      <c r="B584" s="4" t="s">
        <v>32</v>
      </c>
      <c r="C584" s="108">
        <v>3</v>
      </c>
      <c r="D584" s="51">
        <v>6.4</v>
      </c>
      <c r="E584" s="51">
        <v>7</v>
      </c>
      <c r="F584" s="4" t="s">
        <v>90</v>
      </c>
      <c r="G584" s="4" t="s">
        <v>147</v>
      </c>
      <c r="H584" s="48">
        <f>IF(G584&gt;0,VLOOKUP(G584,Apoio!$A$2:$B$25,2,0),"")</f>
        <v>7</v>
      </c>
      <c r="I584" s="44">
        <f t="shared" si="76"/>
        <v>22.96875</v>
      </c>
      <c r="J584" s="98">
        <f t="shared" si="80"/>
        <v>7.5796875000000004</v>
      </c>
      <c r="K584" s="406">
        <f t="shared" si="81"/>
        <v>15.3890625</v>
      </c>
      <c r="L584" s="103"/>
      <c r="M584" s="103"/>
      <c r="N584" s="10"/>
    </row>
    <row r="585" spans="1:14" x14ac:dyDescent="0.3">
      <c r="A585" s="58" t="s">
        <v>213</v>
      </c>
      <c r="B585" s="4" t="s">
        <v>32</v>
      </c>
      <c r="C585" s="108">
        <v>3</v>
      </c>
      <c r="D585" s="51">
        <v>6.4</v>
      </c>
      <c r="E585" s="51">
        <v>7</v>
      </c>
      <c r="F585" s="4" t="s">
        <v>90</v>
      </c>
      <c r="G585" s="4" t="s">
        <v>150</v>
      </c>
      <c r="H585" s="48">
        <f>IF(G585&gt;0,VLOOKUP(G585,Apoio!$A$2:$B$25,2,0),"")</f>
        <v>8</v>
      </c>
      <c r="I585" s="44">
        <f t="shared" ref="I585" si="82">IF(D585&gt;0,(((H585*E585)*C585)/D585),"")</f>
        <v>26.25</v>
      </c>
      <c r="J585" s="98">
        <f t="shared" ref="J585" si="83">I585*33%</f>
        <v>8.6624999999999996</v>
      </c>
      <c r="K585" s="406">
        <f t="shared" si="81"/>
        <v>17.587499999999999</v>
      </c>
      <c r="L585" s="103"/>
      <c r="M585" s="103"/>
      <c r="N585" s="10"/>
    </row>
    <row r="586" spans="1:14" x14ac:dyDescent="0.3">
      <c r="A586" s="58" t="s">
        <v>213</v>
      </c>
      <c r="B586" s="4" t="s">
        <v>32</v>
      </c>
      <c r="C586" s="108">
        <v>3</v>
      </c>
      <c r="D586" s="51">
        <v>6.4</v>
      </c>
      <c r="E586" s="51">
        <v>7</v>
      </c>
      <c r="F586" s="4" t="s">
        <v>90</v>
      </c>
      <c r="G586" s="4" t="s">
        <v>153</v>
      </c>
      <c r="H586" s="48">
        <f>IF(G586&gt;0,VLOOKUP(G586,Apoio!$A$2:$B$25,2,0),"")</f>
        <v>8</v>
      </c>
      <c r="I586" s="44">
        <f t="shared" si="76"/>
        <v>26.25</v>
      </c>
      <c r="J586" s="98">
        <v>6</v>
      </c>
      <c r="K586" s="406">
        <f t="shared" si="81"/>
        <v>20.25</v>
      </c>
      <c r="L586" s="103"/>
      <c r="M586" s="103"/>
      <c r="N586" s="10"/>
    </row>
    <row r="587" spans="1:14" x14ac:dyDescent="0.3">
      <c r="A587" s="58" t="s">
        <v>213</v>
      </c>
      <c r="B587" s="58" t="s">
        <v>33</v>
      </c>
      <c r="C587" s="58">
        <v>3</v>
      </c>
      <c r="D587" s="114">
        <v>4.8</v>
      </c>
      <c r="E587" s="51">
        <v>7</v>
      </c>
      <c r="F587" s="4" t="s">
        <v>69</v>
      </c>
      <c r="G587" s="4" t="s">
        <v>68</v>
      </c>
      <c r="H587" s="48">
        <f>IF(G587&gt;0,VLOOKUP(G587,Apoio!$A$2:$B$25,2,0),"")</f>
        <v>7</v>
      </c>
      <c r="I587" s="44">
        <f t="shared" si="76"/>
        <v>30.625</v>
      </c>
      <c r="J587" s="98">
        <f t="shared" ref="J587:J608" si="84">I587*22%</f>
        <v>6.7374999999999998</v>
      </c>
      <c r="K587" s="103"/>
      <c r="L587" s="103"/>
      <c r="M587" s="103"/>
      <c r="N587" s="10"/>
    </row>
    <row r="588" spans="1:14" x14ac:dyDescent="0.3">
      <c r="A588" s="58" t="s">
        <v>213</v>
      </c>
      <c r="B588" s="58" t="s">
        <v>33</v>
      </c>
      <c r="C588" s="58">
        <v>3</v>
      </c>
      <c r="D588" s="114">
        <v>4.8</v>
      </c>
      <c r="E588" s="51">
        <v>7</v>
      </c>
      <c r="F588" s="4" t="s">
        <v>69</v>
      </c>
      <c r="G588" s="4" t="s">
        <v>75</v>
      </c>
      <c r="H588" s="48">
        <f>IF(G588&gt;0,VLOOKUP(G588,Apoio!$A$2:$B$25,2,0),"")</f>
        <v>8</v>
      </c>
      <c r="I588" s="44">
        <f t="shared" si="76"/>
        <v>35</v>
      </c>
      <c r="J588" s="98">
        <f t="shared" si="84"/>
        <v>7.7</v>
      </c>
      <c r="K588" s="103"/>
      <c r="L588" s="103"/>
      <c r="M588" s="103"/>
      <c r="N588" s="10"/>
    </row>
    <row r="589" spans="1:14" x14ac:dyDescent="0.3">
      <c r="A589" s="58" t="s">
        <v>213</v>
      </c>
      <c r="B589" s="58" t="s">
        <v>33</v>
      </c>
      <c r="C589" s="58">
        <v>3</v>
      </c>
      <c r="D589" s="114">
        <v>4.8</v>
      </c>
      <c r="E589" s="51">
        <v>7</v>
      </c>
      <c r="F589" s="4" t="s">
        <v>69</v>
      </c>
      <c r="G589" s="4" t="s">
        <v>82</v>
      </c>
      <c r="H589" s="48">
        <f>IF(G589&gt;0,VLOOKUP(G589,Apoio!$A$2:$B$25,2,0),"")</f>
        <v>6</v>
      </c>
      <c r="I589" s="44">
        <f t="shared" si="76"/>
        <v>26.25</v>
      </c>
      <c r="J589" s="98">
        <f t="shared" si="84"/>
        <v>5.7750000000000004</v>
      </c>
      <c r="K589" s="103"/>
      <c r="L589" s="103"/>
      <c r="M589" s="103"/>
      <c r="N589" s="10"/>
    </row>
    <row r="590" spans="1:14" x14ac:dyDescent="0.3">
      <c r="A590" s="58" t="s">
        <v>213</v>
      </c>
      <c r="B590" s="58" t="s">
        <v>33</v>
      </c>
      <c r="C590" s="58">
        <v>3</v>
      </c>
      <c r="D590" s="114">
        <v>4.8</v>
      </c>
      <c r="E590" s="51">
        <v>7</v>
      </c>
      <c r="F590" s="4" t="s">
        <v>69</v>
      </c>
      <c r="G590" s="4" t="s">
        <v>89</v>
      </c>
      <c r="H590" s="48">
        <f>IF(G590&gt;0,VLOOKUP(G590,Apoio!$A$2:$B$25,2,0),"")</f>
        <v>8</v>
      </c>
      <c r="I590" s="44">
        <f t="shared" si="76"/>
        <v>35</v>
      </c>
      <c r="J590" s="98">
        <f t="shared" si="84"/>
        <v>7.7</v>
      </c>
      <c r="K590" s="103"/>
      <c r="L590" s="103"/>
      <c r="M590" s="103"/>
      <c r="N590" s="10"/>
    </row>
    <row r="591" spans="1:14" x14ac:dyDescent="0.3">
      <c r="A591" s="58" t="s">
        <v>213</v>
      </c>
      <c r="B591" s="58" t="s">
        <v>33</v>
      </c>
      <c r="C591" s="58">
        <v>3</v>
      </c>
      <c r="D591" s="114">
        <v>4.8</v>
      </c>
      <c r="E591" s="51">
        <v>7</v>
      </c>
      <c r="F591" s="4" t="s">
        <v>69</v>
      </c>
      <c r="G591" s="4" t="s">
        <v>96</v>
      </c>
      <c r="H591" s="48">
        <f>IF(G591&gt;0,VLOOKUP(G591,Apoio!$A$2:$B$25,2,0),"")</f>
        <v>8</v>
      </c>
      <c r="I591" s="44">
        <f t="shared" si="76"/>
        <v>35</v>
      </c>
      <c r="J591" s="98">
        <f t="shared" si="84"/>
        <v>7.7</v>
      </c>
      <c r="K591" s="103"/>
      <c r="L591" s="103"/>
      <c r="M591" s="103"/>
      <c r="N591" s="10"/>
    </row>
    <row r="592" spans="1:14" x14ac:dyDescent="0.3">
      <c r="A592" s="58" t="s">
        <v>213</v>
      </c>
      <c r="B592" s="58" t="s">
        <v>33</v>
      </c>
      <c r="C592" s="58">
        <v>3</v>
      </c>
      <c r="D592" s="114">
        <v>4.8</v>
      </c>
      <c r="E592" s="51">
        <v>7</v>
      </c>
      <c r="F592" s="4" t="s">
        <v>69</v>
      </c>
      <c r="G592" s="4" t="s">
        <v>99</v>
      </c>
      <c r="H592" s="48">
        <f>IF(G592&gt;0,VLOOKUP(G592,Apoio!$A$2:$B$25,2,0),"")</f>
        <v>2</v>
      </c>
      <c r="I592" s="44">
        <f t="shared" si="76"/>
        <v>8.75</v>
      </c>
      <c r="J592" s="98">
        <f t="shared" si="84"/>
        <v>1.925</v>
      </c>
      <c r="K592" s="103"/>
      <c r="L592" s="103"/>
      <c r="M592" s="103"/>
      <c r="N592" s="10"/>
    </row>
    <row r="593" spans="1:14" x14ac:dyDescent="0.3">
      <c r="A593" s="58" t="s">
        <v>213</v>
      </c>
      <c r="B593" s="58" t="s">
        <v>33</v>
      </c>
      <c r="C593" s="58">
        <v>3</v>
      </c>
      <c r="D593" s="114">
        <v>4.8</v>
      </c>
      <c r="E593" s="51">
        <v>7</v>
      </c>
      <c r="F593" s="4" t="s">
        <v>76</v>
      </c>
      <c r="G593" s="4" t="s">
        <v>102</v>
      </c>
      <c r="H593" s="48">
        <f>IF(G593&gt;0,VLOOKUP(G593,Apoio!$A$2:$B$25,2,0),"")</f>
        <v>5</v>
      </c>
      <c r="I593" s="44">
        <f t="shared" si="76"/>
        <v>21.875</v>
      </c>
      <c r="J593" s="98">
        <f t="shared" si="84"/>
        <v>4.8125</v>
      </c>
      <c r="K593" s="103"/>
      <c r="L593" s="103"/>
      <c r="M593" s="103"/>
      <c r="N593" s="10"/>
    </row>
    <row r="594" spans="1:14" x14ac:dyDescent="0.3">
      <c r="A594" s="58" t="s">
        <v>213</v>
      </c>
      <c r="B594" s="58" t="s">
        <v>33</v>
      </c>
      <c r="C594" s="58">
        <v>3</v>
      </c>
      <c r="D594" s="114">
        <v>4.8</v>
      </c>
      <c r="E594" s="51">
        <v>7</v>
      </c>
      <c r="F594" s="4" t="s">
        <v>76</v>
      </c>
      <c r="G594" s="4" t="s">
        <v>105</v>
      </c>
      <c r="H594" s="48">
        <f>IF(G594&gt;0,VLOOKUP(G594,Apoio!$A$2:$B$25,2,0),"")</f>
        <v>7</v>
      </c>
      <c r="I594" s="44">
        <f t="shared" si="76"/>
        <v>30.625</v>
      </c>
      <c r="J594" s="98">
        <f t="shared" si="84"/>
        <v>6.7374999999999998</v>
      </c>
      <c r="K594" s="103"/>
      <c r="L594" s="103"/>
      <c r="M594" s="103"/>
      <c r="N594" s="10"/>
    </row>
    <row r="595" spans="1:14" x14ac:dyDescent="0.3">
      <c r="A595" s="58" t="s">
        <v>213</v>
      </c>
      <c r="B595" s="58" t="s">
        <v>33</v>
      </c>
      <c r="C595" s="58">
        <v>3</v>
      </c>
      <c r="D595" s="114">
        <v>4.8</v>
      </c>
      <c r="E595" s="51">
        <v>7</v>
      </c>
      <c r="F595" s="4" t="s">
        <v>76</v>
      </c>
      <c r="G595" s="4" t="s">
        <v>108</v>
      </c>
      <c r="H595" s="48">
        <f>IF(G595&gt;0,VLOOKUP(G595,Apoio!$A$2:$B$25,2,0),"")</f>
        <v>8</v>
      </c>
      <c r="I595" s="44">
        <f t="shared" si="76"/>
        <v>35</v>
      </c>
      <c r="J595" s="98">
        <f t="shared" si="84"/>
        <v>7.7</v>
      </c>
      <c r="K595" s="103"/>
      <c r="L595" s="103"/>
      <c r="M595" s="103"/>
      <c r="N595" s="10"/>
    </row>
    <row r="596" spans="1:14" x14ac:dyDescent="0.3">
      <c r="A596" s="58" t="s">
        <v>213</v>
      </c>
      <c r="B596" s="58" t="s">
        <v>33</v>
      </c>
      <c r="C596" s="58">
        <v>3</v>
      </c>
      <c r="D596" s="114">
        <v>4.8</v>
      </c>
      <c r="E596" s="51">
        <v>7</v>
      </c>
      <c r="F596" s="4" t="s">
        <v>76</v>
      </c>
      <c r="G596" s="4" t="s">
        <v>111</v>
      </c>
      <c r="H596" s="48">
        <f>IF(G596&gt;0,VLOOKUP(G596,Apoio!$A$2:$B$25,2,0),"")</f>
        <v>7</v>
      </c>
      <c r="I596" s="44">
        <f t="shared" si="76"/>
        <v>30.625</v>
      </c>
      <c r="J596" s="98">
        <f t="shared" si="84"/>
        <v>6.7374999999999998</v>
      </c>
      <c r="K596" s="103"/>
      <c r="L596" s="103"/>
      <c r="M596" s="103"/>
      <c r="N596" s="10"/>
    </row>
    <row r="597" spans="1:14" x14ac:dyDescent="0.3">
      <c r="A597" s="58" t="s">
        <v>213</v>
      </c>
      <c r="B597" s="58" t="s">
        <v>33</v>
      </c>
      <c r="C597" s="58">
        <v>3</v>
      </c>
      <c r="D597" s="114">
        <v>4.8</v>
      </c>
      <c r="E597" s="51">
        <v>7</v>
      </c>
      <c r="F597" s="4" t="s">
        <v>76</v>
      </c>
      <c r="G597" s="4" t="s">
        <v>114</v>
      </c>
      <c r="H597" s="48">
        <f>IF(G597&gt;0,VLOOKUP(G597,Apoio!$A$2:$B$25,2,0),"")</f>
        <v>8</v>
      </c>
      <c r="I597" s="44">
        <f t="shared" si="76"/>
        <v>35</v>
      </c>
      <c r="J597" s="98">
        <f t="shared" si="84"/>
        <v>7.7</v>
      </c>
      <c r="K597" s="103"/>
      <c r="L597" s="103"/>
      <c r="M597" s="103"/>
      <c r="N597" s="10"/>
    </row>
    <row r="598" spans="1:14" x14ac:dyDescent="0.3">
      <c r="A598" s="58" t="s">
        <v>213</v>
      </c>
      <c r="B598" s="58" t="s">
        <v>33</v>
      </c>
      <c r="C598" s="58">
        <v>3</v>
      </c>
      <c r="D598" s="114">
        <v>4.8</v>
      </c>
      <c r="E598" s="51">
        <v>7</v>
      </c>
      <c r="F598" s="4" t="s">
        <v>76</v>
      </c>
      <c r="G598" s="4" t="s">
        <v>117</v>
      </c>
      <c r="H598" s="48">
        <f>IF(G598&gt;0,VLOOKUP(G598,Apoio!$A$2:$B$25,2,0),"")</f>
        <v>3</v>
      </c>
      <c r="I598" s="44">
        <f t="shared" si="76"/>
        <v>13.125</v>
      </c>
      <c r="J598" s="98">
        <f t="shared" si="84"/>
        <v>2.8875000000000002</v>
      </c>
      <c r="K598" s="103"/>
      <c r="L598" s="103"/>
      <c r="M598" s="103"/>
      <c r="N598" s="10"/>
    </row>
    <row r="599" spans="1:14" x14ac:dyDescent="0.3">
      <c r="A599" s="58" t="s">
        <v>213</v>
      </c>
      <c r="B599" s="58" t="s">
        <v>33</v>
      </c>
      <c r="C599" s="58">
        <v>3</v>
      </c>
      <c r="D599" s="114">
        <v>4.8</v>
      </c>
      <c r="E599" s="51">
        <v>7</v>
      </c>
      <c r="F599" s="4" t="s">
        <v>83</v>
      </c>
      <c r="G599" s="4" t="s">
        <v>120</v>
      </c>
      <c r="H599" s="48">
        <f>IF(G599&gt;0,VLOOKUP(G599,Apoio!$A$2:$B$25,2,0),"")</f>
        <v>7</v>
      </c>
      <c r="I599" s="44">
        <f t="shared" ref="I599" si="85">IF(D599&gt;0,(((H599*E599)*C599)/D599),"")</f>
        <v>30.625</v>
      </c>
      <c r="J599" s="98">
        <f t="shared" ref="J599" si="86">I599*22%</f>
        <v>6.7374999999999998</v>
      </c>
      <c r="K599" s="103"/>
      <c r="L599" s="103"/>
      <c r="M599" s="103"/>
      <c r="N599" s="10"/>
    </row>
    <row r="600" spans="1:14" x14ac:dyDescent="0.3">
      <c r="A600" s="58" t="s">
        <v>213</v>
      </c>
      <c r="B600" s="58" t="s">
        <v>33</v>
      </c>
      <c r="C600" s="58">
        <v>3</v>
      </c>
      <c r="D600" s="114">
        <v>4.8</v>
      </c>
      <c r="E600" s="51">
        <v>7</v>
      </c>
      <c r="F600" s="4" t="s">
        <v>83</v>
      </c>
      <c r="G600" s="4" t="s">
        <v>123</v>
      </c>
      <c r="H600" s="48">
        <f>IF(G600&gt;0,VLOOKUP(G600,Apoio!$A$2:$B$25,2,0),"")</f>
        <v>8</v>
      </c>
      <c r="I600" s="44">
        <f t="shared" si="76"/>
        <v>35</v>
      </c>
      <c r="J600" s="98">
        <f t="shared" si="84"/>
        <v>7.7</v>
      </c>
      <c r="K600" s="103"/>
      <c r="L600" s="103"/>
      <c r="M600" s="103"/>
      <c r="N600" s="10"/>
    </row>
    <row r="601" spans="1:14" x14ac:dyDescent="0.3">
      <c r="A601" s="58" t="s">
        <v>213</v>
      </c>
      <c r="B601" s="58" t="s">
        <v>33</v>
      </c>
      <c r="C601" s="58">
        <v>3</v>
      </c>
      <c r="D601" s="114">
        <v>4.8</v>
      </c>
      <c r="E601" s="51">
        <v>7</v>
      </c>
      <c r="F601" s="4" t="s">
        <v>83</v>
      </c>
      <c r="G601" s="4" t="s">
        <v>126</v>
      </c>
      <c r="H601" s="48">
        <f>IF(G601&gt;0,VLOOKUP(G601,Apoio!$A$2:$B$25,2,0),"")</f>
        <v>8</v>
      </c>
      <c r="I601" s="44">
        <f t="shared" si="76"/>
        <v>35</v>
      </c>
      <c r="J601" s="98">
        <f t="shared" si="84"/>
        <v>7.7</v>
      </c>
      <c r="K601" s="103"/>
      <c r="L601" s="103"/>
      <c r="M601" s="103"/>
      <c r="N601" s="10"/>
    </row>
    <row r="602" spans="1:14" x14ac:dyDescent="0.3">
      <c r="A602" s="58" t="s">
        <v>213</v>
      </c>
      <c r="B602" s="58" t="s">
        <v>33</v>
      </c>
      <c r="C602" s="58">
        <v>3</v>
      </c>
      <c r="D602" s="114">
        <v>4.8</v>
      </c>
      <c r="E602" s="51">
        <v>7</v>
      </c>
      <c r="F602" s="4" t="s">
        <v>83</v>
      </c>
      <c r="G602" s="4" t="s">
        <v>129</v>
      </c>
      <c r="H602" s="48">
        <f>IF(G602&gt;0,VLOOKUP(G602,Apoio!$A$2:$B$25,2,0),"")</f>
        <v>8</v>
      </c>
      <c r="I602" s="44">
        <f t="shared" si="76"/>
        <v>35</v>
      </c>
      <c r="J602" s="98">
        <f t="shared" si="84"/>
        <v>7.7</v>
      </c>
      <c r="K602" s="103"/>
      <c r="L602" s="103"/>
      <c r="M602" s="103"/>
      <c r="N602" s="10"/>
    </row>
    <row r="603" spans="1:14" x14ac:dyDescent="0.3">
      <c r="A603" s="58" t="s">
        <v>213</v>
      </c>
      <c r="B603" s="58" t="s">
        <v>33</v>
      </c>
      <c r="C603" s="58">
        <v>3</v>
      </c>
      <c r="D603" s="114">
        <v>4.8</v>
      </c>
      <c r="E603" s="51">
        <v>7</v>
      </c>
      <c r="F603" s="4" t="s">
        <v>83</v>
      </c>
      <c r="G603" s="4" t="s">
        <v>132</v>
      </c>
      <c r="H603" s="48">
        <f>IF(G603&gt;0,VLOOKUP(G603,Apoio!$A$2:$B$25,2,0),"")</f>
        <v>7</v>
      </c>
      <c r="I603" s="44">
        <f t="shared" si="76"/>
        <v>30.625</v>
      </c>
      <c r="J603" s="98">
        <f t="shared" si="84"/>
        <v>6.7374999999999998</v>
      </c>
      <c r="K603" s="103"/>
      <c r="L603" s="103"/>
      <c r="M603" s="103"/>
      <c r="N603" s="10"/>
    </row>
    <row r="604" spans="1:14" x14ac:dyDescent="0.3">
      <c r="A604" s="58" t="s">
        <v>213</v>
      </c>
      <c r="B604" s="58" t="s">
        <v>33</v>
      </c>
      <c r="C604" s="58">
        <v>3</v>
      </c>
      <c r="D604" s="114">
        <v>4.8</v>
      </c>
      <c r="E604" s="51">
        <v>7</v>
      </c>
      <c r="F604" s="4" t="s">
        <v>83</v>
      </c>
      <c r="G604" s="4" t="s">
        <v>135</v>
      </c>
      <c r="H604" s="48">
        <f>IF(G604&gt;0,VLOOKUP(G604,Apoio!$A$2:$B$25,2,0),"")</f>
        <v>3</v>
      </c>
      <c r="I604" s="44">
        <f t="shared" si="76"/>
        <v>13.125</v>
      </c>
      <c r="J604" s="98">
        <f t="shared" si="84"/>
        <v>2.8875000000000002</v>
      </c>
      <c r="K604" s="103"/>
      <c r="L604" s="103"/>
      <c r="M604" s="103"/>
      <c r="N604" s="10"/>
    </row>
    <row r="605" spans="1:14" x14ac:dyDescent="0.3">
      <c r="A605" s="58" t="s">
        <v>213</v>
      </c>
      <c r="B605" s="58" t="s">
        <v>33</v>
      </c>
      <c r="C605" s="108">
        <v>3</v>
      </c>
      <c r="D605" s="108">
        <v>4.8</v>
      </c>
      <c r="E605" s="51">
        <v>7</v>
      </c>
      <c r="F605" s="4" t="s">
        <v>90</v>
      </c>
      <c r="G605" s="4" t="s">
        <v>138</v>
      </c>
      <c r="H605" s="48">
        <f>IF(G605&gt;0,VLOOKUP(G605,Apoio!$A$2:$B$25,2,0),"")</f>
        <v>8</v>
      </c>
      <c r="I605" s="44">
        <f t="shared" ref="I605:I694" si="87">IF(D605&gt;0,(((H605*E605)*C605)/D605),"")</f>
        <v>35</v>
      </c>
      <c r="J605" s="98">
        <f t="shared" si="84"/>
        <v>7.7</v>
      </c>
      <c r="K605" s="406">
        <f t="shared" ref="K605:K610" si="88">I605-J605</f>
        <v>27.3</v>
      </c>
      <c r="L605" s="103"/>
      <c r="M605" s="103"/>
      <c r="N605" s="10"/>
    </row>
    <row r="606" spans="1:14" x14ac:dyDescent="0.3">
      <c r="A606" s="58" t="s">
        <v>213</v>
      </c>
      <c r="B606" s="58" t="s">
        <v>33</v>
      </c>
      <c r="C606" s="108">
        <v>3</v>
      </c>
      <c r="D606" s="108">
        <v>4.8</v>
      </c>
      <c r="E606" s="51">
        <v>7</v>
      </c>
      <c r="F606" s="4" t="s">
        <v>90</v>
      </c>
      <c r="G606" s="4" t="s">
        <v>141</v>
      </c>
      <c r="H606" s="48">
        <f>IF(G606&gt;0,VLOOKUP(G606,Apoio!$A$2:$B$25,2,0),"")</f>
        <v>7</v>
      </c>
      <c r="I606" s="44">
        <f t="shared" si="87"/>
        <v>30.625</v>
      </c>
      <c r="J606" s="98">
        <f t="shared" si="84"/>
        <v>6.7374999999999998</v>
      </c>
      <c r="K606" s="406">
        <f t="shared" si="88"/>
        <v>23.887499999999999</v>
      </c>
      <c r="L606" s="103"/>
      <c r="M606" s="103"/>
      <c r="N606" s="10"/>
    </row>
    <row r="607" spans="1:14" x14ac:dyDescent="0.3">
      <c r="A607" s="58" t="s">
        <v>213</v>
      </c>
      <c r="B607" s="58" t="s">
        <v>33</v>
      </c>
      <c r="C607" s="108">
        <v>3</v>
      </c>
      <c r="D607" s="108">
        <v>4.8</v>
      </c>
      <c r="E607" s="51">
        <v>7</v>
      </c>
      <c r="F607" s="4" t="s">
        <v>90</v>
      </c>
      <c r="G607" s="4" t="s">
        <v>144</v>
      </c>
      <c r="H607" s="48">
        <f>IF(G607&gt;0,VLOOKUP(G607,Apoio!$A$2:$B$25,2,0),"")</f>
        <v>7</v>
      </c>
      <c r="I607" s="44">
        <f t="shared" si="87"/>
        <v>30.625</v>
      </c>
      <c r="J607" s="98">
        <f t="shared" si="84"/>
        <v>6.7374999999999998</v>
      </c>
      <c r="K607" s="406">
        <f t="shared" si="88"/>
        <v>23.887499999999999</v>
      </c>
      <c r="L607" s="103"/>
      <c r="M607" s="103"/>
      <c r="N607" s="10"/>
    </row>
    <row r="608" spans="1:14" x14ac:dyDescent="0.3">
      <c r="A608" s="58" t="s">
        <v>213</v>
      </c>
      <c r="B608" s="58" t="s">
        <v>33</v>
      </c>
      <c r="C608" s="108">
        <v>3</v>
      </c>
      <c r="D608" s="108">
        <v>4.8</v>
      </c>
      <c r="E608" s="51">
        <v>7</v>
      </c>
      <c r="F608" s="4" t="s">
        <v>90</v>
      </c>
      <c r="G608" s="4" t="s">
        <v>147</v>
      </c>
      <c r="H608" s="48">
        <f>IF(G608&gt;0,VLOOKUP(G608,Apoio!$A$2:$B$25,2,0),"")</f>
        <v>7</v>
      </c>
      <c r="I608" s="44">
        <f t="shared" si="87"/>
        <v>30.625</v>
      </c>
      <c r="J608" s="98">
        <f t="shared" si="84"/>
        <v>6.7374999999999998</v>
      </c>
      <c r="K608" s="406">
        <f t="shared" si="88"/>
        <v>23.887499999999999</v>
      </c>
      <c r="L608" s="103"/>
      <c r="M608" s="103"/>
      <c r="N608" s="10"/>
    </row>
    <row r="609" spans="1:14" x14ac:dyDescent="0.3">
      <c r="A609" s="58" t="s">
        <v>213</v>
      </c>
      <c r="B609" s="58" t="s">
        <v>33</v>
      </c>
      <c r="C609" s="108">
        <v>3</v>
      </c>
      <c r="D609" s="108">
        <v>4.8</v>
      </c>
      <c r="E609" s="51">
        <v>7</v>
      </c>
      <c r="F609" s="4" t="s">
        <v>90</v>
      </c>
      <c r="G609" s="4" t="s">
        <v>150</v>
      </c>
      <c r="H609" s="48">
        <f>IF(G609&gt;0,VLOOKUP(G609,Apoio!$A$2:$B$25,2,0),"")</f>
        <v>8</v>
      </c>
      <c r="I609" s="44">
        <f t="shared" si="87"/>
        <v>35</v>
      </c>
      <c r="J609" s="98">
        <v>12</v>
      </c>
      <c r="K609" s="406">
        <f t="shared" si="88"/>
        <v>23</v>
      </c>
      <c r="L609" s="103"/>
      <c r="M609" s="103"/>
      <c r="N609" s="10"/>
    </row>
    <row r="610" spans="1:14" x14ac:dyDescent="0.3">
      <c r="A610" s="58" t="s">
        <v>213</v>
      </c>
      <c r="B610" s="58" t="s">
        <v>33</v>
      </c>
      <c r="C610" s="108">
        <v>3</v>
      </c>
      <c r="D610" s="108">
        <v>4.8</v>
      </c>
      <c r="E610" s="51">
        <v>7</v>
      </c>
      <c r="F610" s="4" t="s">
        <v>90</v>
      </c>
      <c r="G610" s="4" t="s">
        <v>153</v>
      </c>
      <c r="H610" s="48">
        <f>IF(G610&gt;0,VLOOKUP(G610,Apoio!$A$2:$B$25,2,0),"")</f>
        <v>8</v>
      </c>
      <c r="I610" s="44">
        <f t="shared" si="87"/>
        <v>35</v>
      </c>
      <c r="J610" s="98">
        <v>11</v>
      </c>
      <c r="K610" s="406">
        <f t="shared" si="88"/>
        <v>24</v>
      </c>
      <c r="L610" s="103"/>
      <c r="M610" s="103"/>
      <c r="N610" s="10"/>
    </row>
    <row r="611" spans="1:14" x14ac:dyDescent="0.3">
      <c r="A611" s="58" t="s">
        <v>213</v>
      </c>
      <c r="B611" s="58" t="s">
        <v>35</v>
      </c>
      <c r="C611" s="58">
        <v>2</v>
      </c>
      <c r="D611" s="114">
        <v>4.5</v>
      </c>
      <c r="E611" s="51">
        <v>7</v>
      </c>
      <c r="F611" s="4" t="s">
        <v>69</v>
      </c>
      <c r="G611" s="4" t="s">
        <v>68</v>
      </c>
      <c r="H611" s="48">
        <f>IF(G611&gt;0,VLOOKUP(G611,Apoio!$A$2:$B$25,2,0),"")</f>
        <v>7</v>
      </c>
      <c r="I611" s="44">
        <f t="shared" si="87"/>
        <v>21.777777777777779</v>
      </c>
      <c r="J611" s="98">
        <f t="shared" ref="J611:J633" si="89">I611*56%</f>
        <v>12.195555555555558</v>
      </c>
      <c r="K611" s="103"/>
      <c r="L611" s="103"/>
      <c r="M611" s="103"/>
      <c r="N611" s="10"/>
    </row>
    <row r="612" spans="1:14" x14ac:dyDescent="0.3">
      <c r="A612" s="58" t="s">
        <v>213</v>
      </c>
      <c r="B612" s="58" t="s">
        <v>35</v>
      </c>
      <c r="C612" s="58">
        <v>2</v>
      </c>
      <c r="D612" s="114">
        <v>4.5</v>
      </c>
      <c r="E612" s="51">
        <v>7</v>
      </c>
      <c r="F612" s="4" t="s">
        <v>69</v>
      </c>
      <c r="G612" s="4" t="s">
        <v>75</v>
      </c>
      <c r="H612" s="48">
        <f>IF(G612&gt;0,VLOOKUP(G612,Apoio!$A$2:$B$25,2,0),"")</f>
        <v>8</v>
      </c>
      <c r="I612" s="44">
        <f t="shared" si="87"/>
        <v>24.888888888888889</v>
      </c>
      <c r="J612" s="98">
        <f t="shared" si="89"/>
        <v>13.937777777777779</v>
      </c>
      <c r="K612" s="103"/>
      <c r="L612" s="103"/>
      <c r="M612" s="103"/>
      <c r="N612" s="10"/>
    </row>
    <row r="613" spans="1:14" x14ac:dyDescent="0.3">
      <c r="A613" s="58" t="s">
        <v>213</v>
      </c>
      <c r="B613" s="58" t="s">
        <v>35</v>
      </c>
      <c r="C613" s="58">
        <v>2</v>
      </c>
      <c r="D613" s="114">
        <v>4.5</v>
      </c>
      <c r="E613" s="51">
        <v>7</v>
      </c>
      <c r="F613" s="4" t="s">
        <v>69</v>
      </c>
      <c r="G613" s="4" t="s">
        <v>82</v>
      </c>
      <c r="H613" s="48">
        <f>IF(G613&gt;0,VLOOKUP(G613,Apoio!$A$2:$B$25,2,0),"")</f>
        <v>6</v>
      </c>
      <c r="I613" s="44">
        <f t="shared" si="87"/>
        <v>18.666666666666668</v>
      </c>
      <c r="J613" s="98">
        <f t="shared" si="89"/>
        <v>10.453333333333335</v>
      </c>
      <c r="K613" s="103"/>
      <c r="L613" s="103"/>
      <c r="M613" s="103"/>
      <c r="N613" s="10"/>
    </row>
    <row r="614" spans="1:14" x14ac:dyDescent="0.3">
      <c r="A614" s="58" t="s">
        <v>213</v>
      </c>
      <c r="B614" s="58" t="s">
        <v>35</v>
      </c>
      <c r="C614" s="58">
        <v>2</v>
      </c>
      <c r="D614" s="114">
        <v>4.5</v>
      </c>
      <c r="E614" s="51">
        <v>7</v>
      </c>
      <c r="F614" s="4" t="s">
        <v>69</v>
      </c>
      <c r="G614" s="4" t="s">
        <v>89</v>
      </c>
      <c r="H614" s="48">
        <f>IF(G614&gt;0,VLOOKUP(G614,Apoio!$A$2:$B$25,2,0),"")</f>
        <v>8</v>
      </c>
      <c r="I614" s="44">
        <f t="shared" si="87"/>
        <v>24.888888888888889</v>
      </c>
      <c r="J614" s="98">
        <f t="shared" si="89"/>
        <v>13.937777777777779</v>
      </c>
      <c r="K614" s="103"/>
      <c r="L614" s="103"/>
      <c r="M614" s="103"/>
      <c r="N614" s="10"/>
    </row>
    <row r="615" spans="1:14" x14ac:dyDescent="0.3">
      <c r="A615" s="58" t="s">
        <v>213</v>
      </c>
      <c r="B615" s="58" t="s">
        <v>35</v>
      </c>
      <c r="C615" s="58">
        <v>2</v>
      </c>
      <c r="D615" s="114">
        <v>4.5</v>
      </c>
      <c r="E615" s="51">
        <v>7</v>
      </c>
      <c r="F615" s="4" t="s">
        <v>69</v>
      </c>
      <c r="G615" s="4" t="s">
        <v>96</v>
      </c>
      <c r="H615" s="48">
        <f>IF(G615&gt;0,VLOOKUP(G615,Apoio!$A$2:$B$25,2,0),"")</f>
        <v>8</v>
      </c>
      <c r="I615" s="44">
        <f t="shared" si="87"/>
        <v>24.888888888888889</v>
      </c>
      <c r="J615" s="98">
        <f t="shared" si="89"/>
        <v>13.937777777777779</v>
      </c>
      <c r="K615" s="103"/>
      <c r="L615" s="103"/>
      <c r="M615" s="103"/>
      <c r="N615" s="10"/>
    </row>
    <row r="616" spans="1:14" x14ac:dyDescent="0.3">
      <c r="A616" s="58" t="s">
        <v>213</v>
      </c>
      <c r="B616" s="58" t="s">
        <v>35</v>
      </c>
      <c r="C616" s="58">
        <v>2</v>
      </c>
      <c r="D616" s="114">
        <v>4.5</v>
      </c>
      <c r="E616" s="51">
        <v>7</v>
      </c>
      <c r="F616" s="4" t="s">
        <v>69</v>
      </c>
      <c r="G616" s="4" t="s">
        <v>99</v>
      </c>
      <c r="H616" s="48">
        <f>IF(G616&gt;0,VLOOKUP(G616,Apoio!$A$2:$B$25,2,0),"")</f>
        <v>2</v>
      </c>
      <c r="I616" s="44">
        <f t="shared" si="87"/>
        <v>6.2222222222222223</v>
      </c>
      <c r="J616" s="98">
        <f t="shared" si="89"/>
        <v>3.4844444444444447</v>
      </c>
      <c r="K616" s="103"/>
      <c r="L616" s="103"/>
      <c r="M616" s="103"/>
      <c r="N616" s="10"/>
    </row>
    <row r="617" spans="1:14" x14ac:dyDescent="0.3">
      <c r="A617" s="58" t="s">
        <v>213</v>
      </c>
      <c r="B617" s="58" t="s">
        <v>35</v>
      </c>
      <c r="C617" s="58">
        <v>2</v>
      </c>
      <c r="D617" s="114">
        <v>4.5</v>
      </c>
      <c r="E617" s="51">
        <v>7</v>
      </c>
      <c r="F617" s="4" t="s">
        <v>76</v>
      </c>
      <c r="G617" s="4" t="s">
        <v>102</v>
      </c>
      <c r="H617" s="48">
        <f>IF(G617&gt;0,VLOOKUP(G617,Apoio!$A$2:$B$25,2,0),"")</f>
        <v>5</v>
      </c>
      <c r="I617" s="44">
        <f t="shared" si="87"/>
        <v>15.555555555555555</v>
      </c>
      <c r="J617" s="98">
        <f t="shared" si="89"/>
        <v>8.7111111111111121</v>
      </c>
      <c r="K617" s="103"/>
      <c r="L617" s="103"/>
      <c r="M617" s="103"/>
      <c r="N617" s="10"/>
    </row>
    <row r="618" spans="1:14" x14ac:dyDescent="0.3">
      <c r="A618" s="58" t="s">
        <v>213</v>
      </c>
      <c r="B618" s="58" t="s">
        <v>35</v>
      </c>
      <c r="C618" s="58">
        <v>2</v>
      </c>
      <c r="D618" s="114">
        <v>4.5</v>
      </c>
      <c r="E618" s="51">
        <v>7</v>
      </c>
      <c r="F618" s="4" t="s">
        <v>76</v>
      </c>
      <c r="G618" s="4" t="s">
        <v>105</v>
      </c>
      <c r="H618" s="48">
        <f>IF(G618&gt;0,VLOOKUP(G618,Apoio!$A$2:$B$25,2,0),"")</f>
        <v>7</v>
      </c>
      <c r="I618" s="44">
        <f t="shared" si="87"/>
        <v>21.777777777777779</v>
      </c>
      <c r="J618" s="98">
        <f t="shared" si="89"/>
        <v>12.195555555555558</v>
      </c>
      <c r="K618" s="103"/>
      <c r="L618" s="103"/>
      <c r="M618" s="103"/>
      <c r="N618" s="10"/>
    </row>
    <row r="619" spans="1:14" x14ac:dyDescent="0.3">
      <c r="A619" s="58" t="s">
        <v>213</v>
      </c>
      <c r="B619" s="58" t="s">
        <v>35</v>
      </c>
      <c r="C619" s="58">
        <v>2</v>
      </c>
      <c r="D619" s="114">
        <v>4.5</v>
      </c>
      <c r="E619" s="51">
        <v>7</v>
      </c>
      <c r="F619" s="4" t="s">
        <v>76</v>
      </c>
      <c r="G619" s="4" t="s">
        <v>108</v>
      </c>
      <c r="H619" s="48">
        <f>IF(G619&gt;0,VLOOKUP(G619,Apoio!$A$2:$B$25,2,0),"")</f>
        <v>8</v>
      </c>
      <c r="I619" s="44">
        <f t="shared" si="87"/>
        <v>24.888888888888889</v>
      </c>
      <c r="J619" s="98">
        <f t="shared" si="89"/>
        <v>13.937777777777779</v>
      </c>
      <c r="K619" s="103"/>
      <c r="L619" s="103"/>
      <c r="M619" s="103"/>
      <c r="N619" s="10"/>
    </row>
    <row r="620" spans="1:14" x14ac:dyDescent="0.3">
      <c r="A620" s="58" t="s">
        <v>213</v>
      </c>
      <c r="B620" s="58" t="s">
        <v>35</v>
      </c>
      <c r="C620" s="58">
        <v>2</v>
      </c>
      <c r="D620" s="114">
        <v>4.5</v>
      </c>
      <c r="E620" s="51">
        <v>7</v>
      </c>
      <c r="F620" s="4" t="s">
        <v>76</v>
      </c>
      <c r="G620" s="4" t="s">
        <v>111</v>
      </c>
      <c r="H620" s="48">
        <f>IF(G620&gt;0,VLOOKUP(G620,Apoio!$A$2:$B$25,2,0),"")</f>
        <v>7</v>
      </c>
      <c r="I620" s="44">
        <f t="shared" si="87"/>
        <v>21.777777777777779</v>
      </c>
      <c r="J620" s="98">
        <f t="shared" si="89"/>
        <v>12.195555555555558</v>
      </c>
      <c r="K620" s="103"/>
      <c r="L620" s="103"/>
      <c r="M620" s="103"/>
      <c r="N620" s="10"/>
    </row>
    <row r="621" spans="1:14" x14ac:dyDescent="0.3">
      <c r="A621" s="58" t="s">
        <v>213</v>
      </c>
      <c r="B621" s="58" t="s">
        <v>35</v>
      </c>
      <c r="C621" s="58">
        <v>2</v>
      </c>
      <c r="D621" s="114">
        <v>4.5</v>
      </c>
      <c r="E621" s="51">
        <v>7</v>
      </c>
      <c r="F621" s="4" t="s">
        <v>76</v>
      </c>
      <c r="G621" s="4" t="s">
        <v>114</v>
      </c>
      <c r="H621" s="48">
        <f>IF(G621&gt;0,VLOOKUP(G621,Apoio!$A$2:$B$25,2,0),"")</f>
        <v>8</v>
      </c>
      <c r="I621" s="44">
        <f t="shared" si="87"/>
        <v>24.888888888888889</v>
      </c>
      <c r="J621" s="98">
        <f t="shared" si="89"/>
        <v>13.937777777777779</v>
      </c>
      <c r="K621" s="103"/>
      <c r="L621" s="103"/>
      <c r="M621" s="103"/>
      <c r="N621" s="10"/>
    </row>
    <row r="622" spans="1:14" x14ac:dyDescent="0.3">
      <c r="A622" s="58" t="s">
        <v>213</v>
      </c>
      <c r="B622" s="58" t="s">
        <v>35</v>
      </c>
      <c r="C622" s="58">
        <v>2</v>
      </c>
      <c r="D622" s="114">
        <v>4.5</v>
      </c>
      <c r="E622" s="51">
        <v>7</v>
      </c>
      <c r="F622" s="4" t="s">
        <v>76</v>
      </c>
      <c r="G622" s="4" t="s">
        <v>117</v>
      </c>
      <c r="H622" s="48">
        <f>IF(G622&gt;0,VLOOKUP(G622,Apoio!$A$2:$B$25,2,0),"")</f>
        <v>3</v>
      </c>
      <c r="I622" s="44">
        <f t="shared" si="87"/>
        <v>9.3333333333333339</v>
      </c>
      <c r="J622" s="98">
        <f t="shared" si="89"/>
        <v>5.2266666666666675</v>
      </c>
      <c r="K622" s="103"/>
      <c r="L622" s="103"/>
      <c r="M622" s="103"/>
      <c r="N622" s="10"/>
    </row>
    <row r="623" spans="1:14" x14ac:dyDescent="0.3">
      <c r="A623" s="58" t="s">
        <v>213</v>
      </c>
      <c r="B623" s="58" t="s">
        <v>35</v>
      </c>
      <c r="C623" s="58">
        <v>2</v>
      </c>
      <c r="D623" s="114">
        <v>4.5</v>
      </c>
      <c r="E623" s="51">
        <v>7</v>
      </c>
      <c r="F623" s="4" t="s">
        <v>83</v>
      </c>
      <c r="G623" s="4" t="s">
        <v>120</v>
      </c>
      <c r="H623" s="48">
        <f>IF(G623&gt;0,VLOOKUP(G623,Apoio!$A$2:$B$25,2,0),"")</f>
        <v>7</v>
      </c>
      <c r="I623" s="44">
        <f t="shared" si="87"/>
        <v>21.777777777777779</v>
      </c>
      <c r="J623" s="98">
        <f t="shared" si="89"/>
        <v>12.195555555555558</v>
      </c>
      <c r="K623" s="103"/>
      <c r="L623" s="103"/>
      <c r="M623" s="103"/>
      <c r="N623" s="10"/>
    </row>
    <row r="624" spans="1:14" x14ac:dyDescent="0.3">
      <c r="A624" s="58" t="s">
        <v>213</v>
      </c>
      <c r="B624" s="58" t="s">
        <v>35</v>
      </c>
      <c r="C624" s="58">
        <v>2</v>
      </c>
      <c r="D624" s="114">
        <v>4.5</v>
      </c>
      <c r="E624" s="51">
        <v>7</v>
      </c>
      <c r="F624" s="4" t="s">
        <v>83</v>
      </c>
      <c r="G624" s="4" t="s">
        <v>123</v>
      </c>
      <c r="H624" s="48">
        <f>IF(G624&gt;0,VLOOKUP(G624,Apoio!$A$2:$B$25,2,0),"")</f>
        <v>8</v>
      </c>
      <c r="I624" s="44">
        <f t="shared" si="87"/>
        <v>24.888888888888889</v>
      </c>
      <c r="J624" s="98">
        <f t="shared" si="89"/>
        <v>13.937777777777779</v>
      </c>
      <c r="K624" s="103"/>
      <c r="L624" s="103"/>
      <c r="M624" s="103"/>
      <c r="N624" s="10"/>
    </row>
    <row r="625" spans="1:14" x14ac:dyDescent="0.3">
      <c r="A625" s="58" t="s">
        <v>213</v>
      </c>
      <c r="B625" s="58" t="s">
        <v>35</v>
      </c>
      <c r="C625" s="58">
        <v>2</v>
      </c>
      <c r="D625" s="114">
        <v>4.5</v>
      </c>
      <c r="E625" s="51">
        <v>7</v>
      </c>
      <c r="F625" s="4" t="s">
        <v>83</v>
      </c>
      <c r="G625" s="4" t="s">
        <v>126</v>
      </c>
      <c r="H625" s="48">
        <f>IF(G625&gt;0,VLOOKUP(G625,Apoio!$A$2:$B$25,2,0),"")</f>
        <v>8</v>
      </c>
      <c r="I625" s="44">
        <f t="shared" si="87"/>
        <v>24.888888888888889</v>
      </c>
      <c r="J625" s="98">
        <f t="shared" si="89"/>
        <v>13.937777777777779</v>
      </c>
      <c r="K625" s="103"/>
      <c r="L625" s="103"/>
      <c r="M625" s="103"/>
      <c r="N625" s="10"/>
    </row>
    <row r="626" spans="1:14" x14ac:dyDescent="0.3">
      <c r="A626" s="58" t="s">
        <v>213</v>
      </c>
      <c r="B626" s="58" t="s">
        <v>35</v>
      </c>
      <c r="C626" s="58">
        <v>2</v>
      </c>
      <c r="D626" s="114">
        <v>4.5</v>
      </c>
      <c r="E626" s="51">
        <v>7</v>
      </c>
      <c r="F626" s="4" t="s">
        <v>83</v>
      </c>
      <c r="G626" s="4" t="s">
        <v>129</v>
      </c>
      <c r="H626" s="48">
        <f>IF(G626&gt;0,VLOOKUP(G626,Apoio!$A$2:$B$25,2,0),"")</f>
        <v>8</v>
      </c>
      <c r="I626" s="44">
        <f t="shared" ref="I626" si="90">IF(D626&gt;0,(((H626*E626)*C626)/D626),"")</f>
        <v>24.888888888888889</v>
      </c>
      <c r="J626" s="98">
        <f t="shared" ref="J626" si="91">I626*56%</f>
        <v>13.937777777777779</v>
      </c>
      <c r="K626" s="103"/>
      <c r="L626" s="103"/>
      <c r="M626" s="103"/>
      <c r="N626" s="10"/>
    </row>
    <row r="627" spans="1:14" x14ac:dyDescent="0.3">
      <c r="A627" s="58" t="s">
        <v>213</v>
      </c>
      <c r="B627" s="58" t="s">
        <v>35</v>
      </c>
      <c r="C627" s="58">
        <v>2</v>
      </c>
      <c r="D627" s="114">
        <v>4.5</v>
      </c>
      <c r="E627" s="51">
        <v>7</v>
      </c>
      <c r="F627" s="4" t="s">
        <v>83</v>
      </c>
      <c r="G627" s="4" t="s">
        <v>132</v>
      </c>
      <c r="H627" s="48">
        <f>IF(G627&gt;0,VLOOKUP(G627,Apoio!$A$2:$B$25,2,0),"")</f>
        <v>7</v>
      </c>
      <c r="I627" s="44">
        <f t="shared" si="87"/>
        <v>21.777777777777779</v>
      </c>
      <c r="J627" s="98">
        <f t="shared" si="89"/>
        <v>12.195555555555558</v>
      </c>
      <c r="K627" s="103"/>
      <c r="L627" s="103"/>
      <c r="M627" s="103"/>
      <c r="N627" s="10"/>
    </row>
    <row r="628" spans="1:14" x14ac:dyDescent="0.3">
      <c r="A628" s="58" t="s">
        <v>213</v>
      </c>
      <c r="B628" s="58" t="s">
        <v>35</v>
      </c>
      <c r="C628" s="58">
        <v>2</v>
      </c>
      <c r="D628" s="114">
        <v>4.5</v>
      </c>
      <c r="E628" s="51">
        <v>7</v>
      </c>
      <c r="F628" s="4" t="s">
        <v>83</v>
      </c>
      <c r="G628" s="4" t="s">
        <v>135</v>
      </c>
      <c r="H628" s="48">
        <f>IF(G628&gt;0,VLOOKUP(G628,Apoio!$A$2:$B$25,2,0),"")</f>
        <v>3</v>
      </c>
      <c r="I628" s="44">
        <f t="shared" si="87"/>
        <v>9.3333333333333339</v>
      </c>
      <c r="J628" s="98">
        <f t="shared" si="89"/>
        <v>5.2266666666666675</v>
      </c>
      <c r="K628" s="103"/>
      <c r="L628" s="103"/>
      <c r="M628" s="103"/>
      <c r="N628" s="10"/>
    </row>
    <row r="629" spans="1:14" x14ac:dyDescent="0.3">
      <c r="A629" s="58" t="s">
        <v>213</v>
      </c>
      <c r="B629" s="58" t="s">
        <v>35</v>
      </c>
      <c r="C629" s="108">
        <v>2</v>
      </c>
      <c r="D629" s="108">
        <v>4.5</v>
      </c>
      <c r="E629" s="51">
        <v>7</v>
      </c>
      <c r="F629" s="4" t="s">
        <v>90</v>
      </c>
      <c r="G629" s="4" t="s">
        <v>138</v>
      </c>
      <c r="H629" s="48">
        <f>IF(G629&gt;0,VLOOKUP(G629,Apoio!$A$2:$B$25,2,0),"")</f>
        <v>8</v>
      </c>
      <c r="I629" s="44">
        <f t="shared" si="87"/>
        <v>24.888888888888889</v>
      </c>
      <c r="J629" s="98">
        <f t="shared" si="89"/>
        <v>13.937777777777779</v>
      </c>
      <c r="K629" s="406">
        <f t="shared" ref="K629:K634" si="92">I629-J629</f>
        <v>10.951111111111111</v>
      </c>
      <c r="L629" s="103"/>
      <c r="M629" s="103"/>
      <c r="N629" s="10"/>
    </row>
    <row r="630" spans="1:14" x14ac:dyDescent="0.3">
      <c r="A630" s="58" t="s">
        <v>213</v>
      </c>
      <c r="B630" s="58" t="s">
        <v>35</v>
      </c>
      <c r="C630" s="108">
        <v>2</v>
      </c>
      <c r="D630" s="108">
        <v>4.5</v>
      </c>
      <c r="E630" s="51">
        <v>7</v>
      </c>
      <c r="F630" s="4" t="s">
        <v>90</v>
      </c>
      <c r="G630" s="4" t="s">
        <v>141</v>
      </c>
      <c r="H630" s="48">
        <f>IF(G630&gt;0,VLOOKUP(G630,Apoio!$A$2:$B$25,2,0),"")</f>
        <v>7</v>
      </c>
      <c r="I630" s="44">
        <f t="shared" si="87"/>
        <v>21.777777777777779</v>
      </c>
      <c r="J630" s="98">
        <f t="shared" si="89"/>
        <v>12.195555555555558</v>
      </c>
      <c r="K630" s="406">
        <f t="shared" si="92"/>
        <v>9.5822222222222209</v>
      </c>
      <c r="L630" s="103"/>
      <c r="M630" s="103"/>
      <c r="N630" s="10"/>
    </row>
    <row r="631" spans="1:14" x14ac:dyDescent="0.3">
      <c r="A631" s="58" t="s">
        <v>213</v>
      </c>
      <c r="B631" s="58" t="s">
        <v>35</v>
      </c>
      <c r="C631" s="108">
        <v>2</v>
      </c>
      <c r="D631" s="108">
        <v>4.5</v>
      </c>
      <c r="E631" s="51">
        <v>7</v>
      </c>
      <c r="F631" s="4" t="s">
        <v>90</v>
      </c>
      <c r="G631" s="4" t="s">
        <v>144</v>
      </c>
      <c r="H631" s="48">
        <f>IF(G631&gt;0,VLOOKUP(G631,Apoio!$A$2:$B$25,2,0),"")</f>
        <v>7</v>
      </c>
      <c r="I631" s="44">
        <f t="shared" si="87"/>
        <v>21.777777777777779</v>
      </c>
      <c r="J631" s="98">
        <f t="shared" si="89"/>
        <v>12.195555555555558</v>
      </c>
      <c r="K631" s="406">
        <f t="shared" si="92"/>
        <v>9.5822222222222209</v>
      </c>
      <c r="L631" s="103"/>
      <c r="M631" s="103"/>
      <c r="N631" s="10"/>
    </row>
    <row r="632" spans="1:14" x14ac:dyDescent="0.3">
      <c r="A632" s="58" t="s">
        <v>213</v>
      </c>
      <c r="B632" s="58" t="s">
        <v>35</v>
      </c>
      <c r="C632" s="108">
        <v>2</v>
      </c>
      <c r="D632" s="108">
        <v>4.5</v>
      </c>
      <c r="E632" s="51">
        <v>7</v>
      </c>
      <c r="F632" s="4" t="s">
        <v>90</v>
      </c>
      <c r="G632" s="4" t="s">
        <v>147</v>
      </c>
      <c r="H632" s="48">
        <f>IF(G632&gt;0,VLOOKUP(G632,Apoio!$A$2:$B$25,2,0),"")</f>
        <v>7</v>
      </c>
      <c r="I632" s="44">
        <f t="shared" si="87"/>
        <v>21.777777777777779</v>
      </c>
      <c r="J632" s="98">
        <f t="shared" si="89"/>
        <v>12.195555555555558</v>
      </c>
      <c r="K632" s="406">
        <f t="shared" si="92"/>
        <v>9.5822222222222209</v>
      </c>
      <c r="L632" s="103"/>
      <c r="M632" s="103"/>
      <c r="N632" s="10"/>
    </row>
    <row r="633" spans="1:14" x14ac:dyDescent="0.3">
      <c r="A633" s="58" t="s">
        <v>213</v>
      </c>
      <c r="B633" s="58" t="s">
        <v>35</v>
      </c>
      <c r="C633" s="108">
        <v>2</v>
      </c>
      <c r="D633" s="108">
        <v>4.5</v>
      </c>
      <c r="E633" s="51">
        <v>7</v>
      </c>
      <c r="F633" s="4" t="s">
        <v>90</v>
      </c>
      <c r="G633" s="4" t="s">
        <v>150</v>
      </c>
      <c r="H633" s="48">
        <f>IF(G633&gt;0,VLOOKUP(G633,Apoio!$A$2:$B$25,2,0),"")</f>
        <v>8</v>
      </c>
      <c r="I633" s="44">
        <f t="shared" si="87"/>
        <v>24.888888888888889</v>
      </c>
      <c r="J633" s="98">
        <f t="shared" si="89"/>
        <v>13.937777777777779</v>
      </c>
      <c r="K633" s="406">
        <f t="shared" si="92"/>
        <v>10.951111111111111</v>
      </c>
      <c r="L633" s="103"/>
      <c r="M633" s="103"/>
      <c r="N633" s="10"/>
    </row>
    <row r="634" spans="1:14" x14ac:dyDescent="0.3">
      <c r="A634" s="58" t="s">
        <v>213</v>
      </c>
      <c r="B634" s="58" t="s">
        <v>35</v>
      </c>
      <c r="C634" s="108">
        <v>2</v>
      </c>
      <c r="D634" s="108">
        <v>4.5</v>
      </c>
      <c r="E634" s="51">
        <v>7</v>
      </c>
      <c r="F634" s="4" t="s">
        <v>90</v>
      </c>
      <c r="G634" s="4" t="s">
        <v>153</v>
      </c>
      <c r="H634" s="48">
        <f>IF(G634&gt;0,VLOOKUP(G634,Apoio!$A$2:$B$25,2,0),"")</f>
        <v>8</v>
      </c>
      <c r="I634" s="44">
        <f t="shared" si="87"/>
        <v>24.888888888888889</v>
      </c>
      <c r="J634" s="98">
        <v>11</v>
      </c>
      <c r="K634" s="406">
        <f t="shared" si="92"/>
        <v>13.888888888888889</v>
      </c>
      <c r="L634" s="103"/>
      <c r="M634" s="103"/>
      <c r="N634" s="10"/>
    </row>
    <row r="635" spans="1:14" x14ac:dyDescent="0.3">
      <c r="A635" s="58" t="s">
        <v>213</v>
      </c>
      <c r="B635" s="58" t="s">
        <v>34</v>
      </c>
      <c r="C635" s="58">
        <v>8</v>
      </c>
      <c r="D635" s="114">
        <v>5.8</v>
      </c>
      <c r="E635" s="51">
        <v>7</v>
      </c>
      <c r="F635" s="4" t="s">
        <v>69</v>
      </c>
      <c r="G635" s="4" t="s">
        <v>68</v>
      </c>
      <c r="H635" s="48">
        <f>IF(G635&gt;0,VLOOKUP(G635,Apoio!$A$2:$B$25,2,0),"")</f>
        <v>7</v>
      </c>
      <c r="I635" s="44">
        <f t="shared" ref="I635:I658" si="93">IF(D635&gt;0,(((H635*E635)*C635)/D635),"")</f>
        <v>67.58620689655173</v>
      </c>
      <c r="J635" s="98">
        <f t="shared" ref="J635:J658" si="94">I635*15%</f>
        <v>10.13793103448276</v>
      </c>
      <c r="K635" s="103"/>
      <c r="L635" s="103"/>
      <c r="M635" s="103"/>
      <c r="N635" s="10"/>
    </row>
    <row r="636" spans="1:14" x14ac:dyDescent="0.3">
      <c r="A636" s="58" t="s">
        <v>213</v>
      </c>
      <c r="B636" s="58" t="s">
        <v>34</v>
      </c>
      <c r="C636" s="58">
        <v>8</v>
      </c>
      <c r="D636" s="114">
        <v>5.8</v>
      </c>
      <c r="E636" s="51">
        <v>7</v>
      </c>
      <c r="F636" s="4" t="s">
        <v>69</v>
      </c>
      <c r="G636" s="4" t="s">
        <v>75</v>
      </c>
      <c r="H636" s="48">
        <f>IF(G636&gt;0,VLOOKUP(G636,Apoio!$A$2:$B$25,2,0),"")</f>
        <v>8</v>
      </c>
      <c r="I636" s="44">
        <f t="shared" si="93"/>
        <v>77.241379310344826</v>
      </c>
      <c r="J636" s="98">
        <f t="shared" si="94"/>
        <v>11.586206896551724</v>
      </c>
      <c r="K636" s="104"/>
      <c r="L636" s="104"/>
      <c r="M636" s="104"/>
      <c r="N636" s="93"/>
    </row>
    <row r="637" spans="1:14" x14ac:dyDescent="0.3">
      <c r="A637" s="58" t="s">
        <v>213</v>
      </c>
      <c r="B637" s="55" t="s">
        <v>34</v>
      </c>
      <c r="C637" s="58">
        <v>8</v>
      </c>
      <c r="D637" s="114">
        <v>5.8</v>
      </c>
      <c r="E637" s="51">
        <v>7</v>
      </c>
      <c r="F637" s="4" t="s">
        <v>69</v>
      </c>
      <c r="G637" s="4" t="s">
        <v>82</v>
      </c>
      <c r="H637" s="48">
        <f>IF(G637&gt;0,VLOOKUP(G637,Apoio!$A$2:$B$25,2,0),"")</f>
        <v>6</v>
      </c>
      <c r="I637" s="44">
        <f t="shared" si="93"/>
        <v>57.931034482758619</v>
      </c>
      <c r="J637" s="98">
        <f t="shared" si="94"/>
        <v>8.6896551724137918</v>
      </c>
      <c r="K637" s="104"/>
      <c r="L637" s="104"/>
      <c r="M637" s="104"/>
      <c r="N637" s="93"/>
    </row>
    <row r="638" spans="1:14" x14ac:dyDescent="0.3">
      <c r="A638" s="58" t="s">
        <v>213</v>
      </c>
      <c r="B638" s="55" t="s">
        <v>34</v>
      </c>
      <c r="C638" s="58">
        <v>8</v>
      </c>
      <c r="D638" s="114">
        <v>5.8</v>
      </c>
      <c r="E638" s="51">
        <v>7</v>
      </c>
      <c r="F638" s="4" t="s">
        <v>69</v>
      </c>
      <c r="G638" s="4" t="s">
        <v>89</v>
      </c>
      <c r="H638" s="48">
        <f>IF(G638&gt;0,VLOOKUP(G638,Apoio!$A$2:$B$25,2,0),"")</f>
        <v>8</v>
      </c>
      <c r="I638" s="44">
        <f t="shared" si="93"/>
        <v>77.241379310344826</v>
      </c>
      <c r="J638" s="98">
        <f t="shared" si="94"/>
        <v>11.586206896551724</v>
      </c>
      <c r="K638" s="104"/>
      <c r="L638" s="104"/>
      <c r="M638" s="104"/>
      <c r="N638" s="93"/>
    </row>
    <row r="639" spans="1:14" x14ac:dyDescent="0.3">
      <c r="A639" s="58" t="s">
        <v>213</v>
      </c>
      <c r="B639" s="55" t="s">
        <v>34</v>
      </c>
      <c r="C639" s="58">
        <v>8</v>
      </c>
      <c r="D639" s="114">
        <v>5.8</v>
      </c>
      <c r="E639" s="51">
        <v>7</v>
      </c>
      <c r="F639" s="4" t="s">
        <v>69</v>
      </c>
      <c r="G639" s="4" t="s">
        <v>96</v>
      </c>
      <c r="H639" s="48">
        <f>IF(G639&gt;0,VLOOKUP(G639,Apoio!$A$2:$B$25,2,0),"")</f>
        <v>8</v>
      </c>
      <c r="I639" s="44">
        <f t="shared" si="93"/>
        <v>77.241379310344826</v>
      </c>
      <c r="J639" s="98">
        <f t="shared" si="94"/>
        <v>11.586206896551724</v>
      </c>
      <c r="K639" s="104"/>
      <c r="L639" s="104"/>
      <c r="M639" s="104"/>
      <c r="N639" s="93"/>
    </row>
    <row r="640" spans="1:14" x14ac:dyDescent="0.3">
      <c r="A640" s="58" t="s">
        <v>213</v>
      </c>
      <c r="B640" s="55" t="s">
        <v>34</v>
      </c>
      <c r="C640" s="58">
        <v>8</v>
      </c>
      <c r="D640" s="114">
        <v>5.8</v>
      </c>
      <c r="E640" s="51">
        <v>7</v>
      </c>
      <c r="F640" s="4" t="s">
        <v>69</v>
      </c>
      <c r="G640" s="4" t="s">
        <v>99</v>
      </c>
      <c r="H640" s="48">
        <f>IF(G640&gt;0,VLOOKUP(G640,Apoio!$A$2:$B$25,2,0),"")</f>
        <v>2</v>
      </c>
      <c r="I640" s="44">
        <f t="shared" si="93"/>
        <v>19.310344827586206</v>
      </c>
      <c r="J640" s="98">
        <f t="shared" si="94"/>
        <v>2.896551724137931</v>
      </c>
      <c r="K640" s="103"/>
      <c r="L640" s="103"/>
      <c r="M640" s="103"/>
      <c r="N640" s="10"/>
    </row>
    <row r="641" spans="1:14" x14ac:dyDescent="0.3">
      <c r="A641" s="64" t="s">
        <v>213</v>
      </c>
      <c r="B641" s="55" t="s">
        <v>34</v>
      </c>
      <c r="C641" s="58">
        <v>8</v>
      </c>
      <c r="D641" s="114">
        <v>5.8</v>
      </c>
      <c r="E641" s="51">
        <v>7</v>
      </c>
      <c r="F641" s="4" t="s">
        <v>76</v>
      </c>
      <c r="G641" s="4" t="s">
        <v>102</v>
      </c>
      <c r="H641" s="48">
        <f>IF(G641&gt;0,VLOOKUP(G641,Apoio!$A$2:$B$25,2,0),"")</f>
        <v>5</v>
      </c>
      <c r="I641" s="44">
        <f t="shared" si="93"/>
        <v>48.275862068965516</v>
      </c>
      <c r="J641" s="98">
        <f t="shared" si="94"/>
        <v>7.2413793103448274</v>
      </c>
      <c r="K641" s="103"/>
      <c r="L641" s="103"/>
      <c r="M641" s="103"/>
      <c r="N641" s="10"/>
    </row>
    <row r="642" spans="1:14" x14ac:dyDescent="0.3">
      <c r="A642" s="64" t="s">
        <v>213</v>
      </c>
      <c r="B642" s="55" t="s">
        <v>34</v>
      </c>
      <c r="C642" s="58">
        <v>8</v>
      </c>
      <c r="D642" s="114">
        <v>5.8</v>
      </c>
      <c r="E642" s="51">
        <v>7</v>
      </c>
      <c r="F642" s="4" t="s">
        <v>76</v>
      </c>
      <c r="G642" s="4" t="s">
        <v>105</v>
      </c>
      <c r="H642" s="48">
        <f>IF(G642&gt;0,VLOOKUP(G642,Apoio!$A$2:$B$25,2,0),"")</f>
        <v>7</v>
      </c>
      <c r="I642" s="44">
        <f t="shared" si="93"/>
        <v>67.58620689655173</v>
      </c>
      <c r="J642" s="98">
        <f t="shared" si="94"/>
        <v>10.13793103448276</v>
      </c>
      <c r="K642" s="103"/>
      <c r="L642" s="103"/>
      <c r="M642" s="103"/>
      <c r="N642" s="10"/>
    </row>
    <row r="643" spans="1:14" x14ac:dyDescent="0.3">
      <c r="A643" s="64" t="s">
        <v>213</v>
      </c>
      <c r="B643" s="55" t="s">
        <v>34</v>
      </c>
      <c r="C643" s="58">
        <v>8</v>
      </c>
      <c r="D643" s="114">
        <v>5.8</v>
      </c>
      <c r="E643" s="51">
        <v>7</v>
      </c>
      <c r="F643" s="4" t="s">
        <v>76</v>
      </c>
      <c r="G643" s="4" t="s">
        <v>108</v>
      </c>
      <c r="H643" s="48">
        <f>IF(G643&gt;0,VLOOKUP(G643,Apoio!$A$2:$B$25,2,0),"")</f>
        <v>8</v>
      </c>
      <c r="I643" s="44">
        <f t="shared" ref="I643" si="95">IF(D643&gt;0,(((H643*E643)*C643)/D643),"")</f>
        <v>77.241379310344826</v>
      </c>
      <c r="J643" s="98">
        <f t="shared" ref="J643" si="96">I643*15%</f>
        <v>11.586206896551724</v>
      </c>
      <c r="K643" s="103"/>
      <c r="L643" s="103"/>
      <c r="M643" s="103"/>
      <c r="N643" s="10"/>
    </row>
    <row r="644" spans="1:14" x14ac:dyDescent="0.3">
      <c r="A644" s="64" t="s">
        <v>213</v>
      </c>
      <c r="B644" s="55" t="s">
        <v>34</v>
      </c>
      <c r="C644" s="58">
        <v>8</v>
      </c>
      <c r="D644" s="114">
        <v>5.8</v>
      </c>
      <c r="E644" s="51">
        <v>7</v>
      </c>
      <c r="F644" s="4" t="s">
        <v>76</v>
      </c>
      <c r="G644" s="4" t="s">
        <v>111</v>
      </c>
      <c r="H644" s="48">
        <f>IF(G644&gt;0,VLOOKUP(G644,Apoio!$A$2:$B$25,2,0),"")</f>
        <v>7</v>
      </c>
      <c r="I644" s="44">
        <f t="shared" si="93"/>
        <v>67.58620689655173</v>
      </c>
      <c r="J644" s="98">
        <f t="shared" si="94"/>
        <v>10.13793103448276</v>
      </c>
      <c r="K644" s="103"/>
      <c r="L644" s="103"/>
      <c r="M644" s="103"/>
      <c r="N644" s="10"/>
    </row>
    <row r="645" spans="1:14" x14ac:dyDescent="0.3">
      <c r="A645" s="64" t="s">
        <v>213</v>
      </c>
      <c r="B645" s="55" t="s">
        <v>34</v>
      </c>
      <c r="C645" s="58">
        <v>8</v>
      </c>
      <c r="D645" s="114">
        <v>5.8</v>
      </c>
      <c r="E645" s="51">
        <v>7</v>
      </c>
      <c r="F645" s="4" t="s">
        <v>76</v>
      </c>
      <c r="G645" s="4" t="s">
        <v>114</v>
      </c>
      <c r="H645" s="48">
        <f>IF(G645&gt;0,VLOOKUP(G645,Apoio!$A$2:$B$25,2,0),"")</f>
        <v>8</v>
      </c>
      <c r="I645" s="44">
        <f t="shared" si="93"/>
        <v>77.241379310344826</v>
      </c>
      <c r="J645" s="98">
        <f t="shared" si="94"/>
        <v>11.586206896551724</v>
      </c>
      <c r="K645" s="103"/>
      <c r="L645" s="103"/>
      <c r="M645" s="103"/>
      <c r="N645" s="10"/>
    </row>
    <row r="646" spans="1:14" x14ac:dyDescent="0.3">
      <c r="A646" s="64" t="s">
        <v>213</v>
      </c>
      <c r="B646" s="55" t="s">
        <v>34</v>
      </c>
      <c r="C646" s="58">
        <v>8</v>
      </c>
      <c r="D646" s="114">
        <v>5.8</v>
      </c>
      <c r="E646" s="51">
        <v>7</v>
      </c>
      <c r="F646" s="4" t="s">
        <v>76</v>
      </c>
      <c r="G646" s="4" t="s">
        <v>117</v>
      </c>
      <c r="H646" s="48">
        <f>IF(G646&gt;0,VLOOKUP(G646,Apoio!$A$2:$B$25,2,0),"")</f>
        <v>3</v>
      </c>
      <c r="I646" s="44">
        <f t="shared" si="93"/>
        <v>28.96551724137931</v>
      </c>
      <c r="J646" s="98">
        <f t="shared" si="94"/>
        <v>4.3448275862068959</v>
      </c>
      <c r="K646" s="103"/>
      <c r="L646" s="103"/>
      <c r="M646" s="103"/>
      <c r="N646" s="10"/>
    </row>
    <row r="647" spans="1:14" x14ac:dyDescent="0.3">
      <c r="A647" s="64" t="s">
        <v>213</v>
      </c>
      <c r="B647" s="55" t="s">
        <v>34</v>
      </c>
      <c r="C647" s="58">
        <v>8</v>
      </c>
      <c r="D647" s="114">
        <v>5.8</v>
      </c>
      <c r="E647" s="51">
        <v>7</v>
      </c>
      <c r="F647" s="4" t="s">
        <v>83</v>
      </c>
      <c r="G647" s="4" t="s">
        <v>120</v>
      </c>
      <c r="H647" s="48">
        <f>IF(G647&gt;0,VLOOKUP(G647,Apoio!$A$2:$B$25,2,0),"")</f>
        <v>7</v>
      </c>
      <c r="I647" s="44">
        <f t="shared" si="93"/>
        <v>67.58620689655173</v>
      </c>
      <c r="J647" s="98">
        <f t="shared" si="94"/>
        <v>10.13793103448276</v>
      </c>
      <c r="K647" s="103"/>
      <c r="L647" s="103"/>
      <c r="M647" s="103"/>
      <c r="N647" s="10"/>
    </row>
    <row r="648" spans="1:14" x14ac:dyDescent="0.3">
      <c r="A648" s="75" t="s">
        <v>213</v>
      </c>
      <c r="B648" s="55" t="s">
        <v>34</v>
      </c>
      <c r="C648" s="58">
        <v>8</v>
      </c>
      <c r="D648" s="114">
        <v>5.8</v>
      </c>
      <c r="E648" s="51">
        <v>7</v>
      </c>
      <c r="F648" s="4" t="s">
        <v>83</v>
      </c>
      <c r="G648" s="4" t="s">
        <v>123</v>
      </c>
      <c r="H648" s="48">
        <f>IF(G648&gt;0,VLOOKUP(G648,Apoio!$A$2:$B$25,2,0),"")</f>
        <v>8</v>
      </c>
      <c r="I648" s="44">
        <f t="shared" si="93"/>
        <v>77.241379310344826</v>
      </c>
      <c r="J648" s="98">
        <f t="shared" si="94"/>
        <v>11.586206896551724</v>
      </c>
      <c r="K648" s="103"/>
      <c r="L648" s="103"/>
      <c r="M648" s="103"/>
      <c r="N648" s="10"/>
    </row>
    <row r="649" spans="1:14" x14ac:dyDescent="0.3">
      <c r="A649" s="75" t="s">
        <v>213</v>
      </c>
      <c r="B649" s="55" t="s">
        <v>34</v>
      </c>
      <c r="C649" s="58">
        <v>8</v>
      </c>
      <c r="D649" s="114">
        <v>5.8</v>
      </c>
      <c r="E649" s="51">
        <v>7</v>
      </c>
      <c r="F649" s="4" t="s">
        <v>83</v>
      </c>
      <c r="G649" s="4" t="s">
        <v>126</v>
      </c>
      <c r="H649" s="48">
        <f>IF(G649&gt;0,VLOOKUP(G649,Apoio!$A$2:$B$25,2,0),"")</f>
        <v>8</v>
      </c>
      <c r="I649" s="44">
        <f t="shared" si="93"/>
        <v>77.241379310344826</v>
      </c>
      <c r="J649" s="98">
        <f t="shared" si="94"/>
        <v>11.586206896551724</v>
      </c>
      <c r="K649" s="103"/>
      <c r="L649" s="103"/>
      <c r="M649" s="103"/>
      <c r="N649" s="10"/>
    </row>
    <row r="650" spans="1:14" x14ac:dyDescent="0.3">
      <c r="A650" s="75" t="s">
        <v>213</v>
      </c>
      <c r="B650" s="55" t="s">
        <v>34</v>
      </c>
      <c r="C650" s="58">
        <v>8</v>
      </c>
      <c r="D650" s="114">
        <v>5.8</v>
      </c>
      <c r="E650" s="51">
        <v>7</v>
      </c>
      <c r="F650" s="4" t="s">
        <v>83</v>
      </c>
      <c r="G650" s="4" t="s">
        <v>129</v>
      </c>
      <c r="H650" s="48">
        <f>IF(G650&gt;0,VLOOKUP(G650,Apoio!$A$2:$B$25,2,0),"")</f>
        <v>8</v>
      </c>
      <c r="I650" s="44">
        <f t="shared" si="93"/>
        <v>77.241379310344826</v>
      </c>
      <c r="J650" s="98">
        <f t="shared" si="94"/>
        <v>11.586206896551724</v>
      </c>
      <c r="K650" s="103"/>
      <c r="L650" s="103"/>
      <c r="M650" s="103"/>
      <c r="N650" s="10"/>
    </row>
    <row r="651" spans="1:14" x14ac:dyDescent="0.3">
      <c r="A651" s="75" t="s">
        <v>213</v>
      </c>
      <c r="B651" s="55" t="s">
        <v>34</v>
      </c>
      <c r="C651" s="58">
        <v>8</v>
      </c>
      <c r="D651" s="114">
        <v>5.8</v>
      </c>
      <c r="E651" s="51">
        <v>7</v>
      </c>
      <c r="F651" s="4" t="s">
        <v>83</v>
      </c>
      <c r="G651" s="4" t="s">
        <v>132</v>
      </c>
      <c r="H651" s="48">
        <f>IF(G651&gt;0,VLOOKUP(G651,Apoio!$A$2:$B$25,2,0),"")</f>
        <v>7</v>
      </c>
      <c r="I651" s="44">
        <f t="shared" si="93"/>
        <v>67.58620689655173</v>
      </c>
      <c r="J651" s="98">
        <f t="shared" si="94"/>
        <v>10.13793103448276</v>
      </c>
      <c r="K651" s="103"/>
      <c r="L651" s="103"/>
      <c r="M651" s="103"/>
      <c r="N651" s="10"/>
    </row>
    <row r="652" spans="1:14" x14ac:dyDescent="0.3">
      <c r="A652" s="75" t="s">
        <v>213</v>
      </c>
      <c r="B652" s="55" t="s">
        <v>34</v>
      </c>
      <c r="C652" s="58">
        <v>8</v>
      </c>
      <c r="D652" s="114">
        <v>5.8</v>
      </c>
      <c r="E652" s="51">
        <v>7</v>
      </c>
      <c r="F652" s="4" t="s">
        <v>83</v>
      </c>
      <c r="G652" s="4" t="s">
        <v>135</v>
      </c>
      <c r="H652" s="48">
        <f>IF(G652&gt;0,VLOOKUP(G652,Apoio!$A$2:$B$25,2,0),"")</f>
        <v>3</v>
      </c>
      <c r="I652" s="44">
        <f t="shared" si="93"/>
        <v>28.96551724137931</v>
      </c>
      <c r="J652" s="98">
        <f t="shared" si="94"/>
        <v>4.3448275862068959</v>
      </c>
      <c r="K652" s="103"/>
      <c r="L652" s="103"/>
      <c r="M652" s="103"/>
      <c r="N652" s="10"/>
    </row>
    <row r="653" spans="1:14" x14ac:dyDescent="0.3">
      <c r="A653" s="75" t="s">
        <v>213</v>
      </c>
      <c r="B653" s="55" t="s">
        <v>34</v>
      </c>
      <c r="C653" s="108">
        <v>8</v>
      </c>
      <c r="D653" s="108">
        <v>5.8</v>
      </c>
      <c r="E653" s="51">
        <v>7</v>
      </c>
      <c r="F653" s="4" t="s">
        <v>90</v>
      </c>
      <c r="G653" s="4" t="s">
        <v>138</v>
      </c>
      <c r="H653" s="48">
        <f>IF(G653&gt;0,VLOOKUP(G653,Apoio!$A$2:$B$25,2,0),"")</f>
        <v>8</v>
      </c>
      <c r="I653" s="44">
        <f t="shared" si="93"/>
        <v>77.241379310344826</v>
      </c>
      <c r="J653" s="98">
        <f t="shared" si="94"/>
        <v>11.586206896551724</v>
      </c>
      <c r="K653" s="406">
        <f t="shared" ref="K653:K658" si="97">I653-J653</f>
        <v>65.655172413793096</v>
      </c>
      <c r="L653" s="103"/>
      <c r="M653" s="103"/>
      <c r="N653" s="10"/>
    </row>
    <row r="654" spans="1:14" x14ac:dyDescent="0.3">
      <c r="A654" s="75" t="s">
        <v>213</v>
      </c>
      <c r="B654" s="55" t="s">
        <v>34</v>
      </c>
      <c r="C654" s="108">
        <v>8</v>
      </c>
      <c r="D654" s="108">
        <v>5.8</v>
      </c>
      <c r="E654" s="51">
        <v>7</v>
      </c>
      <c r="F654" s="4" t="s">
        <v>90</v>
      </c>
      <c r="G654" s="4" t="s">
        <v>141</v>
      </c>
      <c r="H654" s="48">
        <f>IF(G654&gt;0,VLOOKUP(G654,Apoio!$A$2:$B$25,2,0),"")</f>
        <v>7</v>
      </c>
      <c r="I654" s="44">
        <f t="shared" si="93"/>
        <v>67.58620689655173</v>
      </c>
      <c r="J654" s="98">
        <f t="shared" si="94"/>
        <v>10.13793103448276</v>
      </c>
      <c r="K654" s="406">
        <f t="shared" si="97"/>
        <v>57.448275862068968</v>
      </c>
      <c r="L654" s="103"/>
      <c r="M654" s="103"/>
      <c r="N654" s="10"/>
    </row>
    <row r="655" spans="1:14" x14ac:dyDescent="0.3">
      <c r="A655" s="75" t="s">
        <v>213</v>
      </c>
      <c r="B655" s="55" t="s">
        <v>34</v>
      </c>
      <c r="C655" s="108">
        <v>8</v>
      </c>
      <c r="D655" s="108">
        <v>5.8</v>
      </c>
      <c r="E655" s="51">
        <v>7</v>
      </c>
      <c r="F655" s="4" t="s">
        <v>90</v>
      </c>
      <c r="G655" s="4" t="s">
        <v>144</v>
      </c>
      <c r="H655" s="48">
        <f>IF(G655&gt;0,VLOOKUP(G655,Apoio!$A$2:$B$25,2,0),"")</f>
        <v>7</v>
      </c>
      <c r="I655" s="44">
        <f t="shared" si="93"/>
        <v>67.58620689655173</v>
      </c>
      <c r="J655" s="98">
        <f t="shared" si="94"/>
        <v>10.13793103448276</v>
      </c>
      <c r="K655" s="406">
        <f t="shared" si="97"/>
        <v>57.448275862068968</v>
      </c>
      <c r="L655" s="103"/>
      <c r="M655" s="103"/>
      <c r="N655" s="10"/>
    </row>
    <row r="656" spans="1:14" x14ac:dyDescent="0.3">
      <c r="A656" s="75" t="s">
        <v>213</v>
      </c>
      <c r="B656" s="55" t="s">
        <v>34</v>
      </c>
      <c r="C656" s="108">
        <v>8</v>
      </c>
      <c r="D656" s="108">
        <v>5.8</v>
      </c>
      <c r="E656" s="51">
        <v>7</v>
      </c>
      <c r="F656" s="4" t="s">
        <v>90</v>
      </c>
      <c r="G656" s="4" t="s">
        <v>147</v>
      </c>
      <c r="H656" s="48">
        <f>IF(G656&gt;0,VLOOKUP(G656,Apoio!$A$2:$B$25,2,0),"")</f>
        <v>7</v>
      </c>
      <c r="I656" s="44">
        <f t="shared" si="93"/>
        <v>67.58620689655173</v>
      </c>
      <c r="J656" s="98">
        <f t="shared" si="94"/>
        <v>10.13793103448276</v>
      </c>
      <c r="K656" s="406">
        <f t="shared" si="97"/>
        <v>57.448275862068968</v>
      </c>
      <c r="L656" s="103"/>
      <c r="M656" s="103"/>
      <c r="N656" s="10"/>
    </row>
    <row r="657" spans="1:14" x14ac:dyDescent="0.3">
      <c r="A657" s="75" t="s">
        <v>213</v>
      </c>
      <c r="B657" s="55" t="s">
        <v>34</v>
      </c>
      <c r="C657" s="108">
        <v>8</v>
      </c>
      <c r="D657" s="108">
        <v>5.8</v>
      </c>
      <c r="E657" s="51">
        <v>7</v>
      </c>
      <c r="F657" s="4" t="s">
        <v>90</v>
      </c>
      <c r="G657" s="4" t="s">
        <v>150</v>
      </c>
      <c r="H657" s="48">
        <f>IF(G657&gt;0,VLOOKUP(G657,Apoio!$A$2:$B$25,2,0),"")</f>
        <v>8</v>
      </c>
      <c r="I657" s="44">
        <f t="shared" si="93"/>
        <v>77.241379310344826</v>
      </c>
      <c r="J657" s="98">
        <f t="shared" si="94"/>
        <v>11.586206896551724</v>
      </c>
      <c r="K657" s="406">
        <f t="shared" si="97"/>
        <v>65.655172413793096</v>
      </c>
      <c r="L657" s="103"/>
      <c r="M657" s="103"/>
      <c r="N657" s="10"/>
    </row>
    <row r="658" spans="1:14" x14ac:dyDescent="0.3">
      <c r="A658" s="75" t="s">
        <v>213</v>
      </c>
      <c r="B658" s="55" t="s">
        <v>34</v>
      </c>
      <c r="C658" s="108">
        <v>8</v>
      </c>
      <c r="D658" s="108">
        <v>5.8</v>
      </c>
      <c r="E658" s="51">
        <v>7</v>
      </c>
      <c r="F658" s="4" t="s">
        <v>90</v>
      </c>
      <c r="G658" s="4" t="s">
        <v>153</v>
      </c>
      <c r="H658" s="48">
        <f>IF(G658&gt;0,VLOOKUP(G658,Apoio!$A$2:$B$25,2,0),"")</f>
        <v>8</v>
      </c>
      <c r="I658" s="44">
        <f t="shared" si="93"/>
        <v>77.241379310344826</v>
      </c>
      <c r="J658" s="98">
        <f t="shared" si="94"/>
        <v>11.586206896551724</v>
      </c>
      <c r="K658" s="406">
        <f t="shared" si="97"/>
        <v>65.655172413793096</v>
      </c>
      <c r="L658" s="103"/>
      <c r="M658" s="103"/>
      <c r="N658" s="10"/>
    </row>
    <row r="659" spans="1:14" x14ac:dyDescent="0.3">
      <c r="A659" s="79" t="s">
        <v>36</v>
      </c>
      <c r="B659" s="4" t="s">
        <v>37</v>
      </c>
      <c r="C659" s="4">
        <v>7</v>
      </c>
      <c r="D659" s="70">
        <v>6.8</v>
      </c>
      <c r="E659" s="51">
        <v>7</v>
      </c>
      <c r="F659" s="4" t="s">
        <v>69</v>
      </c>
      <c r="G659" s="4" t="s">
        <v>68</v>
      </c>
      <c r="H659" s="48">
        <f>IF(G659&gt;0,VLOOKUP(G659,Apoio!$A$2:$B$25,2,0),"")</f>
        <v>7</v>
      </c>
      <c r="I659" s="44">
        <f t="shared" si="87"/>
        <v>50.441176470588239</v>
      </c>
      <c r="J659" s="98"/>
      <c r="K659" s="103"/>
      <c r="L659" s="103"/>
      <c r="M659" s="103"/>
      <c r="N659" s="10"/>
    </row>
    <row r="660" spans="1:14" x14ac:dyDescent="0.3">
      <c r="A660" s="4" t="s">
        <v>36</v>
      </c>
      <c r="B660" s="4" t="s">
        <v>37</v>
      </c>
      <c r="C660" s="4">
        <v>7</v>
      </c>
      <c r="D660" s="70">
        <v>6.8</v>
      </c>
      <c r="E660" s="51">
        <v>7</v>
      </c>
      <c r="F660" s="4" t="s">
        <v>69</v>
      </c>
      <c r="G660" s="4" t="s">
        <v>75</v>
      </c>
      <c r="H660" s="48">
        <f>IF(G660&gt;0,VLOOKUP(G660,Apoio!$A$2:$B$25,2,0),"")</f>
        <v>8</v>
      </c>
      <c r="I660" s="44">
        <f t="shared" si="87"/>
        <v>57.647058823529413</v>
      </c>
      <c r="J660" s="98"/>
      <c r="K660" s="103"/>
      <c r="L660" s="103"/>
      <c r="M660" s="103"/>
      <c r="N660" s="10"/>
    </row>
    <row r="661" spans="1:14" x14ac:dyDescent="0.3">
      <c r="A661" s="4" t="s">
        <v>36</v>
      </c>
      <c r="B661" s="4" t="s">
        <v>37</v>
      </c>
      <c r="C661" s="4">
        <v>7</v>
      </c>
      <c r="D661" s="70">
        <v>6.8</v>
      </c>
      <c r="E661" s="51">
        <v>7</v>
      </c>
      <c r="F661" s="4" t="s">
        <v>69</v>
      </c>
      <c r="G661" s="4" t="s">
        <v>82</v>
      </c>
      <c r="H661" s="48">
        <f>IF(G661&gt;0,VLOOKUP(G661,Apoio!$A$2:$B$25,2,0),"")</f>
        <v>6</v>
      </c>
      <c r="I661" s="44">
        <f t="shared" si="87"/>
        <v>43.235294117647058</v>
      </c>
      <c r="J661" s="98"/>
      <c r="K661" s="103"/>
      <c r="L661" s="103"/>
      <c r="M661" s="103"/>
      <c r="N661" s="10"/>
    </row>
    <row r="662" spans="1:14" x14ac:dyDescent="0.3">
      <c r="A662" s="4" t="s">
        <v>36</v>
      </c>
      <c r="B662" s="4" t="s">
        <v>37</v>
      </c>
      <c r="C662" s="4">
        <v>7</v>
      </c>
      <c r="D662" s="70">
        <v>6.8</v>
      </c>
      <c r="E662" s="51">
        <v>7</v>
      </c>
      <c r="F662" s="4" t="s">
        <v>69</v>
      </c>
      <c r="G662" s="4" t="s">
        <v>89</v>
      </c>
      <c r="H662" s="48">
        <f>IF(G662&gt;0,VLOOKUP(G662,Apoio!$A$2:$B$25,2,0),"")</f>
        <v>8</v>
      </c>
      <c r="I662" s="44">
        <f t="shared" si="87"/>
        <v>57.647058823529413</v>
      </c>
      <c r="J662" s="98"/>
      <c r="K662" s="103"/>
      <c r="L662" s="103"/>
      <c r="M662" s="103"/>
      <c r="N662" s="10"/>
    </row>
    <row r="663" spans="1:14" x14ac:dyDescent="0.3">
      <c r="A663" s="4" t="s">
        <v>36</v>
      </c>
      <c r="B663" s="4" t="s">
        <v>37</v>
      </c>
      <c r="C663" s="4">
        <v>7</v>
      </c>
      <c r="D663" s="70">
        <v>6.8</v>
      </c>
      <c r="E663" s="51">
        <v>7</v>
      </c>
      <c r="F663" s="4" t="s">
        <v>69</v>
      </c>
      <c r="G663" s="4" t="s">
        <v>96</v>
      </c>
      <c r="H663" s="48">
        <f>IF(G663&gt;0,VLOOKUP(G663,Apoio!$A$2:$B$25,2,0),"")</f>
        <v>8</v>
      </c>
      <c r="I663" s="44">
        <f t="shared" si="87"/>
        <v>57.647058823529413</v>
      </c>
      <c r="J663" s="98"/>
      <c r="K663" s="103"/>
      <c r="L663" s="103"/>
      <c r="M663" s="103"/>
      <c r="N663" s="10"/>
    </row>
    <row r="664" spans="1:14" x14ac:dyDescent="0.3">
      <c r="A664" s="4" t="s">
        <v>36</v>
      </c>
      <c r="B664" s="4" t="s">
        <v>37</v>
      </c>
      <c r="C664" s="4">
        <v>7</v>
      </c>
      <c r="D664" s="70">
        <v>6.8</v>
      </c>
      <c r="E664" s="51">
        <v>7</v>
      </c>
      <c r="F664" s="4" t="s">
        <v>69</v>
      </c>
      <c r="G664" s="4" t="s">
        <v>99</v>
      </c>
      <c r="H664" s="48">
        <f>IF(G664&gt;0,VLOOKUP(G664,Apoio!$A$2:$B$25,2,0),"")</f>
        <v>2</v>
      </c>
      <c r="I664" s="44">
        <f t="shared" si="87"/>
        <v>14.411764705882353</v>
      </c>
      <c r="J664" s="98"/>
      <c r="K664" s="103"/>
      <c r="L664" s="103"/>
      <c r="M664" s="103"/>
      <c r="N664" s="10"/>
    </row>
    <row r="665" spans="1:14" x14ac:dyDescent="0.3">
      <c r="A665" s="4" t="s">
        <v>36</v>
      </c>
      <c r="B665" s="4" t="s">
        <v>37</v>
      </c>
      <c r="C665" s="4">
        <v>7</v>
      </c>
      <c r="D665" s="70">
        <v>6.8</v>
      </c>
      <c r="E665" s="51">
        <v>7</v>
      </c>
      <c r="F665" s="4" t="s">
        <v>76</v>
      </c>
      <c r="G665" s="4" t="s">
        <v>102</v>
      </c>
      <c r="H665" s="48">
        <f>IF(G665&gt;0,VLOOKUP(G665,Apoio!$A$2:$B$25,2,0),"")</f>
        <v>5</v>
      </c>
      <c r="I665" s="44">
        <f t="shared" si="87"/>
        <v>36.029411764705884</v>
      </c>
      <c r="J665" s="98"/>
      <c r="K665" s="103"/>
      <c r="L665" s="103"/>
      <c r="M665" s="103"/>
      <c r="N665" s="10"/>
    </row>
    <row r="666" spans="1:14" x14ac:dyDescent="0.3">
      <c r="A666" s="4" t="s">
        <v>36</v>
      </c>
      <c r="B666" s="4" t="s">
        <v>37</v>
      </c>
      <c r="C666" s="4">
        <v>7</v>
      </c>
      <c r="D666" s="70">
        <v>6.8</v>
      </c>
      <c r="E666" s="51">
        <v>7</v>
      </c>
      <c r="F666" s="4" t="s">
        <v>76</v>
      </c>
      <c r="G666" s="4" t="s">
        <v>105</v>
      </c>
      <c r="H666" s="48">
        <f>IF(G666&gt;0,VLOOKUP(G666,Apoio!$A$2:$B$25,2,0),"")</f>
        <v>7</v>
      </c>
      <c r="I666" s="44">
        <f t="shared" si="87"/>
        <v>50.441176470588239</v>
      </c>
      <c r="J666" s="98"/>
      <c r="K666" s="103"/>
      <c r="L666" s="103"/>
      <c r="M666" s="103"/>
      <c r="N666" s="10"/>
    </row>
    <row r="667" spans="1:14" x14ac:dyDescent="0.3">
      <c r="A667" s="4" t="s">
        <v>36</v>
      </c>
      <c r="B667" s="4" t="s">
        <v>37</v>
      </c>
      <c r="C667" s="4">
        <v>7</v>
      </c>
      <c r="D667" s="70">
        <v>6.8</v>
      </c>
      <c r="E667" s="51">
        <v>7</v>
      </c>
      <c r="F667" s="4" t="s">
        <v>76</v>
      </c>
      <c r="G667" s="4" t="s">
        <v>108</v>
      </c>
      <c r="H667" s="48">
        <f>IF(G667&gt;0,VLOOKUP(G667,Apoio!$A$2:$B$25,2,0),"")</f>
        <v>8</v>
      </c>
      <c r="I667" s="44">
        <f t="shared" si="87"/>
        <v>57.647058823529413</v>
      </c>
      <c r="J667" s="98"/>
      <c r="K667" s="103"/>
      <c r="L667" s="103"/>
      <c r="M667" s="103"/>
      <c r="N667" s="10"/>
    </row>
    <row r="668" spans="1:14" x14ac:dyDescent="0.3">
      <c r="A668" s="4" t="s">
        <v>36</v>
      </c>
      <c r="B668" s="4" t="s">
        <v>37</v>
      </c>
      <c r="C668" s="4">
        <v>7</v>
      </c>
      <c r="D668" s="70">
        <v>6.8</v>
      </c>
      <c r="E668" s="51">
        <v>7</v>
      </c>
      <c r="F668" s="4" t="s">
        <v>76</v>
      </c>
      <c r="G668" s="4" t="s">
        <v>111</v>
      </c>
      <c r="H668" s="48">
        <f>IF(G668&gt;0,VLOOKUP(G668,Apoio!$A$2:$B$25,2,0),"")</f>
        <v>7</v>
      </c>
      <c r="I668" s="44">
        <f t="shared" si="87"/>
        <v>50.441176470588239</v>
      </c>
      <c r="J668" s="98"/>
      <c r="K668" s="103"/>
      <c r="L668" s="103"/>
      <c r="M668" s="103"/>
      <c r="N668" s="10"/>
    </row>
    <row r="669" spans="1:14" x14ac:dyDescent="0.3">
      <c r="A669" s="4" t="s">
        <v>36</v>
      </c>
      <c r="B669" s="4" t="s">
        <v>37</v>
      </c>
      <c r="C669" s="4">
        <v>7</v>
      </c>
      <c r="D669" s="70">
        <v>6.8</v>
      </c>
      <c r="E669" s="51">
        <v>7</v>
      </c>
      <c r="F669" s="4" t="s">
        <v>76</v>
      </c>
      <c r="G669" s="4" t="s">
        <v>114</v>
      </c>
      <c r="H669" s="48">
        <f>IF(G669&gt;0,VLOOKUP(G669,Apoio!$A$2:$B$25,2,0),"")</f>
        <v>8</v>
      </c>
      <c r="I669" s="44">
        <f t="shared" si="87"/>
        <v>57.647058823529413</v>
      </c>
      <c r="J669" s="98"/>
      <c r="K669" s="103"/>
      <c r="L669" s="103"/>
      <c r="M669" s="103"/>
      <c r="N669" s="10"/>
    </row>
    <row r="670" spans="1:14" x14ac:dyDescent="0.3">
      <c r="A670" s="4" t="s">
        <v>36</v>
      </c>
      <c r="B670" s="4" t="s">
        <v>37</v>
      </c>
      <c r="C670" s="4">
        <v>7</v>
      </c>
      <c r="D670" s="70">
        <v>6.8</v>
      </c>
      <c r="E670" s="51">
        <v>7</v>
      </c>
      <c r="F670" s="4" t="s">
        <v>76</v>
      </c>
      <c r="G670" s="4" t="s">
        <v>117</v>
      </c>
      <c r="H670" s="48">
        <f>IF(G670&gt;0,VLOOKUP(G670,Apoio!$A$2:$B$25,2,0),"")</f>
        <v>3</v>
      </c>
      <c r="I670" s="44">
        <f t="shared" si="87"/>
        <v>21.617647058823529</v>
      </c>
      <c r="J670" s="98"/>
      <c r="K670" s="103"/>
      <c r="L670" s="103"/>
      <c r="M670" s="103"/>
      <c r="N670" s="10"/>
    </row>
    <row r="671" spans="1:14" x14ac:dyDescent="0.3">
      <c r="A671" s="4" t="s">
        <v>36</v>
      </c>
      <c r="B671" s="4" t="s">
        <v>37</v>
      </c>
      <c r="C671" s="4">
        <v>7</v>
      </c>
      <c r="D671" s="70">
        <v>6.8</v>
      </c>
      <c r="E671" s="51">
        <v>7</v>
      </c>
      <c r="F671" s="4" t="s">
        <v>83</v>
      </c>
      <c r="G671" s="4" t="s">
        <v>120</v>
      </c>
      <c r="H671" s="48">
        <f>IF(G671&gt;0,VLOOKUP(G671,Apoio!$A$2:$B$25,2,0),"")</f>
        <v>7</v>
      </c>
      <c r="I671" s="44">
        <f t="shared" si="87"/>
        <v>50.441176470588239</v>
      </c>
      <c r="J671" s="98"/>
      <c r="K671" s="103"/>
      <c r="L671" s="103"/>
      <c r="M671" s="103"/>
      <c r="N671" s="10"/>
    </row>
    <row r="672" spans="1:14" x14ac:dyDescent="0.3">
      <c r="A672" s="4" t="s">
        <v>36</v>
      </c>
      <c r="B672" s="4" t="s">
        <v>37</v>
      </c>
      <c r="C672" s="4">
        <v>7</v>
      </c>
      <c r="D672" s="70">
        <v>6.8</v>
      </c>
      <c r="E672" s="51">
        <v>7</v>
      </c>
      <c r="F672" s="4" t="s">
        <v>83</v>
      </c>
      <c r="G672" s="4" t="s">
        <v>123</v>
      </c>
      <c r="H672" s="48">
        <f>IF(G672&gt;0,VLOOKUP(G672,Apoio!$A$2:$B$25,2,0),"")</f>
        <v>8</v>
      </c>
      <c r="I672" s="44">
        <f t="shared" si="87"/>
        <v>57.647058823529413</v>
      </c>
      <c r="J672" s="98"/>
      <c r="K672" s="103"/>
      <c r="L672" s="103"/>
      <c r="M672" s="103"/>
      <c r="N672" s="10"/>
    </row>
    <row r="673" spans="1:14" x14ac:dyDescent="0.3">
      <c r="A673" s="52" t="s">
        <v>36</v>
      </c>
      <c r="B673" s="4" t="s">
        <v>37</v>
      </c>
      <c r="C673" s="4">
        <v>7</v>
      </c>
      <c r="D673" s="70">
        <v>6.8</v>
      </c>
      <c r="E673" s="51">
        <v>7</v>
      </c>
      <c r="F673" s="4" t="s">
        <v>83</v>
      </c>
      <c r="G673" s="4" t="s">
        <v>126</v>
      </c>
      <c r="H673" s="48">
        <f>IF(G673&gt;0,VLOOKUP(G673,Apoio!$A$2:$B$25,2,0),"")</f>
        <v>8</v>
      </c>
      <c r="I673" s="44">
        <f t="shared" si="87"/>
        <v>57.647058823529413</v>
      </c>
      <c r="J673" s="98"/>
      <c r="K673" s="103"/>
      <c r="L673" s="103"/>
      <c r="M673" s="103"/>
      <c r="N673" s="10"/>
    </row>
    <row r="674" spans="1:14" x14ac:dyDescent="0.3">
      <c r="A674" s="4" t="s">
        <v>36</v>
      </c>
      <c r="B674" s="4" t="s">
        <v>37</v>
      </c>
      <c r="C674" s="4">
        <v>7</v>
      </c>
      <c r="D674" s="70">
        <v>6.8</v>
      </c>
      <c r="E674" s="51">
        <v>7</v>
      </c>
      <c r="F674" s="4" t="s">
        <v>83</v>
      </c>
      <c r="G674" s="4" t="s">
        <v>129</v>
      </c>
      <c r="H674" s="48">
        <f>IF(G674&gt;0,VLOOKUP(G674,Apoio!$A$2:$B$25,2,0),"")</f>
        <v>8</v>
      </c>
      <c r="I674" s="44">
        <f t="shared" si="87"/>
        <v>57.647058823529413</v>
      </c>
      <c r="J674" s="98"/>
      <c r="K674" s="103"/>
      <c r="L674" s="103"/>
      <c r="M674" s="103"/>
      <c r="N674" s="10"/>
    </row>
    <row r="675" spans="1:14" x14ac:dyDescent="0.3">
      <c r="A675" s="4" t="s">
        <v>36</v>
      </c>
      <c r="B675" s="4" t="s">
        <v>37</v>
      </c>
      <c r="C675" s="4">
        <v>7</v>
      </c>
      <c r="D675" s="70">
        <v>6.8</v>
      </c>
      <c r="E675" s="51">
        <v>7</v>
      </c>
      <c r="F675" s="4" t="s">
        <v>83</v>
      </c>
      <c r="G675" s="4" t="s">
        <v>132</v>
      </c>
      <c r="H675" s="48">
        <f>IF(G675&gt;0,VLOOKUP(G675,Apoio!$A$2:$B$25,2,0),"")</f>
        <v>7</v>
      </c>
      <c r="I675" s="44">
        <f t="shared" si="87"/>
        <v>50.441176470588239</v>
      </c>
      <c r="J675" s="98"/>
      <c r="K675" s="103"/>
      <c r="L675" s="103"/>
      <c r="M675" s="103"/>
      <c r="N675" s="10"/>
    </row>
    <row r="676" spans="1:14" x14ac:dyDescent="0.3">
      <c r="A676" s="4" t="s">
        <v>36</v>
      </c>
      <c r="B676" s="4" t="s">
        <v>37</v>
      </c>
      <c r="C676" s="4">
        <v>7</v>
      </c>
      <c r="D676" s="70">
        <v>6.8</v>
      </c>
      <c r="E676" s="51">
        <v>7</v>
      </c>
      <c r="F676" s="4" t="s">
        <v>83</v>
      </c>
      <c r="G676" s="4" t="s">
        <v>135</v>
      </c>
      <c r="H676" s="48">
        <f>IF(G676&gt;0,VLOOKUP(G676,Apoio!$A$2:$B$25,2,0),"")</f>
        <v>3</v>
      </c>
      <c r="I676" s="44">
        <f t="shared" si="87"/>
        <v>21.617647058823529</v>
      </c>
      <c r="J676" s="98"/>
      <c r="K676" s="103"/>
      <c r="L676" s="103"/>
      <c r="M676" s="103"/>
      <c r="N676" s="10"/>
    </row>
    <row r="677" spans="1:14" x14ac:dyDescent="0.3">
      <c r="A677" s="4" t="s">
        <v>36</v>
      </c>
      <c r="B677" s="4" t="s">
        <v>37</v>
      </c>
      <c r="C677" s="51">
        <v>7</v>
      </c>
      <c r="D677" s="71">
        <v>6.8</v>
      </c>
      <c r="E677" s="51">
        <v>7</v>
      </c>
      <c r="F677" s="4" t="s">
        <v>90</v>
      </c>
      <c r="G677" s="4" t="s">
        <v>138</v>
      </c>
      <c r="H677" s="48">
        <f>IF(G677&gt;0,VLOOKUP(G677,Apoio!$A$2:$B$25,2,0),"")</f>
        <v>8</v>
      </c>
      <c r="I677" s="44">
        <f t="shared" si="87"/>
        <v>57.647058823529413</v>
      </c>
      <c r="J677" s="98">
        <v>8</v>
      </c>
      <c r="K677" s="406">
        <f t="shared" ref="K677:K682" si="98">I677-J677</f>
        <v>49.647058823529413</v>
      </c>
      <c r="L677" s="103"/>
      <c r="M677" s="103"/>
      <c r="N677" s="10"/>
    </row>
    <row r="678" spans="1:14" x14ac:dyDescent="0.3">
      <c r="A678" s="4" t="s">
        <v>36</v>
      </c>
      <c r="B678" s="4" t="s">
        <v>37</v>
      </c>
      <c r="C678" s="51">
        <v>7</v>
      </c>
      <c r="D678" s="71">
        <v>6.8</v>
      </c>
      <c r="E678" s="51">
        <v>7</v>
      </c>
      <c r="F678" s="4" t="s">
        <v>90</v>
      </c>
      <c r="G678" s="4" t="s">
        <v>141</v>
      </c>
      <c r="H678" s="48">
        <f>IF(G678&gt;0,VLOOKUP(G678,Apoio!$A$2:$B$25,2,0),"")</f>
        <v>7</v>
      </c>
      <c r="I678" s="44">
        <f t="shared" si="87"/>
        <v>50.441176470588239</v>
      </c>
      <c r="J678" s="98">
        <v>8</v>
      </c>
      <c r="K678" s="406">
        <f t="shared" si="98"/>
        <v>42.441176470588239</v>
      </c>
      <c r="L678" s="103"/>
      <c r="M678" s="103"/>
      <c r="N678" s="10"/>
    </row>
    <row r="679" spans="1:14" x14ac:dyDescent="0.3">
      <c r="A679" s="4" t="s">
        <v>36</v>
      </c>
      <c r="B679" s="4" t="s">
        <v>37</v>
      </c>
      <c r="C679" s="51">
        <v>7</v>
      </c>
      <c r="D679" s="71">
        <v>6.8</v>
      </c>
      <c r="E679" s="51">
        <v>7</v>
      </c>
      <c r="F679" s="4" t="s">
        <v>90</v>
      </c>
      <c r="G679" s="4" t="s">
        <v>144</v>
      </c>
      <c r="H679" s="48">
        <f>IF(G679&gt;0,VLOOKUP(G679,Apoio!$A$2:$B$25,2,0),"")</f>
        <v>7</v>
      </c>
      <c r="I679" s="44">
        <f t="shared" si="87"/>
        <v>50.441176470588239</v>
      </c>
      <c r="J679" s="98">
        <v>8</v>
      </c>
      <c r="K679" s="406">
        <f t="shared" si="98"/>
        <v>42.441176470588239</v>
      </c>
      <c r="L679" s="103"/>
      <c r="M679" s="103"/>
      <c r="N679" s="10"/>
    </row>
    <row r="680" spans="1:14" x14ac:dyDescent="0.3">
      <c r="A680" s="4" t="s">
        <v>36</v>
      </c>
      <c r="B680" s="4" t="s">
        <v>37</v>
      </c>
      <c r="C680" s="51">
        <v>7</v>
      </c>
      <c r="D680" s="71">
        <v>6.8</v>
      </c>
      <c r="E680" s="51">
        <v>7</v>
      </c>
      <c r="F680" s="4" t="s">
        <v>90</v>
      </c>
      <c r="G680" s="4" t="s">
        <v>147</v>
      </c>
      <c r="H680" s="48">
        <f>IF(G680&gt;0,VLOOKUP(G680,Apoio!$A$2:$B$25,2,0),"")</f>
        <v>7</v>
      </c>
      <c r="I680" s="44">
        <f t="shared" si="87"/>
        <v>50.441176470588239</v>
      </c>
      <c r="J680" s="98">
        <v>8</v>
      </c>
      <c r="K680" s="406">
        <f t="shared" si="98"/>
        <v>42.441176470588239</v>
      </c>
      <c r="L680" s="103"/>
      <c r="M680" s="103"/>
      <c r="N680" s="10"/>
    </row>
    <row r="681" spans="1:14" x14ac:dyDescent="0.3">
      <c r="A681" s="4" t="s">
        <v>36</v>
      </c>
      <c r="B681" s="4" t="s">
        <v>37</v>
      </c>
      <c r="C681" s="51">
        <v>7</v>
      </c>
      <c r="D681" s="71">
        <v>6.8</v>
      </c>
      <c r="E681" s="51">
        <v>7</v>
      </c>
      <c r="F681" s="4" t="s">
        <v>90</v>
      </c>
      <c r="G681" s="4" t="s">
        <v>150</v>
      </c>
      <c r="H681" s="48">
        <f>IF(G681&gt;0,VLOOKUP(G681,Apoio!$A$2:$B$25,2,0),"")</f>
        <v>8</v>
      </c>
      <c r="I681" s="44">
        <f t="shared" si="87"/>
        <v>57.647058823529413</v>
      </c>
      <c r="J681" s="98">
        <v>8</v>
      </c>
      <c r="K681" s="406">
        <f t="shared" si="98"/>
        <v>49.647058823529413</v>
      </c>
      <c r="L681" s="103"/>
      <c r="M681" s="103"/>
      <c r="N681" s="10"/>
    </row>
    <row r="682" spans="1:14" x14ac:dyDescent="0.3">
      <c r="A682" s="4" t="s">
        <v>36</v>
      </c>
      <c r="B682" s="4" t="s">
        <v>37</v>
      </c>
      <c r="C682" s="51">
        <v>7</v>
      </c>
      <c r="D682" s="71">
        <v>6.8</v>
      </c>
      <c r="E682" s="51">
        <v>7</v>
      </c>
      <c r="F682" s="4" t="s">
        <v>90</v>
      </c>
      <c r="G682" s="4" t="s">
        <v>153</v>
      </c>
      <c r="H682" s="48">
        <f>IF(G682&gt;0,VLOOKUP(G682,Apoio!$A$2:$B$25,2,0),"")</f>
        <v>8</v>
      </c>
      <c r="I682" s="44">
        <f>IF(D682&gt;0,(((H682*E682)*C682)/D682),"")</f>
        <v>57.647058823529413</v>
      </c>
      <c r="J682" s="98">
        <v>8</v>
      </c>
      <c r="K682" s="406">
        <f t="shared" si="98"/>
        <v>49.647058823529413</v>
      </c>
      <c r="L682" s="103"/>
      <c r="M682" s="103"/>
      <c r="N682" s="10"/>
    </row>
    <row r="683" spans="1:14" x14ac:dyDescent="0.3">
      <c r="A683" s="80" t="s">
        <v>26</v>
      </c>
      <c r="B683" s="68" t="s">
        <v>29</v>
      </c>
      <c r="C683" s="55">
        <v>10</v>
      </c>
      <c r="D683" s="70">
        <v>6.6</v>
      </c>
      <c r="E683" s="51">
        <v>7</v>
      </c>
      <c r="F683" s="4" t="s">
        <v>69</v>
      </c>
      <c r="G683" s="4" t="s">
        <v>68</v>
      </c>
      <c r="H683" s="48">
        <f>IF(G683&gt;0,VLOOKUP(G683,Apoio!$A$2:$B$25,2,0),"")</f>
        <v>7</v>
      </c>
      <c r="I683" s="44">
        <f>IF(D683&gt;0,(((H683*E683)*C683)/D683),"")</f>
        <v>74.242424242424249</v>
      </c>
      <c r="J683" s="98"/>
      <c r="K683" s="103"/>
      <c r="L683" s="103"/>
      <c r="M683" s="103"/>
      <c r="N683" s="10"/>
    </row>
    <row r="684" spans="1:14" x14ac:dyDescent="0.3">
      <c r="A684" s="80" t="s">
        <v>26</v>
      </c>
      <c r="B684" s="68" t="s">
        <v>29</v>
      </c>
      <c r="C684" s="55">
        <v>10</v>
      </c>
      <c r="D684" s="70">
        <v>6.6</v>
      </c>
      <c r="E684" s="51">
        <v>7</v>
      </c>
      <c r="F684" s="4" t="s">
        <v>69</v>
      </c>
      <c r="G684" s="4" t="s">
        <v>75</v>
      </c>
      <c r="H684" s="48">
        <f>IF(G684&gt;0,VLOOKUP(G684,Apoio!$A$2:$B$25,2,0),"")</f>
        <v>8</v>
      </c>
      <c r="I684" s="44">
        <f t="shared" si="87"/>
        <v>84.848484848484858</v>
      </c>
      <c r="J684" s="98"/>
      <c r="K684" s="103"/>
      <c r="L684" s="103"/>
      <c r="M684" s="103"/>
      <c r="N684" s="10"/>
    </row>
    <row r="685" spans="1:14" x14ac:dyDescent="0.3">
      <c r="A685" s="80" t="s">
        <v>26</v>
      </c>
      <c r="B685" s="68" t="s">
        <v>29</v>
      </c>
      <c r="C685" s="55">
        <v>10</v>
      </c>
      <c r="D685" s="70">
        <v>6.6</v>
      </c>
      <c r="E685" s="51">
        <v>7</v>
      </c>
      <c r="F685" s="4" t="s">
        <v>69</v>
      </c>
      <c r="G685" s="4" t="s">
        <v>82</v>
      </c>
      <c r="H685" s="48">
        <f>IF(G685&gt;0,VLOOKUP(G685,Apoio!$A$2:$B$25,2,0),"")</f>
        <v>6</v>
      </c>
      <c r="I685" s="44">
        <f t="shared" si="87"/>
        <v>63.63636363636364</v>
      </c>
      <c r="J685" s="98"/>
      <c r="K685" s="103"/>
      <c r="L685" s="103"/>
      <c r="M685" s="103"/>
      <c r="N685" s="10"/>
    </row>
    <row r="686" spans="1:14" x14ac:dyDescent="0.3">
      <c r="A686" s="80" t="s">
        <v>26</v>
      </c>
      <c r="B686" s="68" t="s">
        <v>29</v>
      </c>
      <c r="C686" s="55">
        <v>10</v>
      </c>
      <c r="D686" s="70">
        <v>6.6</v>
      </c>
      <c r="E686" s="51">
        <v>7</v>
      </c>
      <c r="F686" s="4" t="s">
        <v>69</v>
      </c>
      <c r="G686" s="4" t="s">
        <v>89</v>
      </c>
      <c r="H686" s="48">
        <f>IF(G686&gt;0,VLOOKUP(G686,Apoio!$A$2:$B$25,2,0),"")</f>
        <v>8</v>
      </c>
      <c r="I686" s="44">
        <f t="shared" si="87"/>
        <v>84.848484848484858</v>
      </c>
      <c r="J686" s="98"/>
      <c r="K686" s="103"/>
      <c r="L686" s="103"/>
      <c r="M686" s="103"/>
      <c r="N686" s="10"/>
    </row>
    <row r="687" spans="1:14" x14ac:dyDescent="0.3">
      <c r="A687" s="80" t="s">
        <v>26</v>
      </c>
      <c r="B687" s="68" t="s">
        <v>29</v>
      </c>
      <c r="C687" s="55">
        <v>10</v>
      </c>
      <c r="D687" s="70">
        <v>6.6</v>
      </c>
      <c r="E687" s="51">
        <v>7</v>
      </c>
      <c r="F687" s="4" t="s">
        <v>69</v>
      </c>
      <c r="G687" s="4" t="s">
        <v>96</v>
      </c>
      <c r="H687" s="48">
        <f>IF(G687&gt;0,VLOOKUP(G687,Apoio!$A$2:$B$25,2,0),"")</f>
        <v>8</v>
      </c>
      <c r="I687" s="44">
        <f t="shared" si="87"/>
        <v>84.848484848484858</v>
      </c>
      <c r="J687" s="98"/>
      <c r="K687" s="103"/>
      <c r="L687" s="103"/>
      <c r="M687" s="103"/>
      <c r="N687" s="10"/>
    </row>
    <row r="688" spans="1:14" x14ac:dyDescent="0.3">
      <c r="A688" s="80" t="s">
        <v>26</v>
      </c>
      <c r="B688" s="68" t="s">
        <v>29</v>
      </c>
      <c r="C688" s="55">
        <v>10</v>
      </c>
      <c r="D688" s="70">
        <v>6.6</v>
      </c>
      <c r="E688" s="51">
        <v>7</v>
      </c>
      <c r="F688" s="4" t="s">
        <v>69</v>
      </c>
      <c r="G688" s="4" t="s">
        <v>99</v>
      </c>
      <c r="H688" s="48">
        <f>IF(G688&gt;0,VLOOKUP(G688,Apoio!$A$2:$B$25,2,0),"")</f>
        <v>2</v>
      </c>
      <c r="I688" s="44">
        <f t="shared" si="87"/>
        <v>21.212121212121215</v>
      </c>
      <c r="J688" s="98"/>
      <c r="K688" s="103"/>
      <c r="L688" s="103"/>
      <c r="M688" s="103"/>
      <c r="N688" s="10"/>
    </row>
    <row r="689" spans="1:14" x14ac:dyDescent="0.3">
      <c r="A689" s="80" t="s">
        <v>26</v>
      </c>
      <c r="B689" s="68" t="s">
        <v>29</v>
      </c>
      <c r="C689" s="55">
        <v>10</v>
      </c>
      <c r="D689" s="70">
        <v>6.6</v>
      </c>
      <c r="E689" s="51">
        <v>7</v>
      </c>
      <c r="F689" s="4" t="s">
        <v>76</v>
      </c>
      <c r="G689" s="4" t="s">
        <v>102</v>
      </c>
      <c r="H689" s="48">
        <f>IF(G689&gt;0,VLOOKUP(G689,Apoio!$A$2:$B$25,2,0),"")</f>
        <v>5</v>
      </c>
      <c r="I689" s="44">
        <f t="shared" si="87"/>
        <v>53.030303030303031</v>
      </c>
      <c r="J689" s="98"/>
      <c r="K689" s="103"/>
      <c r="L689" s="103"/>
      <c r="M689" s="103"/>
      <c r="N689" s="10"/>
    </row>
    <row r="690" spans="1:14" x14ac:dyDescent="0.3">
      <c r="A690" s="80" t="s">
        <v>26</v>
      </c>
      <c r="B690" s="68" t="s">
        <v>29</v>
      </c>
      <c r="C690" s="55">
        <v>10</v>
      </c>
      <c r="D690" s="70">
        <v>6.6</v>
      </c>
      <c r="E690" s="51">
        <v>7</v>
      </c>
      <c r="F690" s="4" t="s">
        <v>76</v>
      </c>
      <c r="G690" s="4" t="s">
        <v>105</v>
      </c>
      <c r="H690" s="48">
        <f>IF(G690&gt;0,VLOOKUP(G690,Apoio!$A$2:$B$25,2,0),"")</f>
        <v>7</v>
      </c>
      <c r="I690" s="44">
        <f t="shared" si="87"/>
        <v>74.242424242424249</v>
      </c>
      <c r="J690" s="98"/>
      <c r="K690" s="103"/>
      <c r="L690" s="103"/>
      <c r="M690" s="103"/>
      <c r="N690" s="10"/>
    </row>
    <row r="691" spans="1:14" x14ac:dyDescent="0.3">
      <c r="A691" s="80" t="s">
        <v>26</v>
      </c>
      <c r="B691" s="68" t="s">
        <v>29</v>
      </c>
      <c r="C691" s="55">
        <v>10</v>
      </c>
      <c r="D691" s="70">
        <v>6.6</v>
      </c>
      <c r="E691" s="51">
        <v>7</v>
      </c>
      <c r="F691" s="4" t="s">
        <v>76</v>
      </c>
      <c r="G691" s="4" t="s">
        <v>108</v>
      </c>
      <c r="H691" s="48">
        <f>IF(G691&gt;0,VLOOKUP(G691,Apoio!$A$2:$B$25,2,0),"")</f>
        <v>8</v>
      </c>
      <c r="I691" s="44">
        <f t="shared" si="87"/>
        <v>84.848484848484858</v>
      </c>
      <c r="J691" s="98"/>
      <c r="K691" s="103"/>
      <c r="L691" s="103"/>
      <c r="M691" s="103"/>
      <c r="N691" s="10"/>
    </row>
    <row r="692" spans="1:14" x14ac:dyDescent="0.3">
      <c r="A692" s="80" t="s">
        <v>26</v>
      </c>
      <c r="B692" s="68" t="s">
        <v>29</v>
      </c>
      <c r="C692" s="55">
        <v>10</v>
      </c>
      <c r="D692" s="70">
        <v>6.6</v>
      </c>
      <c r="E692" s="51">
        <v>7</v>
      </c>
      <c r="F692" s="4" t="s">
        <v>76</v>
      </c>
      <c r="G692" s="4" t="s">
        <v>111</v>
      </c>
      <c r="H692" s="48">
        <f>IF(G692&gt;0,VLOOKUP(G692,Apoio!$A$2:$B$25,2,0),"")</f>
        <v>7</v>
      </c>
      <c r="I692" s="44">
        <f t="shared" si="87"/>
        <v>74.242424242424249</v>
      </c>
      <c r="J692" s="98"/>
      <c r="K692" s="103"/>
      <c r="L692" s="103"/>
      <c r="M692" s="103"/>
      <c r="N692" s="10"/>
    </row>
    <row r="693" spans="1:14" x14ac:dyDescent="0.3">
      <c r="A693" s="80" t="s">
        <v>26</v>
      </c>
      <c r="B693" s="68" t="s">
        <v>29</v>
      </c>
      <c r="C693" s="55">
        <v>10</v>
      </c>
      <c r="D693" s="70">
        <v>6.6</v>
      </c>
      <c r="E693" s="51">
        <v>7</v>
      </c>
      <c r="F693" s="4" t="s">
        <v>76</v>
      </c>
      <c r="G693" s="4" t="s">
        <v>114</v>
      </c>
      <c r="H693" s="48">
        <f>IF(G693&gt;0,VLOOKUP(G693,Apoio!$A$2:$B$25,2,0),"")</f>
        <v>8</v>
      </c>
      <c r="I693" s="44">
        <f t="shared" si="87"/>
        <v>84.848484848484858</v>
      </c>
      <c r="J693" s="98"/>
      <c r="K693" s="103"/>
      <c r="L693" s="103"/>
      <c r="M693" s="103"/>
      <c r="N693" s="10"/>
    </row>
    <row r="694" spans="1:14" x14ac:dyDescent="0.3">
      <c r="A694" s="80" t="s">
        <v>26</v>
      </c>
      <c r="B694" s="68" t="s">
        <v>29</v>
      </c>
      <c r="C694" s="55">
        <v>10</v>
      </c>
      <c r="D694" s="70">
        <v>6.6</v>
      </c>
      <c r="E694" s="51">
        <v>7</v>
      </c>
      <c r="F694" s="4" t="s">
        <v>76</v>
      </c>
      <c r="G694" s="4" t="s">
        <v>117</v>
      </c>
      <c r="H694" s="48">
        <f>IF(G694&gt;0,VLOOKUP(G694,Apoio!$A$2:$B$25,2,0),"")</f>
        <v>3</v>
      </c>
      <c r="I694" s="44">
        <f t="shared" si="87"/>
        <v>31.81818181818182</v>
      </c>
      <c r="J694" s="98"/>
      <c r="K694" s="103"/>
      <c r="L694" s="103"/>
      <c r="M694" s="103"/>
      <c r="N694" s="10"/>
    </row>
    <row r="695" spans="1:14" x14ac:dyDescent="0.3">
      <c r="A695" s="80" t="s">
        <v>26</v>
      </c>
      <c r="B695" s="68" t="s">
        <v>29</v>
      </c>
      <c r="C695" s="55">
        <v>10</v>
      </c>
      <c r="D695" s="70">
        <v>6.6</v>
      </c>
      <c r="E695" s="51">
        <v>7</v>
      </c>
      <c r="F695" s="4" t="s">
        <v>83</v>
      </c>
      <c r="G695" s="4" t="s">
        <v>120</v>
      </c>
      <c r="H695" s="48">
        <f>IF(G695&gt;0,VLOOKUP(G695,Apoio!$A$2:$B$25,2,0),"")</f>
        <v>7</v>
      </c>
      <c r="I695" s="44">
        <f t="shared" ref="I695:I737" si="99">IF(D695&gt;0,(((H695*E695)*C695)/D695),"")</f>
        <v>74.242424242424249</v>
      </c>
      <c r="J695" s="98">
        <v>2</v>
      </c>
      <c r="K695" s="103"/>
      <c r="L695" s="103"/>
      <c r="M695" s="103"/>
      <c r="N695" s="10"/>
    </row>
    <row r="696" spans="1:14" x14ac:dyDescent="0.3">
      <c r="A696" s="80" t="s">
        <v>26</v>
      </c>
      <c r="B696" s="68" t="s">
        <v>29</v>
      </c>
      <c r="C696" s="55">
        <v>10</v>
      </c>
      <c r="D696" s="70">
        <v>6.6</v>
      </c>
      <c r="E696" s="51">
        <v>7</v>
      </c>
      <c r="F696" s="4" t="s">
        <v>83</v>
      </c>
      <c r="G696" s="4" t="s">
        <v>123</v>
      </c>
      <c r="H696" s="48">
        <f>IF(G696&gt;0,VLOOKUP(G696,Apoio!$A$2:$B$25,2,0),"")</f>
        <v>8</v>
      </c>
      <c r="I696" s="44">
        <f t="shared" si="99"/>
        <v>84.848484848484858</v>
      </c>
      <c r="J696" s="98">
        <v>2</v>
      </c>
      <c r="K696" s="103"/>
      <c r="L696" s="103"/>
      <c r="M696" s="103"/>
      <c r="N696" s="10"/>
    </row>
    <row r="697" spans="1:14" x14ac:dyDescent="0.3">
      <c r="A697" s="80" t="s">
        <v>26</v>
      </c>
      <c r="B697" s="68" t="s">
        <v>29</v>
      </c>
      <c r="C697" s="55">
        <v>10</v>
      </c>
      <c r="D697" s="70">
        <v>6.6</v>
      </c>
      <c r="E697" s="51">
        <v>7</v>
      </c>
      <c r="F697" s="4" t="s">
        <v>83</v>
      </c>
      <c r="G697" s="4" t="s">
        <v>126</v>
      </c>
      <c r="H697" s="48">
        <f>IF(G697&gt;0,VLOOKUP(G697,Apoio!$A$2:$B$25,2,0),"")</f>
        <v>8</v>
      </c>
      <c r="I697" s="44">
        <f t="shared" si="99"/>
        <v>84.848484848484858</v>
      </c>
      <c r="J697" s="98">
        <v>2</v>
      </c>
      <c r="K697" s="103"/>
      <c r="L697" s="103"/>
      <c r="M697" s="103"/>
      <c r="N697" s="10"/>
    </row>
    <row r="698" spans="1:14" x14ac:dyDescent="0.3">
      <c r="A698" s="80" t="s">
        <v>26</v>
      </c>
      <c r="B698" s="68" t="s">
        <v>29</v>
      </c>
      <c r="C698" s="55">
        <v>10</v>
      </c>
      <c r="D698" s="70">
        <v>6.6</v>
      </c>
      <c r="E698" s="51">
        <v>7</v>
      </c>
      <c r="F698" s="4" t="s">
        <v>83</v>
      </c>
      <c r="G698" s="4" t="s">
        <v>129</v>
      </c>
      <c r="H698" s="48">
        <f>IF(G698&gt;0,VLOOKUP(G698,Apoio!$A$2:$B$25,2,0),"")</f>
        <v>8</v>
      </c>
      <c r="I698" s="44">
        <f t="shared" si="99"/>
        <v>84.848484848484858</v>
      </c>
      <c r="J698" s="98"/>
      <c r="K698" s="103"/>
      <c r="L698" s="103"/>
      <c r="M698" s="103"/>
      <c r="N698" s="10"/>
    </row>
    <row r="699" spans="1:14" x14ac:dyDescent="0.3">
      <c r="A699" s="80" t="s">
        <v>26</v>
      </c>
      <c r="B699" s="68" t="s">
        <v>29</v>
      </c>
      <c r="C699" s="55">
        <v>10</v>
      </c>
      <c r="D699" s="70">
        <v>6.6</v>
      </c>
      <c r="E699" s="51">
        <v>7</v>
      </c>
      <c r="F699" s="4" t="s">
        <v>83</v>
      </c>
      <c r="G699" s="4" t="s">
        <v>132</v>
      </c>
      <c r="H699" s="48">
        <f>IF(G699&gt;0,VLOOKUP(G699,Apoio!$A$2:$B$25,2,0),"")</f>
        <v>7</v>
      </c>
      <c r="I699" s="44">
        <f t="shared" si="99"/>
        <v>74.242424242424249</v>
      </c>
      <c r="J699" s="98"/>
      <c r="K699" s="103"/>
      <c r="L699" s="103"/>
      <c r="M699" s="103"/>
      <c r="N699" s="10"/>
    </row>
    <row r="700" spans="1:14" x14ac:dyDescent="0.3">
      <c r="A700" s="80" t="s">
        <v>26</v>
      </c>
      <c r="B700" s="68" t="s">
        <v>29</v>
      </c>
      <c r="C700" s="55">
        <v>10</v>
      </c>
      <c r="D700" s="70">
        <v>6.6</v>
      </c>
      <c r="E700" s="51">
        <v>7</v>
      </c>
      <c r="F700" s="4" t="s">
        <v>83</v>
      </c>
      <c r="G700" s="4" t="s">
        <v>135</v>
      </c>
      <c r="H700" s="48">
        <f>IF(G700&gt;0,VLOOKUP(G700,Apoio!$A$2:$B$25,2,0),"")</f>
        <v>3</v>
      </c>
      <c r="I700" s="44">
        <f t="shared" si="99"/>
        <v>31.81818181818182</v>
      </c>
      <c r="J700" s="98"/>
      <c r="K700" s="103"/>
      <c r="L700" s="103"/>
      <c r="M700" s="103"/>
      <c r="N700" s="10"/>
    </row>
    <row r="701" spans="1:14" x14ac:dyDescent="0.3">
      <c r="A701" s="80" t="s">
        <v>26</v>
      </c>
      <c r="B701" s="68" t="s">
        <v>29</v>
      </c>
      <c r="C701" s="90">
        <v>10</v>
      </c>
      <c r="D701" s="71">
        <v>6.6</v>
      </c>
      <c r="E701" s="51">
        <v>7</v>
      </c>
      <c r="F701" s="4" t="s">
        <v>90</v>
      </c>
      <c r="G701" s="4" t="s">
        <v>138</v>
      </c>
      <c r="H701" s="48">
        <f>IF(G701&gt;0,VLOOKUP(G701,Apoio!$A$2:$B$25,2,0),"")</f>
        <v>8</v>
      </c>
      <c r="I701" s="44">
        <f t="shared" si="99"/>
        <v>84.848484848484858</v>
      </c>
      <c r="J701" s="98">
        <v>8</v>
      </c>
      <c r="K701" s="406">
        <f t="shared" ref="K701:K706" si="100">I701-J701</f>
        <v>76.848484848484858</v>
      </c>
      <c r="L701" s="103"/>
      <c r="M701" s="103"/>
      <c r="N701" s="10"/>
    </row>
    <row r="702" spans="1:14" x14ac:dyDescent="0.3">
      <c r="A702" s="80" t="s">
        <v>26</v>
      </c>
      <c r="B702" s="68" t="s">
        <v>29</v>
      </c>
      <c r="C702" s="90">
        <v>10</v>
      </c>
      <c r="D702" s="71">
        <v>6.6</v>
      </c>
      <c r="E702" s="51">
        <v>7</v>
      </c>
      <c r="F702" s="4" t="s">
        <v>90</v>
      </c>
      <c r="G702" s="4" t="s">
        <v>141</v>
      </c>
      <c r="H702" s="48">
        <f>IF(G702&gt;0,VLOOKUP(G702,Apoio!$A$2:$B$25,2,0),"")</f>
        <v>7</v>
      </c>
      <c r="I702" s="44">
        <f t="shared" si="99"/>
        <v>74.242424242424249</v>
      </c>
      <c r="J702" s="98">
        <v>8</v>
      </c>
      <c r="K702" s="406">
        <f t="shared" si="100"/>
        <v>66.242424242424249</v>
      </c>
      <c r="L702" s="103"/>
      <c r="M702" s="103"/>
      <c r="N702" s="10"/>
    </row>
    <row r="703" spans="1:14" x14ac:dyDescent="0.3">
      <c r="A703" s="80" t="s">
        <v>26</v>
      </c>
      <c r="B703" s="68" t="s">
        <v>29</v>
      </c>
      <c r="C703" s="90">
        <v>10</v>
      </c>
      <c r="D703" s="71">
        <v>6.6</v>
      </c>
      <c r="E703" s="51">
        <v>7</v>
      </c>
      <c r="F703" s="4" t="s">
        <v>90</v>
      </c>
      <c r="G703" s="4" t="s">
        <v>144</v>
      </c>
      <c r="H703" s="48">
        <f>IF(G703&gt;0,VLOOKUP(G703,Apoio!$A$2:$B$25,2,0),"")</f>
        <v>7</v>
      </c>
      <c r="I703" s="44">
        <f t="shared" si="99"/>
        <v>74.242424242424249</v>
      </c>
      <c r="J703" s="98">
        <v>8</v>
      </c>
      <c r="K703" s="406">
        <f t="shared" si="100"/>
        <v>66.242424242424249</v>
      </c>
      <c r="L703" s="103"/>
      <c r="M703" s="103"/>
      <c r="N703" s="10"/>
    </row>
    <row r="704" spans="1:14" x14ac:dyDescent="0.3">
      <c r="A704" s="80" t="s">
        <v>26</v>
      </c>
      <c r="B704" s="68" t="s">
        <v>29</v>
      </c>
      <c r="C704" s="90">
        <v>10</v>
      </c>
      <c r="D704" s="71">
        <v>6.6</v>
      </c>
      <c r="E704" s="51">
        <v>7</v>
      </c>
      <c r="F704" s="4" t="s">
        <v>90</v>
      </c>
      <c r="G704" s="4" t="s">
        <v>147</v>
      </c>
      <c r="H704" s="48">
        <f>IF(G704&gt;0,VLOOKUP(G704,Apoio!$A$2:$B$25,2,0),"")</f>
        <v>7</v>
      </c>
      <c r="I704" s="44">
        <f t="shared" si="99"/>
        <v>74.242424242424249</v>
      </c>
      <c r="J704" s="98">
        <v>8</v>
      </c>
      <c r="K704" s="406">
        <f t="shared" si="100"/>
        <v>66.242424242424249</v>
      </c>
      <c r="L704" s="103"/>
      <c r="M704" s="103"/>
      <c r="N704" s="10"/>
    </row>
    <row r="705" spans="1:14" x14ac:dyDescent="0.3">
      <c r="A705" s="80" t="s">
        <v>26</v>
      </c>
      <c r="B705" s="68" t="s">
        <v>29</v>
      </c>
      <c r="C705" s="90">
        <v>10</v>
      </c>
      <c r="D705" s="71">
        <v>6.6</v>
      </c>
      <c r="E705" s="51">
        <v>7</v>
      </c>
      <c r="F705" s="4" t="s">
        <v>90</v>
      </c>
      <c r="G705" s="4" t="s">
        <v>150</v>
      </c>
      <c r="H705" s="48">
        <f>IF(G705&gt;0,VLOOKUP(G705,Apoio!$A$2:$B$25,2,0),"")</f>
        <v>8</v>
      </c>
      <c r="I705" s="44">
        <f t="shared" si="99"/>
        <v>84.848484848484858</v>
      </c>
      <c r="J705" s="98">
        <v>8</v>
      </c>
      <c r="K705" s="406">
        <f t="shared" si="100"/>
        <v>76.848484848484858</v>
      </c>
      <c r="L705" s="103"/>
      <c r="M705" s="103"/>
      <c r="N705" s="10"/>
    </row>
    <row r="706" spans="1:14" x14ac:dyDescent="0.3">
      <c r="A706" s="80" t="s">
        <v>26</v>
      </c>
      <c r="B706" s="68" t="s">
        <v>29</v>
      </c>
      <c r="C706" s="90">
        <v>10</v>
      </c>
      <c r="D706" s="71">
        <v>6.6</v>
      </c>
      <c r="E706" s="51">
        <v>7</v>
      </c>
      <c r="F706" s="4" t="s">
        <v>90</v>
      </c>
      <c r="G706" s="4" t="s">
        <v>153</v>
      </c>
      <c r="H706" s="48">
        <f>IF(G706&gt;0,VLOOKUP(G706,Apoio!$A$2:$B$25,2,0),"")</f>
        <v>8</v>
      </c>
      <c r="I706" s="44">
        <f>IF(D706&gt;0,(((H706*E706)*C706)/D706),"")</f>
        <v>84.848484848484858</v>
      </c>
      <c r="J706" s="98">
        <v>8</v>
      </c>
      <c r="K706" s="406">
        <f t="shared" si="100"/>
        <v>76.848484848484858</v>
      </c>
      <c r="L706" s="103"/>
      <c r="M706" s="103"/>
      <c r="N706" s="10"/>
    </row>
    <row r="707" spans="1:14" x14ac:dyDescent="0.3">
      <c r="A707" s="4" t="s">
        <v>36</v>
      </c>
      <c r="B707" s="68" t="s">
        <v>38</v>
      </c>
      <c r="C707" s="58">
        <v>6</v>
      </c>
      <c r="D707" s="70">
        <v>7</v>
      </c>
      <c r="E707" s="51">
        <v>7</v>
      </c>
      <c r="F707" s="4" t="s">
        <v>69</v>
      </c>
      <c r="G707" s="4" t="s">
        <v>68</v>
      </c>
      <c r="H707" s="48">
        <f>IF(G707&gt;0,VLOOKUP(G707,Apoio!$A$2:$B$25,2,0),"")</f>
        <v>7</v>
      </c>
      <c r="I707" s="44">
        <f t="shared" si="99"/>
        <v>42</v>
      </c>
      <c r="J707" s="98"/>
      <c r="K707" s="103"/>
      <c r="L707" s="103"/>
      <c r="M707" s="103"/>
      <c r="N707" s="10"/>
    </row>
    <row r="708" spans="1:14" x14ac:dyDescent="0.3">
      <c r="A708" s="4" t="s">
        <v>36</v>
      </c>
      <c r="B708" s="68" t="s">
        <v>38</v>
      </c>
      <c r="C708" s="58">
        <v>6</v>
      </c>
      <c r="D708" s="70">
        <v>7</v>
      </c>
      <c r="E708" s="51">
        <v>7</v>
      </c>
      <c r="F708" s="4" t="s">
        <v>69</v>
      </c>
      <c r="G708" s="4" t="s">
        <v>75</v>
      </c>
      <c r="H708" s="48">
        <f>IF(G708&gt;0,VLOOKUP(G708,Apoio!$A$2:$B$25,2,0),"")</f>
        <v>8</v>
      </c>
      <c r="I708" s="44">
        <f t="shared" si="99"/>
        <v>48</v>
      </c>
      <c r="J708" s="98"/>
      <c r="K708" s="103"/>
      <c r="L708" s="103"/>
      <c r="M708" s="103"/>
      <c r="N708" s="10"/>
    </row>
    <row r="709" spans="1:14" x14ac:dyDescent="0.3">
      <c r="A709" s="4" t="s">
        <v>36</v>
      </c>
      <c r="B709" s="68" t="s">
        <v>38</v>
      </c>
      <c r="C709" s="58">
        <v>6</v>
      </c>
      <c r="D709" s="70">
        <v>7</v>
      </c>
      <c r="E709" s="51">
        <v>7</v>
      </c>
      <c r="F709" s="4" t="s">
        <v>69</v>
      </c>
      <c r="G709" s="4" t="s">
        <v>82</v>
      </c>
      <c r="H709" s="48">
        <f>IF(G709&gt;0,VLOOKUP(G709,Apoio!$A$2:$B$25,2,0),"")</f>
        <v>6</v>
      </c>
      <c r="I709" s="44">
        <f t="shared" si="99"/>
        <v>36</v>
      </c>
      <c r="J709" s="98"/>
      <c r="K709" s="103"/>
      <c r="L709" s="103"/>
      <c r="M709" s="103"/>
      <c r="N709" s="10"/>
    </row>
    <row r="710" spans="1:14" x14ac:dyDescent="0.3">
      <c r="A710" s="4" t="s">
        <v>36</v>
      </c>
      <c r="B710" s="68" t="s">
        <v>38</v>
      </c>
      <c r="C710" s="58">
        <v>6</v>
      </c>
      <c r="D710" s="70">
        <v>7</v>
      </c>
      <c r="E710" s="51">
        <v>7</v>
      </c>
      <c r="F710" s="4" t="s">
        <v>69</v>
      </c>
      <c r="G710" s="4" t="s">
        <v>89</v>
      </c>
      <c r="H710" s="48">
        <f>IF(G710&gt;0,VLOOKUP(G710,Apoio!$A$2:$B$25,2,0),"")</f>
        <v>8</v>
      </c>
      <c r="I710" s="44">
        <f t="shared" si="99"/>
        <v>48</v>
      </c>
      <c r="J710" s="98"/>
      <c r="K710" s="103"/>
      <c r="L710" s="103"/>
      <c r="M710" s="103"/>
      <c r="N710" s="10"/>
    </row>
    <row r="711" spans="1:14" x14ac:dyDescent="0.3">
      <c r="A711" s="4" t="s">
        <v>36</v>
      </c>
      <c r="B711" s="68" t="s">
        <v>38</v>
      </c>
      <c r="C711" s="58">
        <v>6</v>
      </c>
      <c r="D711" s="70">
        <v>7</v>
      </c>
      <c r="E711" s="51">
        <v>7</v>
      </c>
      <c r="F711" s="4" t="s">
        <v>69</v>
      </c>
      <c r="G711" s="4" t="s">
        <v>96</v>
      </c>
      <c r="H711" s="48">
        <f>IF(G711&gt;0,VLOOKUP(G711,Apoio!$A$2:$B$25,2,0),"")</f>
        <v>8</v>
      </c>
      <c r="I711" s="44">
        <f t="shared" si="99"/>
        <v>48</v>
      </c>
      <c r="J711" s="98"/>
      <c r="K711" s="103"/>
      <c r="L711" s="103"/>
      <c r="M711" s="103"/>
      <c r="N711" s="10"/>
    </row>
    <row r="712" spans="1:14" x14ac:dyDescent="0.3">
      <c r="A712" s="4" t="s">
        <v>36</v>
      </c>
      <c r="B712" s="68" t="s">
        <v>38</v>
      </c>
      <c r="C712" s="58">
        <v>6</v>
      </c>
      <c r="D712" s="70">
        <v>7</v>
      </c>
      <c r="E712" s="51">
        <v>7</v>
      </c>
      <c r="F712" s="4" t="s">
        <v>69</v>
      </c>
      <c r="G712" s="4" t="s">
        <v>99</v>
      </c>
      <c r="H712" s="48">
        <f>IF(G712&gt;0,VLOOKUP(G712,Apoio!$A$2:$B$25,2,0),"")</f>
        <v>2</v>
      </c>
      <c r="I712" s="44">
        <f t="shared" si="99"/>
        <v>12</v>
      </c>
      <c r="J712" s="98"/>
      <c r="K712" s="103"/>
      <c r="L712" s="103"/>
      <c r="M712" s="103"/>
      <c r="N712" s="10"/>
    </row>
    <row r="713" spans="1:14" x14ac:dyDescent="0.3">
      <c r="A713" s="4" t="s">
        <v>36</v>
      </c>
      <c r="B713" s="68" t="s">
        <v>38</v>
      </c>
      <c r="C713" s="58">
        <v>6</v>
      </c>
      <c r="D713" s="70">
        <v>7</v>
      </c>
      <c r="E713" s="51">
        <v>7</v>
      </c>
      <c r="F713" s="4" t="s">
        <v>76</v>
      </c>
      <c r="G713" s="4" t="s">
        <v>102</v>
      </c>
      <c r="H713" s="48">
        <f>IF(G713&gt;0,VLOOKUP(G713,Apoio!$A$2:$B$25,2,0),"")</f>
        <v>5</v>
      </c>
      <c r="I713" s="44">
        <f t="shared" si="99"/>
        <v>30</v>
      </c>
      <c r="J713" s="98"/>
      <c r="K713" s="103"/>
      <c r="L713" s="103"/>
      <c r="M713" s="103"/>
      <c r="N713" s="10"/>
    </row>
    <row r="714" spans="1:14" x14ac:dyDescent="0.3">
      <c r="A714" s="4" t="s">
        <v>36</v>
      </c>
      <c r="B714" s="68" t="s">
        <v>38</v>
      </c>
      <c r="C714" s="58">
        <v>6</v>
      </c>
      <c r="D714" s="70">
        <v>7</v>
      </c>
      <c r="E714" s="51">
        <v>7</v>
      </c>
      <c r="F714" s="4" t="s">
        <v>76</v>
      </c>
      <c r="G714" s="4" t="s">
        <v>105</v>
      </c>
      <c r="H714" s="48">
        <f>IF(G714&gt;0,VLOOKUP(G714,Apoio!$A$2:$B$25,2,0),"")</f>
        <v>7</v>
      </c>
      <c r="I714" s="44">
        <f t="shared" si="99"/>
        <v>42</v>
      </c>
      <c r="J714" s="98"/>
      <c r="K714" s="103"/>
      <c r="L714" s="103"/>
      <c r="M714" s="103"/>
      <c r="N714" s="10"/>
    </row>
    <row r="715" spans="1:14" x14ac:dyDescent="0.3">
      <c r="A715" s="4" t="s">
        <v>36</v>
      </c>
      <c r="B715" s="68" t="s">
        <v>38</v>
      </c>
      <c r="C715" s="58">
        <v>6</v>
      </c>
      <c r="D715" s="70">
        <v>7</v>
      </c>
      <c r="E715" s="51">
        <v>7</v>
      </c>
      <c r="F715" s="4" t="s">
        <v>76</v>
      </c>
      <c r="G715" s="4" t="s">
        <v>108</v>
      </c>
      <c r="H715" s="48">
        <f>IF(G715&gt;0,VLOOKUP(G715,Apoio!$A$2:$B$25,2,0),"")</f>
        <v>8</v>
      </c>
      <c r="I715" s="44">
        <f t="shared" si="99"/>
        <v>48</v>
      </c>
      <c r="J715" s="98"/>
      <c r="K715" s="103"/>
      <c r="L715" s="103"/>
      <c r="M715" s="103"/>
      <c r="N715" s="10"/>
    </row>
    <row r="716" spans="1:14" x14ac:dyDescent="0.3">
      <c r="A716" s="4" t="s">
        <v>36</v>
      </c>
      <c r="B716" s="68" t="s">
        <v>38</v>
      </c>
      <c r="C716" s="58">
        <v>6</v>
      </c>
      <c r="D716" s="70">
        <v>7</v>
      </c>
      <c r="E716" s="51">
        <v>7</v>
      </c>
      <c r="F716" s="4" t="s">
        <v>76</v>
      </c>
      <c r="G716" s="4" t="s">
        <v>111</v>
      </c>
      <c r="H716" s="48">
        <f>IF(G716&gt;0,VLOOKUP(G716,Apoio!$A$2:$B$25,2,0),"")</f>
        <v>7</v>
      </c>
      <c r="I716" s="44">
        <f t="shared" si="99"/>
        <v>42</v>
      </c>
      <c r="J716" s="98"/>
      <c r="K716" s="103"/>
      <c r="L716" s="103"/>
      <c r="M716" s="103"/>
      <c r="N716" s="10"/>
    </row>
    <row r="717" spans="1:14" x14ac:dyDescent="0.3">
      <c r="A717" s="4" t="s">
        <v>36</v>
      </c>
      <c r="B717" s="68" t="s">
        <v>38</v>
      </c>
      <c r="C717" s="58">
        <v>6</v>
      </c>
      <c r="D717" s="70">
        <v>7</v>
      </c>
      <c r="E717" s="51">
        <v>7</v>
      </c>
      <c r="F717" s="4" t="s">
        <v>76</v>
      </c>
      <c r="G717" s="4" t="s">
        <v>114</v>
      </c>
      <c r="H717" s="48">
        <f>IF(G717&gt;0,VLOOKUP(G717,Apoio!$A$2:$B$25,2,0),"")</f>
        <v>8</v>
      </c>
      <c r="I717" s="44">
        <f t="shared" si="99"/>
        <v>48</v>
      </c>
      <c r="J717" s="98"/>
      <c r="K717" s="103"/>
      <c r="L717" s="103"/>
      <c r="M717" s="103"/>
      <c r="N717" s="10"/>
    </row>
    <row r="718" spans="1:14" x14ac:dyDescent="0.3">
      <c r="A718" s="4" t="s">
        <v>36</v>
      </c>
      <c r="B718" s="68" t="s">
        <v>38</v>
      </c>
      <c r="C718" s="58">
        <v>6</v>
      </c>
      <c r="D718" s="70">
        <v>7</v>
      </c>
      <c r="E718" s="51">
        <v>7</v>
      </c>
      <c r="F718" s="4" t="s">
        <v>76</v>
      </c>
      <c r="G718" s="4" t="s">
        <v>117</v>
      </c>
      <c r="H718" s="48">
        <f>IF(G718&gt;0,VLOOKUP(G718,Apoio!$A$2:$B$25,2,0),"")</f>
        <v>3</v>
      </c>
      <c r="I718" s="44">
        <f t="shared" si="99"/>
        <v>18</v>
      </c>
      <c r="J718" s="98"/>
      <c r="K718" s="103"/>
      <c r="L718" s="103"/>
      <c r="M718" s="103"/>
      <c r="N718" s="10"/>
    </row>
    <row r="719" spans="1:14" x14ac:dyDescent="0.3">
      <c r="A719" s="4" t="s">
        <v>36</v>
      </c>
      <c r="B719" s="68" t="s">
        <v>38</v>
      </c>
      <c r="C719" s="58">
        <v>6</v>
      </c>
      <c r="D719" s="70">
        <v>7</v>
      </c>
      <c r="E719" s="51">
        <v>7</v>
      </c>
      <c r="F719" s="4" t="s">
        <v>83</v>
      </c>
      <c r="G719" s="4" t="s">
        <v>120</v>
      </c>
      <c r="H719" s="48">
        <f>IF(G719&gt;0,VLOOKUP(G719,Apoio!$A$2:$B$25,2,0),"")</f>
        <v>7</v>
      </c>
      <c r="I719" s="44">
        <f t="shared" si="99"/>
        <v>42</v>
      </c>
      <c r="J719" s="98"/>
      <c r="K719" s="103"/>
      <c r="L719" s="103"/>
      <c r="M719" s="103"/>
      <c r="N719" s="10"/>
    </row>
    <row r="720" spans="1:14" x14ac:dyDescent="0.3">
      <c r="A720" s="4" t="s">
        <v>36</v>
      </c>
      <c r="B720" s="68" t="s">
        <v>38</v>
      </c>
      <c r="C720" s="58">
        <v>6</v>
      </c>
      <c r="D720" s="70">
        <v>7</v>
      </c>
      <c r="E720" s="51">
        <v>7</v>
      </c>
      <c r="F720" s="4" t="s">
        <v>83</v>
      </c>
      <c r="G720" s="4" t="s">
        <v>123</v>
      </c>
      <c r="H720" s="48">
        <f>IF(G720&gt;0,VLOOKUP(G720,Apoio!$A$2:$B$25,2,0),"")</f>
        <v>8</v>
      </c>
      <c r="I720" s="44">
        <f t="shared" si="99"/>
        <v>48</v>
      </c>
      <c r="J720" s="98"/>
      <c r="K720" s="103"/>
      <c r="L720" s="103"/>
      <c r="M720" s="103"/>
      <c r="N720" s="10"/>
    </row>
    <row r="721" spans="1:14" x14ac:dyDescent="0.3">
      <c r="A721" s="4" t="s">
        <v>36</v>
      </c>
      <c r="B721" s="68" t="s">
        <v>38</v>
      </c>
      <c r="C721" s="58">
        <v>6</v>
      </c>
      <c r="D721" s="70">
        <v>7</v>
      </c>
      <c r="E721" s="51">
        <v>7</v>
      </c>
      <c r="F721" s="4" t="s">
        <v>83</v>
      </c>
      <c r="G721" s="4" t="s">
        <v>126</v>
      </c>
      <c r="H721" s="48">
        <f>IF(G721&gt;0,VLOOKUP(G721,Apoio!$A$2:$B$25,2,0),"")</f>
        <v>8</v>
      </c>
      <c r="I721" s="44">
        <f t="shared" si="99"/>
        <v>48</v>
      </c>
      <c r="J721" s="98"/>
      <c r="K721" s="103"/>
      <c r="L721" s="103"/>
      <c r="M721" s="103"/>
      <c r="N721" s="10"/>
    </row>
    <row r="722" spans="1:14" x14ac:dyDescent="0.3">
      <c r="A722" s="4" t="s">
        <v>36</v>
      </c>
      <c r="B722" s="68" t="s">
        <v>38</v>
      </c>
      <c r="C722" s="58">
        <v>6</v>
      </c>
      <c r="D722" s="70">
        <v>7</v>
      </c>
      <c r="E722" s="51">
        <v>7</v>
      </c>
      <c r="F722" s="4" t="s">
        <v>83</v>
      </c>
      <c r="G722" s="4" t="s">
        <v>129</v>
      </c>
      <c r="H722" s="48">
        <f>IF(G722&gt;0,VLOOKUP(G722,Apoio!$A$2:$B$25,2,0),"")</f>
        <v>8</v>
      </c>
      <c r="I722" s="44">
        <f t="shared" si="99"/>
        <v>48</v>
      </c>
      <c r="J722" s="98"/>
      <c r="K722" s="103"/>
      <c r="L722" s="103"/>
      <c r="M722" s="103"/>
      <c r="N722" s="10"/>
    </row>
    <row r="723" spans="1:14" x14ac:dyDescent="0.3">
      <c r="A723" s="4" t="s">
        <v>36</v>
      </c>
      <c r="B723" s="68" t="s">
        <v>38</v>
      </c>
      <c r="C723" s="58">
        <v>6</v>
      </c>
      <c r="D723" s="70">
        <v>7</v>
      </c>
      <c r="E723" s="51">
        <v>7</v>
      </c>
      <c r="F723" s="4" t="s">
        <v>83</v>
      </c>
      <c r="G723" s="4" t="s">
        <v>132</v>
      </c>
      <c r="H723" s="48">
        <f>IF(G723&gt;0,VLOOKUP(G723,Apoio!$A$2:$B$25,2,0),"")</f>
        <v>7</v>
      </c>
      <c r="I723" s="44">
        <f t="shared" si="99"/>
        <v>42</v>
      </c>
      <c r="J723" s="98"/>
      <c r="K723" s="103"/>
      <c r="L723" s="103"/>
      <c r="M723" s="103"/>
      <c r="N723" s="10"/>
    </row>
    <row r="724" spans="1:14" x14ac:dyDescent="0.3">
      <c r="A724" s="4" t="s">
        <v>36</v>
      </c>
      <c r="B724" s="68" t="s">
        <v>38</v>
      </c>
      <c r="C724" s="58">
        <v>6</v>
      </c>
      <c r="D724" s="70">
        <v>7</v>
      </c>
      <c r="E724" s="51">
        <v>7</v>
      </c>
      <c r="F724" s="4" t="s">
        <v>83</v>
      </c>
      <c r="G724" s="4" t="s">
        <v>135</v>
      </c>
      <c r="H724" s="48">
        <f>IF(G724&gt;0,VLOOKUP(G724,Apoio!$A$2:$B$25,2,0),"")</f>
        <v>3</v>
      </c>
      <c r="I724" s="44">
        <f t="shared" si="99"/>
        <v>18</v>
      </c>
      <c r="J724" s="98"/>
      <c r="K724" s="103"/>
      <c r="L724" s="103"/>
      <c r="M724" s="103"/>
      <c r="N724" s="10"/>
    </row>
    <row r="725" spans="1:14" x14ac:dyDescent="0.3">
      <c r="A725" s="4" t="s">
        <v>36</v>
      </c>
      <c r="B725" s="68" t="s">
        <v>38</v>
      </c>
      <c r="C725" s="108">
        <v>6</v>
      </c>
      <c r="D725" s="71">
        <v>7</v>
      </c>
      <c r="E725" s="51">
        <v>7</v>
      </c>
      <c r="F725" s="4" t="s">
        <v>90</v>
      </c>
      <c r="G725" s="4" t="s">
        <v>138</v>
      </c>
      <c r="H725" s="48">
        <f>IF(G725&gt;0,VLOOKUP(G725,Apoio!$A$2:$B$25,2,0),"")</f>
        <v>8</v>
      </c>
      <c r="I725" s="44">
        <f t="shared" si="99"/>
        <v>48</v>
      </c>
      <c r="J725" s="98">
        <v>8</v>
      </c>
      <c r="K725" s="406">
        <f t="shared" ref="K725:K730" si="101">I725-J725</f>
        <v>40</v>
      </c>
      <c r="L725" s="103"/>
      <c r="M725" s="103"/>
      <c r="N725" s="10"/>
    </row>
    <row r="726" spans="1:14" x14ac:dyDescent="0.3">
      <c r="A726" s="4" t="s">
        <v>36</v>
      </c>
      <c r="B726" s="68" t="s">
        <v>38</v>
      </c>
      <c r="C726" s="108">
        <v>6</v>
      </c>
      <c r="D726" s="71">
        <v>7</v>
      </c>
      <c r="E726" s="51">
        <v>7</v>
      </c>
      <c r="F726" s="4" t="s">
        <v>90</v>
      </c>
      <c r="G726" s="4" t="s">
        <v>141</v>
      </c>
      <c r="H726" s="48">
        <f>IF(G726&gt;0,VLOOKUP(G726,Apoio!$A$2:$B$25,2,0),"")</f>
        <v>7</v>
      </c>
      <c r="I726" s="44">
        <f t="shared" si="99"/>
        <v>42</v>
      </c>
      <c r="J726" s="98">
        <v>8</v>
      </c>
      <c r="K726" s="406">
        <f t="shared" si="101"/>
        <v>34</v>
      </c>
      <c r="L726" s="103"/>
      <c r="M726" s="103"/>
      <c r="N726" s="10"/>
    </row>
    <row r="727" spans="1:14" x14ac:dyDescent="0.3">
      <c r="A727" s="67" t="s">
        <v>36</v>
      </c>
      <c r="B727" s="68" t="s">
        <v>38</v>
      </c>
      <c r="C727" s="108">
        <v>6</v>
      </c>
      <c r="D727" s="71">
        <v>7</v>
      </c>
      <c r="E727" s="51">
        <v>7</v>
      </c>
      <c r="F727" s="4" t="s">
        <v>90</v>
      </c>
      <c r="G727" s="4" t="s">
        <v>144</v>
      </c>
      <c r="H727" s="48">
        <f>IF(G727&gt;0,VLOOKUP(G727,Apoio!$A$2:$B$25,2,0),"")</f>
        <v>7</v>
      </c>
      <c r="I727" s="44">
        <f t="shared" si="99"/>
        <v>42</v>
      </c>
      <c r="J727" s="98">
        <v>8</v>
      </c>
      <c r="K727" s="406">
        <f t="shared" si="101"/>
        <v>34</v>
      </c>
      <c r="L727" s="103"/>
      <c r="M727" s="103"/>
      <c r="N727" s="10"/>
    </row>
    <row r="728" spans="1:14" x14ac:dyDescent="0.3">
      <c r="A728" s="67" t="s">
        <v>36</v>
      </c>
      <c r="B728" s="68" t="s">
        <v>38</v>
      </c>
      <c r="C728" s="108">
        <v>6</v>
      </c>
      <c r="D728" s="71">
        <v>7</v>
      </c>
      <c r="E728" s="51">
        <v>7</v>
      </c>
      <c r="F728" s="4" t="s">
        <v>90</v>
      </c>
      <c r="G728" s="4" t="s">
        <v>147</v>
      </c>
      <c r="H728" s="48">
        <f>IF(G728&gt;0,VLOOKUP(G728,Apoio!$A$2:$B$25,2,0),"")</f>
        <v>7</v>
      </c>
      <c r="I728" s="44">
        <f t="shared" si="99"/>
        <v>42</v>
      </c>
      <c r="J728" s="98">
        <v>8</v>
      </c>
      <c r="K728" s="406">
        <f t="shared" si="101"/>
        <v>34</v>
      </c>
      <c r="L728" s="103"/>
      <c r="M728" s="103"/>
      <c r="N728" s="10"/>
    </row>
    <row r="729" spans="1:14" x14ac:dyDescent="0.3">
      <c r="A729" s="67" t="s">
        <v>36</v>
      </c>
      <c r="B729" s="68" t="s">
        <v>38</v>
      </c>
      <c r="C729" s="108">
        <v>6</v>
      </c>
      <c r="D729" s="71">
        <v>7</v>
      </c>
      <c r="E729" s="51">
        <v>7</v>
      </c>
      <c r="F729" s="4" t="s">
        <v>90</v>
      </c>
      <c r="G729" s="4" t="s">
        <v>150</v>
      </c>
      <c r="H729" s="48">
        <f>IF(G729&gt;0,VLOOKUP(G729,Apoio!$A$2:$B$25,2,0),"")</f>
        <v>8</v>
      </c>
      <c r="I729" s="44">
        <f t="shared" si="99"/>
        <v>48</v>
      </c>
      <c r="J729" s="98">
        <v>8</v>
      </c>
      <c r="K729" s="406">
        <f t="shared" si="101"/>
        <v>40</v>
      </c>
      <c r="L729" s="103"/>
      <c r="M729" s="103"/>
      <c r="N729" s="10"/>
    </row>
    <row r="730" spans="1:14" x14ac:dyDescent="0.3">
      <c r="A730" s="67" t="s">
        <v>36</v>
      </c>
      <c r="B730" s="68" t="s">
        <v>38</v>
      </c>
      <c r="C730" s="108">
        <v>6</v>
      </c>
      <c r="D730" s="71">
        <v>7</v>
      </c>
      <c r="E730" s="51">
        <v>7</v>
      </c>
      <c r="F730" s="4" t="s">
        <v>90</v>
      </c>
      <c r="G730" s="4" t="s">
        <v>153</v>
      </c>
      <c r="H730" s="48">
        <f>IF(G730&gt;0,VLOOKUP(G730,Apoio!$A$2:$B$25,2,0),"")</f>
        <v>8</v>
      </c>
      <c r="I730" s="44">
        <f>IF(D730&gt;0,(((H730*E730)*C730)/D730),"")</f>
        <v>48</v>
      </c>
      <c r="J730" s="98">
        <v>8</v>
      </c>
      <c r="K730" s="406">
        <f t="shared" si="101"/>
        <v>40</v>
      </c>
      <c r="L730" s="103"/>
      <c r="M730" s="103"/>
      <c r="N730" s="10"/>
    </row>
    <row r="731" spans="1:14" x14ac:dyDescent="0.3">
      <c r="A731" s="80" t="s">
        <v>26</v>
      </c>
      <c r="B731" s="68" t="s">
        <v>27</v>
      </c>
      <c r="C731" s="55">
        <v>4</v>
      </c>
      <c r="D731" s="70">
        <v>7.3</v>
      </c>
      <c r="E731" s="51">
        <v>7</v>
      </c>
      <c r="F731" s="4" t="s">
        <v>69</v>
      </c>
      <c r="G731" s="4" t="s">
        <v>68</v>
      </c>
      <c r="H731" s="48">
        <f>IF(G731&gt;0,VLOOKUP(G731,Apoio!$A$2:$B$25,2,0),"")</f>
        <v>7</v>
      </c>
      <c r="I731" s="44">
        <f t="shared" si="99"/>
        <v>26.849315068493151</v>
      </c>
      <c r="J731" s="98"/>
      <c r="K731" s="103"/>
      <c r="L731" s="103"/>
      <c r="M731" s="103"/>
      <c r="N731" s="10"/>
    </row>
    <row r="732" spans="1:14" x14ac:dyDescent="0.3">
      <c r="A732" s="80" t="s">
        <v>26</v>
      </c>
      <c r="B732" s="68" t="s">
        <v>27</v>
      </c>
      <c r="C732" s="55">
        <v>4</v>
      </c>
      <c r="D732" s="70">
        <v>7.3</v>
      </c>
      <c r="E732" s="51">
        <v>7</v>
      </c>
      <c r="F732" s="4" t="s">
        <v>69</v>
      </c>
      <c r="G732" s="4" t="s">
        <v>75</v>
      </c>
      <c r="H732" s="48">
        <f>IF(G732&gt;0,VLOOKUP(G732,Apoio!$A$2:$B$25,2,0),"")</f>
        <v>8</v>
      </c>
      <c r="I732" s="44">
        <f t="shared" si="99"/>
        <v>30.684931506849317</v>
      </c>
      <c r="J732" s="98"/>
      <c r="K732" s="103"/>
      <c r="L732" s="103"/>
      <c r="M732" s="103"/>
      <c r="N732" s="10"/>
    </row>
    <row r="733" spans="1:14" x14ac:dyDescent="0.3">
      <c r="A733" s="80" t="s">
        <v>26</v>
      </c>
      <c r="B733" s="68" t="s">
        <v>27</v>
      </c>
      <c r="C733" s="55">
        <v>4</v>
      </c>
      <c r="D733" s="70">
        <v>7.3</v>
      </c>
      <c r="E733" s="51">
        <v>7</v>
      </c>
      <c r="F733" s="4" t="s">
        <v>69</v>
      </c>
      <c r="G733" s="4" t="s">
        <v>82</v>
      </c>
      <c r="H733" s="48">
        <f>IF(G733&gt;0,VLOOKUP(G733,Apoio!$A$2:$B$25,2,0),"")</f>
        <v>6</v>
      </c>
      <c r="I733" s="44">
        <f t="shared" si="99"/>
        <v>23.013698630136986</v>
      </c>
      <c r="J733" s="98"/>
      <c r="K733" s="103"/>
      <c r="L733" s="103"/>
      <c r="M733" s="103"/>
      <c r="N733" s="10"/>
    </row>
    <row r="734" spans="1:14" x14ac:dyDescent="0.3">
      <c r="A734" s="80" t="s">
        <v>26</v>
      </c>
      <c r="B734" s="68" t="s">
        <v>27</v>
      </c>
      <c r="C734" s="55">
        <v>4</v>
      </c>
      <c r="D734" s="70">
        <v>7.3</v>
      </c>
      <c r="E734" s="51">
        <v>7</v>
      </c>
      <c r="F734" s="4" t="s">
        <v>69</v>
      </c>
      <c r="G734" s="4" t="s">
        <v>89</v>
      </c>
      <c r="H734" s="48">
        <f>IF(G734&gt;0,VLOOKUP(G734,Apoio!$A$2:$B$25,2,0),"")</f>
        <v>8</v>
      </c>
      <c r="I734" s="44">
        <f t="shared" si="99"/>
        <v>30.684931506849317</v>
      </c>
      <c r="J734" s="98"/>
      <c r="K734" s="103"/>
      <c r="L734" s="103"/>
      <c r="M734" s="103"/>
      <c r="N734" s="10"/>
    </row>
    <row r="735" spans="1:14" x14ac:dyDescent="0.3">
      <c r="A735" s="80" t="s">
        <v>26</v>
      </c>
      <c r="B735" s="68" t="s">
        <v>27</v>
      </c>
      <c r="C735" s="55">
        <v>4</v>
      </c>
      <c r="D735" s="70">
        <v>7.3</v>
      </c>
      <c r="E735" s="51">
        <v>7</v>
      </c>
      <c r="F735" s="4" t="s">
        <v>69</v>
      </c>
      <c r="G735" s="4" t="s">
        <v>96</v>
      </c>
      <c r="H735" s="48">
        <f>IF(G735&gt;0,VLOOKUP(G735,Apoio!$A$2:$B$25,2,0),"")</f>
        <v>8</v>
      </c>
      <c r="I735" s="44">
        <f t="shared" si="99"/>
        <v>30.684931506849317</v>
      </c>
      <c r="J735" s="98"/>
      <c r="K735" s="103"/>
      <c r="L735" s="103"/>
      <c r="M735" s="103"/>
      <c r="N735" s="10"/>
    </row>
    <row r="736" spans="1:14" x14ac:dyDescent="0.3">
      <c r="A736" s="80" t="s">
        <v>26</v>
      </c>
      <c r="B736" s="68" t="s">
        <v>27</v>
      </c>
      <c r="C736" s="55">
        <v>4</v>
      </c>
      <c r="D736" s="70">
        <v>7.3</v>
      </c>
      <c r="E736" s="51">
        <v>7</v>
      </c>
      <c r="F736" s="4" t="s">
        <v>69</v>
      </c>
      <c r="G736" s="4" t="s">
        <v>99</v>
      </c>
      <c r="H736" s="48">
        <f>IF(G736&gt;0,VLOOKUP(G736,Apoio!$A$2:$B$25,2,0),"")</f>
        <v>2</v>
      </c>
      <c r="I736" s="44">
        <f t="shared" si="99"/>
        <v>7.6712328767123292</v>
      </c>
      <c r="J736" s="98"/>
      <c r="K736" s="103"/>
      <c r="L736" s="103"/>
      <c r="M736" s="103"/>
      <c r="N736" s="10"/>
    </row>
    <row r="737" spans="1:14" x14ac:dyDescent="0.3">
      <c r="A737" s="80" t="s">
        <v>26</v>
      </c>
      <c r="B737" s="68" t="s">
        <v>27</v>
      </c>
      <c r="C737" s="55">
        <v>4</v>
      </c>
      <c r="D737" s="70">
        <v>7.3</v>
      </c>
      <c r="E737" s="51">
        <v>7</v>
      </c>
      <c r="F737" s="4" t="s">
        <v>76</v>
      </c>
      <c r="G737" s="4" t="s">
        <v>102</v>
      </c>
      <c r="H737" s="48">
        <f>IF(G737&gt;0,VLOOKUP(G737,Apoio!$A$2:$B$25,2,0),"")</f>
        <v>5</v>
      </c>
      <c r="I737" s="44">
        <f t="shared" si="99"/>
        <v>19.178082191780824</v>
      </c>
      <c r="J737" s="98"/>
      <c r="K737" s="103"/>
      <c r="L737" s="103"/>
      <c r="M737" s="103"/>
      <c r="N737" s="10"/>
    </row>
    <row r="738" spans="1:14" x14ac:dyDescent="0.3">
      <c r="A738" s="80" t="s">
        <v>26</v>
      </c>
      <c r="B738" s="68" t="s">
        <v>27</v>
      </c>
      <c r="C738" s="55">
        <v>4</v>
      </c>
      <c r="D738" s="70">
        <v>7.3</v>
      </c>
      <c r="E738" s="51">
        <v>7</v>
      </c>
      <c r="F738" s="4" t="s">
        <v>76</v>
      </c>
      <c r="G738" s="4" t="s">
        <v>105</v>
      </c>
      <c r="H738" s="48">
        <f>IF(G738&gt;0,VLOOKUP(G738,Apoio!$A$2:$B$25,2,0),"")</f>
        <v>7</v>
      </c>
      <c r="I738" s="44">
        <f t="shared" ref="I738:I822" si="102">IF(D738&gt;0,(((H738*E738)*C738)/D738),"")</f>
        <v>26.849315068493151</v>
      </c>
      <c r="J738" s="98"/>
      <c r="K738" s="103"/>
      <c r="L738" s="103"/>
      <c r="M738" s="103"/>
      <c r="N738" s="10"/>
    </row>
    <row r="739" spans="1:14" x14ac:dyDescent="0.3">
      <c r="A739" s="80" t="s">
        <v>26</v>
      </c>
      <c r="B739" s="68" t="s">
        <v>27</v>
      </c>
      <c r="C739" s="55">
        <v>4</v>
      </c>
      <c r="D739" s="70">
        <v>7.3</v>
      </c>
      <c r="E739" s="51">
        <v>7</v>
      </c>
      <c r="F739" s="4" t="s">
        <v>76</v>
      </c>
      <c r="G739" s="4" t="s">
        <v>108</v>
      </c>
      <c r="H739" s="48">
        <f>IF(G739&gt;0,VLOOKUP(G739,Apoio!$A$2:$B$25,2,0),"")</f>
        <v>8</v>
      </c>
      <c r="I739" s="44">
        <f t="shared" si="102"/>
        <v>30.684931506849317</v>
      </c>
      <c r="J739" s="98"/>
      <c r="K739" s="103"/>
      <c r="L739" s="103"/>
      <c r="M739" s="103"/>
      <c r="N739" s="10"/>
    </row>
    <row r="740" spans="1:14" x14ac:dyDescent="0.3">
      <c r="A740" s="80" t="s">
        <v>26</v>
      </c>
      <c r="B740" s="68" t="s">
        <v>27</v>
      </c>
      <c r="C740" s="55">
        <v>4</v>
      </c>
      <c r="D740" s="70">
        <v>7.3</v>
      </c>
      <c r="E740" s="51">
        <v>7</v>
      </c>
      <c r="F740" s="4" t="s">
        <v>76</v>
      </c>
      <c r="G740" s="4" t="s">
        <v>111</v>
      </c>
      <c r="H740" s="48">
        <f>IF(G740&gt;0,VLOOKUP(G740,Apoio!$A$2:$B$25,2,0),"")</f>
        <v>7</v>
      </c>
      <c r="I740" s="44">
        <f t="shared" si="102"/>
        <v>26.849315068493151</v>
      </c>
      <c r="J740" s="98"/>
      <c r="K740" s="103"/>
      <c r="L740" s="103"/>
      <c r="M740" s="103"/>
      <c r="N740" s="10"/>
    </row>
    <row r="741" spans="1:14" x14ac:dyDescent="0.3">
      <c r="A741" s="80" t="s">
        <v>26</v>
      </c>
      <c r="B741" s="68" t="s">
        <v>27</v>
      </c>
      <c r="C741" s="55">
        <v>4</v>
      </c>
      <c r="D741" s="70">
        <v>7.3</v>
      </c>
      <c r="E741" s="51">
        <v>7</v>
      </c>
      <c r="F741" s="4" t="s">
        <v>76</v>
      </c>
      <c r="G741" s="4" t="s">
        <v>114</v>
      </c>
      <c r="H741" s="48">
        <f>IF(G741&gt;0,VLOOKUP(G741,Apoio!$A$2:$B$25,2,0),"")</f>
        <v>8</v>
      </c>
      <c r="I741" s="44">
        <f t="shared" si="102"/>
        <v>30.684931506849317</v>
      </c>
      <c r="J741" s="98"/>
      <c r="K741" s="103"/>
      <c r="L741" s="103"/>
      <c r="M741" s="103"/>
      <c r="N741" s="10"/>
    </row>
    <row r="742" spans="1:14" x14ac:dyDescent="0.3">
      <c r="A742" s="80" t="s">
        <v>26</v>
      </c>
      <c r="B742" s="68" t="s">
        <v>27</v>
      </c>
      <c r="C742" s="55">
        <v>4</v>
      </c>
      <c r="D742" s="70">
        <v>7.3</v>
      </c>
      <c r="E742" s="51">
        <v>7</v>
      </c>
      <c r="F742" s="4" t="s">
        <v>76</v>
      </c>
      <c r="G742" s="4" t="s">
        <v>117</v>
      </c>
      <c r="H742" s="48">
        <f>IF(G742&gt;0,VLOOKUP(G742,Apoio!$A$2:$B$25,2,0),"")</f>
        <v>3</v>
      </c>
      <c r="I742" s="44">
        <f t="shared" si="102"/>
        <v>11.506849315068493</v>
      </c>
      <c r="J742" s="98"/>
      <c r="K742" s="103"/>
      <c r="L742" s="103"/>
      <c r="M742" s="103"/>
      <c r="N742" s="10"/>
    </row>
    <row r="743" spans="1:14" x14ac:dyDescent="0.3">
      <c r="A743" s="80" t="s">
        <v>26</v>
      </c>
      <c r="B743" s="68" t="s">
        <v>27</v>
      </c>
      <c r="C743" s="55">
        <v>4</v>
      </c>
      <c r="D743" s="70">
        <v>7.3</v>
      </c>
      <c r="E743" s="51">
        <v>7</v>
      </c>
      <c r="F743" s="4" t="s">
        <v>83</v>
      </c>
      <c r="G743" s="4" t="s">
        <v>120</v>
      </c>
      <c r="H743" s="48">
        <f>IF(G743&gt;0,VLOOKUP(G743,Apoio!$A$2:$B$25,2,0),"")</f>
        <v>7</v>
      </c>
      <c r="I743" s="44">
        <f t="shared" si="102"/>
        <v>26.849315068493151</v>
      </c>
      <c r="J743" s="98">
        <v>1</v>
      </c>
      <c r="K743" s="103"/>
      <c r="L743" s="103"/>
      <c r="M743" s="103"/>
      <c r="N743" s="10"/>
    </row>
    <row r="744" spans="1:14" x14ac:dyDescent="0.3">
      <c r="A744" s="80" t="s">
        <v>26</v>
      </c>
      <c r="B744" s="68" t="s">
        <v>27</v>
      </c>
      <c r="C744" s="55">
        <v>4</v>
      </c>
      <c r="D744" s="70">
        <v>7.3</v>
      </c>
      <c r="E744" s="51">
        <v>7</v>
      </c>
      <c r="F744" s="4" t="s">
        <v>83</v>
      </c>
      <c r="G744" s="4" t="s">
        <v>123</v>
      </c>
      <c r="H744" s="48">
        <f>IF(G744&gt;0,VLOOKUP(G744,Apoio!$A$2:$B$25,2,0),"")</f>
        <v>8</v>
      </c>
      <c r="I744" s="44">
        <f t="shared" si="102"/>
        <v>30.684931506849317</v>
      </c>
      <c r="J744" s="98">
        <v>1</v>
      </c>
      <c r="K744" s="103"/>
      <c r="L744" s="103"/>
      <c r="M744" s="103"/>
      <c r="N744" s="10"/>
    </row>
    <row r="745" spans="1:14" x14ac:dyDescent="0.3">
      <c r="A745" s="80" t="s">
        <v>26</v>
      </c>
      <c r="B745" s="68" t="s">
        <v>27</v>
      </c>
      <c r="C745" s="55">
        <v>4</v>
      </c>
      <c r="D745" s="70">
        <v>7.3</v>
      </c>
      <c r="E745" s="51">
        <v>7</v>
      </c>
      <c r="F745" s="4" t="s">
        <v>83</v>
      </c>
      <c r="G745" s="4" t="s">
        <v>126</v>
      </c>
      <c r="H745" s="48">
        <f>IF(G745&gt;0,VLOOKUP(G745,Apoio!$A$2:$B$25,2,0),"")</f>
        <v>8</v>
      </c>
      <c r="I745" s="44">
        <f t="shared" si="102"/>
        <v>30.684931506849317</v>
      </c>
      <c r="J745" s="98">
        <v>1</v>
      </c>
      <c r="K745" s="103"/>
      <c r="L745" s="103"/>
      <c r="M745" s="103"/>
      <c r="N745" s="10"/>
    </row>
    <row r="746" spans="1:14" x14ac:dyDescent="0.3">
      <c r="A746" s="80" t="s">
        <v>26</v>
      </c>
      <c r="B746" s="68" t="s">
        <v>27</v>
      </c>
      <c r="C746" s="55">
        <v>4</v>
      </c>
      <c r="D746" s="70">
        <v>7.3</v>
      </c>
      <c r="E746" s="51">
        <v>7</v>
      </c>
      <c r="F746" s="4" t="s">
        <v>83</v>
      </c>
      <c r="G746" s="4" t="s">
        <v>129</v>
      </c>
      <c r="H746" s="48">
        <f>IF(G746&gt;0,VLOOKUP(G746,Apoio!$A$2:$B$25,2,0),"")</f>
        <v>8</v>
      </c>
      <c r="I746" s="44">
        <f t="shared" si="102"/>
        <v>30.684931506849317</v>
      </c>
      <c r="J746" s="98"/>
      <c r="K746" s="103"/>
      <c r="L746" s="103"/>
      <c r="M746" s="103"/>
      <c r="N746" s="10"/>
    </row>
    <row r="747" spans="1:14" x14ac:dyDescent="0.3">
      <c r="A747" s="80" t="s">
        <v>26</v>
      </c>
      <c r="B747" s="68" t="s">
        <v>27</v>
      </c>
      <c r="C747" s="55">
        <v>4</v>
      </c>
      <c r="D747" s="70">
        <v>7.3</v>
      </c>
      <c r="E747" s="51">
        <v>7</v>
      </c>
      <c r="F747" s="4" t="s">
        <v>83</v>
      </c>
      <c r="G747" s="4" t="s">
        <v>132</v>
      </c>
      <c r="H747" s="48">
        <f>IF(G747&gt;0,VLOOKUP(G747,Apoio!$A$2:$B$25,2,0),"")</f>
        <v>7</v>
      </c>
      <c r="I747" s="44">
        <f t="shared" si="102"/>
        <v>26.849315068493151</v>
      </c>
      <c r="J747" s="98"/>
      <c r="K747" s="103"/>
      <c r="L747" s="103"/>
      <c r="M747" s="103"/>
      <c r="N747" s="10"/>
    </row>
    <row r="748" spans="1:14" x14ac:dyDescent="0.3">
      <c r="A748" s="80" t="s">
        <v>26</v>
      </c>
      <c r="B748" s="68" t="s">
        <v>27</v>
      </c>
      <c r="C748" s="55">
        <v>4</v>
      </c>
      <c r="D748" s="70">
        <v>7.3</v>
      </c>
      <c r="E748" s="51">
        <v>7</v>
      </c>
      <c r="F748" s="4" t="s">
        <v>83</v>
      </c>
      <c r="G748" s="4" t="s">
        <v>135</v>
      </c>
      <c r="H748" s="48">
        <f>IF(G748&gt;0,VLOOKUP(G748,Apoio!$A$2:$B$25,2,0),"")</f>
        <v>3</v>
      </c>
      <c r="I748" s="44">
        <f t="shared" si="102"/>
        <v>11.506849315068493</v>
      </c>
      <c r="J748" s="98"/>
      <c r="K748" s="103"/>
      <c r="L748" s="103"/>
      <c r="M748" s="103"/>
      <c r="N748" s="10"/>
    </row>
    <row r="749" spans="1:14" x14ac:dyDescent="0.3">
      <c r="A749" s="80" t="s">
        <v>26</v>
      </c>
      <c r="B749" s="68" t="s">
        <v>27</v>
      </c>
      <c r="C749" s="90">
        <v>4</v>
      </c>
      <c r="D749" s="71">
        <v>7.3</v>
      </c>
      <c r="E749" s="51">
        <v>7</v>
      </c>
      <c r="F749" s="4" t="s">
        <v>90</v>
      </c>
      <c r="G749" s="4" t="s">
        <v>138</v>
      </c>
      <c r="H749" s="48">
        <f>IF(G749&gt;0,VLOOKUP(G749,Apoio!$A$2:$B$25,2,0),"")</f>
        <v>8</v>
      </c>
      <c r="I749" s="44">
        <f t="shared" si="102"/>
        <v>30.684931506849317</v>
      </c>
      <c r="J749" s="98">
        <v>8</v>
      </c>
      <c r="K749" s="406">
        <f t="shared" ref="K749:K754" si="103">I749-J749</f>
        <v>22.684931506849317</v>
      </c>
      <c r="L749" s="103"/>
      <c r="M749" s="103"/>
      <c r="N749" s="10"/>
    </row>
    <row r="750" spans="1:14" x14ac:dyDescent="0.3">
      <c r="A750" s="80" t="s">
        <v>26</v>
      </c>
      <c r="B750" s="68" t="s">
        <v>27</v>
      </c>
      <c r="C750" s="90">
        <v>4</v>
      </c>
      <c r="D750" s="71">
        <v>7.3</v>
      </c>
      <c r="E750" s="51">
        <v>7</v>
      </c>
      <c r="F750" s="4" t="s">
        <v>90</v>
      </c>
      <c r="G750" s="4" t="s">
        <v>141</v>
      </c>
      <c r="H750" s="48">
        <f>IF(G750&gt;0,VLOOKUP(G750,Apoio!$A$2:$B$25,2,0),"")</f>
        <v>7</v>
      </c>
      <c r="I750" s="44">
        <f t="shared" si="102"/>
        <v>26.849315068493151</v>
      </c>
      <c r="J750" s="98">
        <v>8</v>
      </c>
      <c r="K750" s="406">
        <f t="shared" si="103"/>
        <v>18.849315068493151</v>
      </c>
      <c r="L750" s="103"/>
      <c r="M750" s="103"/>
      <c r="N750" s="10"/>
    </row>
    <row r="751" spans="1:14" x14ac:dyDescent="0.3">
      <c r="A751" s="80" t="s">
        <v>26</v>
      </c>
      <c r="B751" s="68" t="s">
        <v>27</v>
      </c>
      <c r="C751" s="90">
        <v>4</v>
      </c>
      <c r="D751" s="71">
        <v>7.3</v>
      </c>
      <c r="E751" s="51">
        <v>7</v>
      </c>
      <c r="F751" s="4" t="s">
        <v>90</v>
      </c>
      <c r="G751" s="4" t="s">
        <v>144</v>
      </c>
      <c r="H751" s="48">
        <f>IF(G751&gt;0,VLOOKUP(G751,Apoio!$A$2:$B$25,2,0),"")</f>
        <v>7</v>
      </c>
      <c r="I751" s="44">
        <f t="shared" si="102"/>
        <v>26.849315068493151</v>
      </c>
      <c r="J751" s="98">
        <v>8</v>
      </c>
      <c r="K751" s="406">
        <f t="shared" si="103"/>
        <v>18.849315068493151</v>
      </c>
      <c r="L751" s="103"/>
      <c r="M751" s="103"/>
      <c r="N751" s="10"/>
    </row>
    <row r="752" spans="1:14" x14ac:dyDescent="0.3">
      <c r="A752" s="80" t="s">
        <v>26</v>
      </c>
      <c r="B752" s="68" t="s">
        <v>27</v>
      </c>
      <c r="C752" s="90">
        <v>4</v>
      </c>
      <c r="D752" s="71">
        <v>7.3</v>
      </c>
      <c r="E752" s="51">
        <v>7</v>
      </c>
      <c r="F752" s="4" t="s">
        <v>90</v>
      </c>
      <c r="G752" s="4" t="s">
        <v>147</v>
      </c>
      <c r="H752" s="48">
        <f>IF(G752&gt;0,VLOOKUP(G752,Apoio!$A$2:$B$25,2,0),"")</f>
        <v>7</v>
      </c>
      <c r="I752" s="44">
        <f t="shared" si="102"/>
        <v>26.849315068493151</v>
      </c>
      <c r="J752" s="98">
        <v>8</v>
      </c>
      <c r="K752" s="406">
        <f t="shared" si="103"/>
        <v>18.849315068493151</v>
      </c>
      <c r="L752" s="103"/>
      <c r="M752" s="103"/>
      <c r="N752" s="10"/>
    </row>
    <row r="753" spans="1:14" x14ac:dyDescent="0.3">
      <c r="A753" s="80" t="s">
        <v>26</v>
      </c>
      <c r="B753" s="68" t="s">
        <v>28</v>
      </c>
      <c r="C753" s="90">
        <v>4</v>
      </c>
      <c r="D753" s="71">
        <v>7.3</v>
      </c>
      <c r="E753" s="51">
        <v>7</v>
      </c>
      <c r="F753" s="4" t="s">
        <v>90</v>
      </c>
      <c r="G753" s="4" t="s">
        <v>150</v>
      </c>
      <c r="H753" s="48">
        <f>IF(G753&gt;0,VLOOKUP(G753,Apoio!$A$2:$B$25,2,0),"")</f>
        <v>8</v>
      </c>
      <c r="I753" s="44">
        <f t="shared" si="102"/>
        <v>30.684931506849317</v>
      </c>
      <c r="J753" s="98">
        <v>8</v>
      </c>
      <c r="K753" s="406">
        <f t="shared" si="103"/>
        <v>22.684931506849317</v>
      </c>
      <c r="L753" s="103"/>
      <c r="M753" s="103"/>
      <c r="N753" s="10"/>
    </row>
    <row r="754" spans="1:14" x14ac:dyDescent="0.3">
      <c r="A754" s="80" t="s">
        <v>26</v>
      </c>
      <c r="B754" s="68" t="s">
        <v>28</v>
      </c>
      <c r="C754" s="90">
        <v>4</v>
      </c>
      <c r="D754" s="71">
        <v>7.3</v>
      </c>
      <c r="E754" s="51">
        <v>7</v>
      </c>
      <c r="F754" s="4" t="s">
        <v>90</v>
      </c>
      <c r="G754" s="4" t="s">
        <v>153</v>
      </c>
      <c r="H754" s="48">
        <f>IF(G754&gt;0,VLOOKUP(G754,Apoio!$A$2:$B$25,2,0),"")</f>
        <v>8</v>
      </c>
      <c r="I754" s="44">
        <f>IF(D754&gt;0,(((H754*E754)*C754)/D754),"")</f>
        <v>30.684931506849317</v>
      </c>
      <c r="J754" s="98">
        <v>8</v>
      </c>
      <c r="K754" s="406">
        <f t="shared" si="103"/>
        <v>22.684931506849317</v>
      </c>
      <c r="L754" s="103"/>
      <c r="M754" s="103"/>
      <c r="N754" s="10"/>
    </row>
    <row r="755" spans="1:14" x14ac:dyDescent="0.3">
      <c r="A755" s="67" t="s">
        <v>26</v>
      </c>
      <c r="B755" s="68" t="s">
        <v>30</v>
      </c>
      <c r="C755" s="68">
        <v>2</v>
      </c>
      <c r="D755" s="70">
        <v>7</v>
      </c>
      <c r="E755" s="51">
        <v>7</v>
      </c>
      <c r="F755" s="4" t="s">
        <v>69</v>
      </c>
      <c r="G755" s="4" t="s">
        <v>68</v>
      </c>
      <c r="H755" s="48">
        <f>IF(G755&gt;0,VLOOKUP(G755,Apoio!$A$2:$B$25,2,0),"")</f>
        <v>7</v>
      </c>
      <c r="I755" s="44">
        <f>IF(D755&gt;0,(((H755*E755)*C755)/D755),"")</f>
        <v>14</v>
      </c>
      <c r="J755" s="98"/>
      <c r="K755" s="103"/>
      <c r="L755" s="103"/>
      <c r="M755" s="103"/>
      <c r="N755" s="10"/>
    </row>
    <row r="756" spans="1:14" x14ac:dyDescent="0.3">
      <c r="A756" s="67" t="s">
        <v>26</v>
      </c>
      <c r="B756" s="68" t="s">
        <v>30</v>
      </c>
      <c r="C756" s="68">
        <v>2</v>
      </c>
      <c r="D756" s="70">
        <v>7</v>
      </c>
      <c r="E756" s="51">
        <v>7</v>
      </c>
      <c r="F756" s="4" t="s">
        <v>69</v>
      </c>
      <c r="G756" s="4" t="s">
        <v>75</v>
      </c>
      <c r="H756" s="48">
        <f>IF(G756&gt;0,VLOOKUP(G756,Apoio!$A$2:$B$25,2,0),"")</f>
        <v>8</v>
      </c>
      <c r="I756" s="44">
        <f t="shared" ref="I756:I760" si="104">IF(D756&gt;0,(((H756*E756)*C756)/D756),"")</f>
        <v>16</v>
      </c>
      <c r="J756" s="98"/>
      <c r="K756" s="103"/>
      <c r="L756" s="103"/>
      <c r="M756" s="103"/>
      <c r="N756" s="10"/>
    </row>
    <row r="757" spans="1:14" x14ac:dyDescent="0.3">
      <c r="A757" s="67" t="s">
        <v>26</v>
      </c>
      <c r="B757" s="68" t="s">
        <v>30</v>
      </c>
      <c r="C757" s="68">
        <v>2</v>
      </c>
      <c r="D757" s="70">
        <v>7</v>
      </c>
      <c r="E757" s="51">
        <v>7</v>
      </c>
      <c r="F757" s="4" t="s">
        <v>69</v>
      </c>
      <c r="G757" s="4" t="s">
        <v>82</v>
      </c>
      <c r="H757" s="48">
        <f>IF(G757&gt;0,VLOOKUP(G757,Apoio!$A$2:$B$25,2,0),"")</f>
        <v>6</v>
      </c>
      <c r="I757" s="44">
        <f t="shared" si="104"/>
        <v>12</v>
      </c>
      <c r="J757" s="98"/>
      <c r="K757" s="103"/>
      <c r="L757" s="103"/>
      <c r="M757" s="103"/>
      <c r="N757" s="10"/>
    </row>
    <row r="758" spans="1:14" x14ac:dyDescent="0.3">
      <c r="A758" s="67" t="s">
        <v>26</v>
      </c>
      <c r="B758" s="68" t="s">
        <v>30</v>
      </c>
      <c r="C758" s="68">
        <v>2</v>
      </c>
      <c r="D758" s="70">
        <v>7</v>
      </c>
      <c r="E758" s="51">
        <v>7</v>
      </c>
      <c r="F758" s="4" t="s">
        <v>69</v>
      </c>
      <c r="G758" s="4" t="s">
        <v>89</v>
      </c>
      <c r="H758" s="48">
        <f>IF(G758&gt;0,VLOOKUP(G758,Apoio!$A$2:$B$25,2,0),"")</f>
        <v>8</v>
      </c>
      <c r="I758" s="44">
        <f t="shared" si="104"/>
        <v>16</v>
      </c>
      <c r="J758" s="98"/>
      <c r="K758" s="103"/>
      <c r="L758" s="103"/>
      <c r="M758" s="103"/>
      <c r="N758" s="10"/>
    </row>
    <row r="759" spans="1:14" x14ac:dyDescent="0.3">
      <c r="A759" s="67" t="s">
        <v>26</v>
      </c>
      <c r="B759" s="68" t="s">
        <v>30</v>
      </c>
      <c r="C759" s="68">
        <v>2</v>
      </c>
      <c r="D759" s="70">
        <v>7</v>
      </c>
      <c r="E759" s="51">
        <v>7</v>
      </c>
      <c r="F759" s="4" t="s">
        <v>69</v>
      </c>
      <c r="G759" s="4" t="s">
        <v>96</v>
      </c>
      <c r="H759" s="48">
        <f>IF(G759&gt;0,VLOOKUP(G759,Apoio!$A$2:$B$25,2,0),"")</f>
        <v>8</v>
      </c>
      <c r="I759" s="44">
        <f t="shared" si="104"/>
        <v>16</v>
      </c>
      <c r="J759" s="98"/>
      <c r="K759" s="103"/>
      <c r="L759" s="103"/>
      <c r="M759" s="103"/>
      <c r="N759" s="10"/>
    </row>
    <row r="760" spans="1:14" x14ac:dyDescent="0.3">
      <c r="A760" s="67" t="s">
        <v>26</v>
      </c>
      <c r="B760" s="68" t="s">
        <v>30</v>
      </c>
      <c r="C760" s="68">
        <v>2</v>
      </c>
      <c r="D760" s="70">
        <v>7</v>
      </c>
      <c r="E760" s="51">
        <v>7</v>
      </c>
      <c r="F760" s="4" t="s">
        <v>69</v>
      </c>
      <c r="G760" s="4" t="s">
        <v>99</v>
      </c>
      <c r="H760" s="48">
        <f>IF(G760&gt;0,VLOOKUP(G760,Apoio!$A$2:$B$25,2,0),"")</f>
        <v>2</v>
      </c>
      <c r="I760" s="44">
        <f t="shared" si="104"/>
        <v>4</v>
      </c>
      <c r="J760" s="98"/>
      <c r="K760" s="103"/>
      <c r="L760" s="103"/>
      <c r="M760" s="103"/>
      <c r="N760" s="10"/>
    </row>
    <row r="761" spans="1:14" x14ac:dyDescent="0.3">
      <c r="A761" s="67" t="s">
        <v>26</v>
      </c>
      <c r="B761" s="68" t="s">
        <v>30</v>
      </c>
      <c r="C761" s="68">
        <v>2</v>
      </c>
      <c r="D761" s="70">
        <v>7</v>
      </c>
      <c r="E761" s="51">
        <v>7</v>
      </c>
      <c r="F761" s="4" t="s">
        <v>76</v>
      </c>
      <c r="G761" s="4" t="s">
        <v>102</v>
      </c>
      <c r="H761" s="48">
        <f>IF(G761&gt;0,VLOOKUP(G761,Apoio!$A$2:$B$25,2,0),"")</f>
        <v>5</v>
      </c>
      <c r="I761" s="44">
        <f t="shared" ref="I761:I779" si="105">IF(D761&gt;0,(((H761*E761)*C761)/D761),"")</f>
        <v>10</v>
      </c>
      <c r="J761" s="98"/>
      <c r="K761" s="103"/>
      <c r="L761" s="103"/>
      <c r="M761" s="103"/>
      <c r="N761" s="10"/>
    </row>
    <row r="762" spans="1:14" x14ac:dyDescent="0.3">
      <c r="A762" s="67" t="s">
        <v>26</v>
      </c>
      <c r="B762" s="68" t="s">
        <v>30</v>
      </c>
      <c r="C762" s="68">
        <v>2</v>
      </c>
      <c r="D762" s="70">
        <v>7</v>
      </c>
      <c r="E762" s="51">
        <v>7</v>
      </c>
      <c r="F762" s="4" t="s">
        <v>76</v>
      </c>
      <c r="G762" s="4" t="s">
        <v>105</v>
      </c>
      <c r="H762" s="48">
        <f>IF(G762&gt;0,VLOOKUP(G762,Apoio!$A$2:$B$25,2,0),"")</f>
        <v>7</v>
      </c>
      <c r="I762" s="44">
        <f t="shared" si="105"/>
        <v>14</v>
      </c>
      <c r="J762" s="98"/>
      <c r="K762" s="103"/>
      <c r="L762" s="103"/>
      <c r="M762" s="103"/>
      <c r="N762" s="10"/>
    </row>
    <row r="763" spans="1:14" x14ac:dyDescent="0.3">
      <c r="A763" s="67" t="s">
        <v>26</v>
      </c>
      <c r="B763" s="68" t="s">
        <v>30</v>
      </c>
      <c r="C763" s="68">
        <v>2</v>
      </c>
      <c r="D763" s="70">
        <v>7</v>
      </c>
      <c r="E763" s="51">
        <v>7</v>
      </c>
      <c r="F763" s="4" t="s">
        <v>76</v>
      </c>
      <c r="G763" s="4" t="s">
        <v>108</v>
      </c>
      <c r="H763" s="48">
        <f>IF(G763&gt;0,VLOOKUP(G763,Apoio!$A$2:$B$25,2,0),"")</f>
        <v>8</v>
      </c>
      <c r="I763" s="44">
        <f t="shared" si="105"/>
        <v>16</v>
      </c>
      <c r="J763" s="98"/>
      <c r="K763" s="103"/>
      <c r="L763" s="103"/>
      <c r="M763" s="103"/>
      <c r="N763" s="10"/>
    </row>
    <row r="764" spans="1:14" x14ac:dyDescent="0.3">
      <c r="A764" s="67" t="s">
        <v>26</v>
      </c>
      <c r="B764" s="68" t="s">
        <v>30</v>
      </c>
      <c r="C764" s="68">
        <v>2</v>
      </c>
      <c r="D764" s="70">
        <v>7</v>
      </c>
      <c r="E764" s="51">
        <v>7</v>
      </c>
      <c r="F764" s="4" t="s">
        <v>76</v>
      </c>
      <c r="G764" s="4" t="s">
        <v>111</v>
      </c>
      <c r="H764" s="48">
        <f>IF(G764&gt;0,VLOOKUP(G764,Apoio!$A$2:$B$25,2,0),"")</f>
        <v>7</v>
      </c>
      <c r="I764" s="44">
        <f t="shared" si="105"/>
        <v>14</v>
      </c>
      <c r="J764" s="98"/>
      <c r="K764" s="103"/>
      <c r="L764" s="103"/>
      <c r="M764" s="103"/>
      <c r="N764" s="10"/>
    </row>
    <row r="765" spans="1:14" x14ac:dyDescent="0.3">
      <c r="A765" s="67" t="s">
        <v>26</v>
      </c>
      <c r="B765" s="68" t="s">
        <v>30</v>
      </c>
      <c r="C765" s="68">
        <v>2</v>
      </c>
      <c r="D765" s="70">
        <v>7</v>
      </c>
      <c r="E765" s="51">
        <v>7</v>
      </c>
      <c r="F765" s="4" t="s">
        <v>76</v>
      </c>
      <c r="G765" s="4" t="s">
        <v>114</v>
      </c>
      <c r="H765" s="48">
        <f>IF(G765&gt;0,VLOOKUP(G765,Apoio!$A$2:$B$25,2,0),"")</f>
        <v>8</v>
      </c>
      <c r="I765" s="44">
        <f t="shared" si="105"/>
        <v>16</v>
      </c>
      <c r="J765" s="98"/>
      <c r="K765" s="103"/>
      <c r="L765" s="103"/>
      <c r="M765" s="103"/>
      <c r="N765" s="10"/>
    </row>
    <row r="766" spans="1:14" x14ac:dyDescent="0.3">
      <c r="A766" s="67" t="s">
        <v>26</v>
      </c>
      <c r="B766" s="68" t="s">
        <v>30</v>
      </c>
      <c r="C766" s="68">
        <v>2</v>
      </c>
      <c r="D766" s="70">
        <v>7</v>
      </c>
      <c r="E766" s="51">
        <v>7</v>
      </c>
      <c r="F766" s="4" t="s">
        <v>76</v>
      </c>
      <c r="G766" s="4" t="s">
        <v>117</v>
      </c>
      <c r="H766" s="48">
        <f>IF(G766&gt;0,VLOOKUP(G766,Apoio!$A$2:$B$25,2,0),"")</f>
        <v>3</v>
      </c>
      <c r="I766" s="44">
        <f t="shared" si="105"/>
        <v>6</v>
      </c>
      <c r="J766" s="98"/>
      <c r="K766" s="103"/>
      <c r="L766" s="103"/>
      <c r="M766" s="103"/>
      <c r="N766" s="10"/>
    </row>
    <row r="767" spans="1:14" x14ac:dyDescent="0.3">
      <c r="A767" s="67" t="s">
        <v>26</v>
      </c>
      <c r="B767" s="68" t="s">
        <v>30</v>
      </c>
      <c r="C767" s="68">
        <v>2</v>
      </c>
      <c r="D767" s="70">
        <v>7</v>
      </c>
      <c r="E767" s="51">
        <v>7</v>
      </c>
      <c r="F767" s="4" t="s">
        <v>83</v>
      </c>
      <c r="G767" s="4" t="s">
        <v>120</v>
      </c>
      <c r="H767" s="48">
        <f>IF(G767&gt;0,VLOOKUP(G767,Apoio!$A$2:$B$25,2,0),"")</f>
        <v>7</v>
      </c>
      <c r="I767" s="44">
        <f t="shared" si="105"/>
        <v>14</v>
      </c>
      <c r="J767" s="98"/>
      <c r="K767" s="103"/>
      <c r="L767" s="103"/>
      <c r="M767" s="103"/>
      <c r="N767" s="10"/>
    </row>
    <row r="768" spans="1:14" x14ac:dyDescent="0.3">
      <c r="A768" s="67" t="s">
        <v>26</v>
      </c>
      <c r="B768" s="68" t="s">
        <v>30</v>
      </c>
      <c r="C768" s="68">
        <v>2</v>
      </c>
      <c r="D768" s="70">
        <v>7</v>
      </c>
      <c r="E768" s="51">
        <v>7</v>
      </c>
      <c r="F768" s="4" t="s">
        <v>83</v>
      </c>
      <c r="G768" s="4" t="s">
        <v>123</v>
      </c>
      <c r="H768" s="48">
        <f>IF(G768&gt;0,VLOOKUP(G768,Apoio!$A$2:$B$25,2,0),"")</f>
        <v>8</v>
      </c>
      <c r="I768" s="44">
        <f t="shared" si="105"/>
        <v>16</v>
      </c>
      <c r="J768" s="98"/>
      <c r="K768" s="103"/>
      <c r="L768" s="103"/>
      <c r="M768" s="103"/>
      <c r="N768" s="10"/>
    </row>
    <row r="769" spans="1:14" x14ac:dyDescent="0.3">
      <c r="A769" s="67" t="s">
        <v>26</v>
      </c>
      <c r="B769" s="68" t="s">
        <v>30</v>
      </c>
      <c r="C769" s="68">
        <v>2</v>
      </c>
      <c r="D769" s="70">
        <v>7</v>
      </c>
      <c r="E769" s="51">
        <v>7</v>
      </c>
      <c r="F769" s="4" t="s">
        <v>83</v>
      </c>
      <c r="G769" s="4" t="s">
        <v>126</v>
      </c>
      <c r="H769" s="48">
        <f>IF(G769&gt;0,VLOOKUP(G769,Apoio!$A$2:$B$25,2,0),"")</f>
        <v>8</v>
      </c>
      <c r="I769" s="44">
        <f t="shared" si="105"/>
        <v>16</v>
      </c>
      <c r="J769" s="98"/>
      <c r="K769" s="103"/>
      <c r="L769" s="103"/>
      <c r="M769" s="103"/>
      <c r="N769" s="10"/>
    </row>
    <row r="770" spans="1:14" x14ac:dyDescent="0.3">
      <c r="A770" s="67" t="s">
        <v>26</v>
      </c>
      <c r="B770" s="68" t="s">
        <v>30</v>
      </c>
      <c r="C770" s="68">
        <v>2</v>
      </c>
      <c r="D770" s="70">
        <v>7</v>
      </c>
      <c r="E770" s="51">
        <v>7</v>
      </c>
      <c r="F770" s="4" t="s">
        <v>83</v>
      </c>
      <c r="G770" s="4" t="s">
        <v>129</v>
      </c>
      <c r="H770" s="48">
        <f>IF(G770&gt;0,VLOOKUP(G770,Apoio!$A$2:$B$25,2,0),"")</f>
        <v>8</v>
      </c>
      <c r="I770" s="44">
        <f t="shared" si="105"/>
        <v>16</v>
      </c>
      <c r="J770" s="98"/>
      <c r="K770" s="103"/>
      <c r="L770" s="103"/>
      <c r="M770" s="103"/>
      <c r="N770" s="10"/>
    </row>
    <row r="771" spans="1:14" x14ac:dyDescent="0.3">
      <c r="A771" s="67" t="s">
        <v>26</v>
      </c>
      <c r="B771" s="68" t="s">
        <v>30</v>
      </c>
      <c r="C771" s="68">
        <v>2</v>
      </c>
      <c r="D771" s="70">
        <v>7</v>
      </c>
      <c r="E771" s="51">
        <v>7</v>
      </c>
      <c r="F771" s="4" t="s">
        <v>83</v>
      </c>
      <c r="G771" s="4" t="s">
        <v>132</v>
      </c>
      <c r="H771" s="48">
        <f>IF(G771&gt;0,VLOOKUP(G771,Apoio!$A$2:$B$25,2,0),"")</f>
        <v>7</v>
      </c>
      <c r="I771" s="44">
        <f t="shared" si="105"/>
        <v>14</v>
      </c>
      <c r="J771" s="98"/>
      <c r="K771" s="103"/>
      <c r="L771" s="103"/>
      <c r="M771" s="103"/>
      <c r="N771" s="10"/>
    </row>
    <row r="772" spans="1:14" x14ac:dyDescent="0.3">
      <c r="A772" s="67" t="s">
        <v>26</v>
      </c>
      <c r="B772" s="68" t="s">
        <v>30</v>
      </c>
      <c r="C772" s="68">
        <v>2</v>
      </c>
      <c r="D772" s="70">
        <v>7</v>
      </c>
      <c r="E772" s="51">
        <v>7</v>
      </c>
      <c r="F772" s="4" t="s">
        <v>83</v>
      </c>
      <c r="G772" s="4" t="s">
        <v>135</v>
      </c>
      <c r="H772" s="48">
        <f>IF(G772&gt;0,VLOOKUP(G772,Apoio!$A$2:$B$25,2,0),"")</f>
        <v>3</v>
      </c>
      <c r="I772" s="44">
        <f t="shared" si="105"/>
        <v>6</v>
      </c>
      <c r="J772" s="98"/>
      <c r="K772" s="103"/>
      <c r="L772" s="103"/>
      <c r="M772" s="103"/>
      <c r="N772" s="10"/>
    </row>
    <row r="773" spans="1:14" x14ac:dyDescent="0.3">
      <c r="A773" s="67" t="s">
        <v>26</v>
      </c>
      <c r="B773" s="68" t="s">
        <v>30</v>
      </c>
      <c r="C773" s="71">
        <v>2</v>
      </c>
      <c r="D773" s="71">
        <v>7</v>
      </c>
      <c r="E773" s="51">
        <v>7</v>
      </c>
      <c r="F773" s="4" t="s">
        <v>90</v>
      </c>
      <c r="G773" s="4" t="s">
        <v>138</v>
      </c>
      <c r="H773" s="48">
        <f>IF(G773&gt;0,VLOOKUP(G773,Apoio!$A$2:$B$25,2,0),"")</f>
        <v>8</v>
      </c>
      <c r="I773" s="44">
        <f t="shared" si="105"/>
        <v>16</v>
      </c>
      <c r="J773" s="98">
        <v>8</v>
      </c>
      <c r="K773" s="406">
        <f t="shared" ref="K773:K778" si="106">I773-J773</f>
        <v>8</v>
      </c>
      <c r="L773" s="103"/>
      <c r="M773" s="103"/>
      <c r="N773" s="10"/>
    </row>
    <row r="774" spans="1:14" x14ac:dyDescent="0.3">
      <c r="A774" s="67" t="s">
        <v>26</v>
      </c>
      <c r="B774" s="68" t="s">
        <v>30</v>
      </c>
      <c r="C774" s="71">
        <v>2</v>
      </c>
      <c r="D774" s="71">
        <v>7</v>
      </c>
      <c r="E774" s="51">
        <v>7</v>
      </c>
      <c r="F774" s="4" t="s">
        <v>90</v>
      </c>
      <c r="G774" s="4" t="s">
        <v>141</v>
      </c>
      <c r="H774" s="48">
        <f>IF(G774&gt;0,VLOOKUP(G774,Apoio!$A$2:$B$25,2,0),"")</f>
        <v>7</v>
      </c>
      <c r="I774" s="44">
        <f t="shared" si="105"/>
        <v>14</v>
      </c>
      <c r="J774" s="98">
        <v>8</v>
      </c>
      <c r="K774" s="406">
        <f t="shared" si="106"/>
        <v>6</v>
      </c>
      <c r="L774" s="103"/>
      <c r="M774" s="103"/>
      <c r="N774" s="10"/>
    </row>
    <row r="775" spans="1:14" x14ac:dyDescent="0.3">
      <c r="A775" s="67" t="s">
        <v>26</v>
      </c>
      <c r="B775" s="68" t="s">
        <v>30</v>
      </c>
      <c r="C775" s="71">
        <v>2</v>
      </c>
      <c r="D775" s="71">
        <v>7</v>
      </c>
      <c r="E775" s="51">
        <v>7</v>
      </c>
      <c r="F775" s="4" t="s">
        <v>90</v>
      </c>
      <c r="G775" s="4" t="s">
        <v>144</v>
      </c>
      <c r="H775" s="48">
        <f>IF(G775&gt;0,VLOOKUP(G775,Apoio!$A$2:$B$25,2,0),"")</f>
        <v>7</v>
      </c>
      <c r="I775" s="44">
        <f t="shared" si="105"/>
        <v>14</v>
      </c>
      <c r="J775" s="98">
        <v>8</v>
      </c>
      <c r="K775" s="406">
        <f t="shared" si="106"/>
        <v>6</v>
      </c>
      <c r="L775" s="103"/>
      <c r="M775" s="103"/>
      <c r="N775" s="10"/>
    </row>
    <row r="776" spans="1:14" x14ac:dyDescent="0.3">
      <c r="A776" s="67" t="s">
        <v>26</v>
      </c>
      <c r="B776" s="68" t="s">
        <v>30</v>
      </c>
      <c r="C776" s="71">
        <v>2</v>
      </c>
      <c r="D776" s="71">
        <v>7</v>
      </c>
      <c r="E776" s="51">
        <v>7</v>
      </c>
      <c r="F776" s="4" t="s">
        <v>90</v>
      </c>
      <c r="G776" s="4" t="s">
        <v>147</v>
      </c>
      <c r="H776" s="48">
        <f>IF(G776&gt;0,VLOOKUP(G776,Apoio!$A$2:$B$25,2,0),"")</f>
        <v>7</v>
      </c>
      <c r="I776" s="44">
        <f t="shared" si="105"/>
        <v>14</v>
      </c>
      <c r="J776" s="98">
        <v>8</v>
      </c>
      <c r="K776" s="406">
        <f t="shared" si="106"/>
        <v>6</v>
      </c>
      <c r="L776" s="103"/>
      <c r="M776" s="103"/>
      <c r="N776" s="10"/>
    </row>
    <row r="777" spans="1:14" x14ac:dyDescent="0.3">
      <c r="A777" s="67" t="s">
        <v>26</v>
      </c>
      <c r="B777" s="68" t="s">
        <v>30</v>
      </c>
      <c r="C777" s="71">
        <v>2</v>
      </c>
      <c r="D777" s="71">
        <v>7</v>
      </c>
      <c r="E777" s="51">
        <v>7</v>
      </c>
      <c r="F777" s="4" t="s">
        <v>90</v>
      </c>
      <c r="G777" s="4" t="s">
        <v>150</v>
      </c>
      <c r="H777" s="48">
        <f>IF(G777&gt;0,VLOOKUP(G777,Apoio!$A$2:$B$25,2,0),"")</f>
        <v>8</v>
      </c>
      <c r="I777" s="44">
        <f t="shared" si="105"/>
        <v>16</v>
      </c>
      <c r="J777" s="98">
        <v>8</v>
      </c>
      <c r="K777" s="406">
        <f t="shared" si="106"/>
        <v>8</v>
      </c>
      <c r="L777" s="103"/>
      <c r="M777" s="103"/>
      <c r="N777" s="10"/>
    </row>
    <row r="778" spans="1:14" x14ac:dyDescent="0.3">
      <c r="A778" s="67" t="s">
        <v>26</v>
      </c>
      <c r="B778" s="68" t="s">
        <v>30</v>
      </c>
      <c r="C778" s="71">
        <v>2</v>
      </c>
      <c r="D778" s="71">
        <v>7</v>
      </c>
      <c r="E778" s="51">
        <v>7</v>
      </c>
      <c r="F778" s="4" t="s">
        <v>90</v>
      </c>
      <c r="G778" s="4" t="s">
        <v>153</v>
      </c>
      <c r="H778" s="48">
        <f>IF(G778&gt;0,VLOOKUP(G778,Apoio!$A$2:$B$25,2,0),"")</f>
        <v>8</v>
      </c>
      <c r="I778" s="44">
        <f t="shared" si="105"/>
        <v>16</v>
      </c>
      <c r="J778" s="98">
        <v>8</v>
      </c>
      <c r="K778" s="406">
        <f t="shared" si="106"/>
        <v>8</v>
      </c>
      <c r="L778" s="103"/>
      <c r="M778" s="103"/>
      <c r="N778" s="10"/>
    </row>
    <row r="779" spans="1:14" x14ac:dyDescent="0.3">
      <c r="A779" s="67" t="s">
        <v>39</v>
      </c>
      <c r="B779" s="68" t="s">
        <v>40</v>
      </c>
      <c r="C779" s="58">
        <v>7</v>
      </c>
      <c r="D779" s="116">
        <v>4.8</v>
      </c>
      <c r="E779" s="51">
        <v>7</v>
      </c>
      <c r="F779" s="4" t="s">
        <v>69</v>
      </c>
      <c r="G779" s="4" t="s">
        <v>68</v>
      </c>
      <c r="H779" s="48">
        <f>IF(G779&gt;0,VLOOKUP(G779,Apoio!$A$2:$B$25,2,0),"")</f>
        <v>7</v>
      </c>
      <c r="I779" s="44">
        <f t="shared" si="105"/>
        <v>71.458333333333343</v>
      </c>
      <c r="J779" s="98">
        <f t="shared" ref="J779:J790" si="107">I779*0.2</f>
        <v>14.29166666666667</v>
      </c>
      <c r="K779" s="103"/>
      <c r="L779" s="103"/>
      <c r="M779" s="103" t="s">
        <v>226</v>
      </c>
      <c r="N779" s="10"/>
    </row>
    <row r="780" spans="1:14" x14ac:dyDescent="0.3">
      <c r="A780" s="67" t="s">
        <v>39</v>
      </c>
      <c r="B780" s="68" t="s">
        <v>40</v>
      </c>
      <c r="C780" s="58">
        <v>7</v>
      </c>
      <c r="D780" s="116">
        <v>4.8</v>
      </c>
      <c r="E780" s="51">
        <v>7</v>
      </c>
      <c r="F780" s="4" t="s">
        <v>69</v>
      </c>
      <c r="G780" s="4" t="s">
        <v>75</v>
      </c>
      <c r="H780" s="48">
        <f>IF(G780&gt;0,VLOOKUP(G780,Apoio!$A$2:$B$25,2,0),"")</f>
        <v>8</v>
      </c>
      <c r="I780" s="44">
        <f t="shared" si="102"/>
        <v>81.666666666666671</v>
      </c>
      <c r="J780" s="98">
        <f t="shared" si="107"/>
        <v>16.333333333333336</v>
      </c>
      <c r="K780" s="103"/>
      <c r="L780" s="103"/>
      <c r="M780" s="103" t="s">
        <v>226</v>
      </c>
      <c r="N780" s="10"/>
    </row>
    <row r="781" spans="1:14" x14ac:dyDescent="0.3">
      <c r="A781" s="67" t="s">
        <v>39</v>
      </c>
      <c r="B781" s="68" t="s">
        <v>40</v>
      </c>
      <c r="C781" s="58">
        <v>7</v>
      </c>
      <c r="D781" s="116">
        <v>4.8</v>
      </c>
      <c r="E781" s="51">
        <v>7</v>
      </c>
      <c r="F781" s="4" t="s">
        <v>69</v>
      </c>
      <c r="G781" s="4" t="s">
        <v>82</v>
      </c>
      <c r="H781" s="48">
        <f>IF(G781&gt;0,VLOOKUP(G781,Apoio!$A$2:$B$25,2,0),"")</f>
        <v>6</v>
      </c>
      <c r="I781" s="44">
        <f t="shared" si="102"/>
        <v>61.25</v>
      </c>
      <c r="J781" s="98">
        <f t="shared" si="107"/>
        <v>12.25</v>
      </c>
      <c r="K781" s="103"/>
      <c r="L781" s="103"/>
      <c r="M781" s="103" t="s">
        <v>226</v>
      </c>
      <c r="N781" s="10"/>
    </row>
    <row r="782" spans="1:14" x14ac:dyDescent="0.3">
      <c r="A782" s="67" t="s">
        <v>39</v>
      </c>
      <c r="B782" s="68" t="s">
        <v>40</v>
      </c>
      <c r="C782" s="58">
        <v>7</v>
      </c>
      <c r="D782" s="116">
        <v>4.8</v>
      </c>
      <c r="E782" s="51">
        <v>7</v>
      </c>
      <c r="F782" s="4" t="s">
        <v>69</v>
      </c>
      <c r="G782" s="4" t="s">
        <v>89</v>
      </c>
      <c r="H782" s="48">
        <f>IF(G782&gt;0,VLOOKUP(G782,Apoio!$A$2:$B$25,2,0),"")</f>
        <v>8</v>
      </c>
      <c r="I782" s="44">
        <f t="shared" si="102"/>
        <v>81.666666666666671</v>
      </c>
      <c r="J782" s="98">
        <f t="shared" si="107"/>
        <v>16.333333333333336</v>
      </c>
      <c r="K782" s="103"/>
      <c r="L782" s="103"/>
      <c r="M782" s="103" t="s">
        <v>226</v>
      </c>
      <c r="N782" s="10"/>
    </row>
    <row r="783" spans="1:14" x14ac:dyDescent="0.3">
      <c r="A783" s="67" t="s">
        <v>39</v>
      </c>
      <c r="B783" s="68" t="s">
        <v>40</v>
      </c>
      <c r="C783" s="58">
        <v>7</v>
      </c>
      <c r="D783" s="116">
        <v>4.8</v>
      </c>
      <c r="E783" s="51">
        <v>7</v>
      </c>
      <c r="F783" s="4" t="s">
        <v>69</v>
      </c>
      <c r="G783" s="4" t="s">
        <v>96</v>
      </c>
      <c r="H783" s="48">
        <f>IF(G783&gt;0,VLOOKUP(G783,Apoio!$A$2:$B$25,2,0),"")</f>
        <v>8</v>
      </c>
      <c r="I783" s="44">
        <f t="shared" si="102"/>
        <v>81.666666666666671</v>
      </c>
      <c r="J783" s="98">
        <f t="shared" si="107"/>
        <v>16.333333333333336</v>
      </c>
      <c r="K783" s="103"/>
      <c r="L783" s="103"/>
      <c r="M783" s="103" t="s">
        <v>226</v>
      </c>
      <c r="N783" s="10"/>
    </row>
    <row r="784" spans="1:14" x14ac:dyDescent="0.3">
      <c r="A784" s="67" t="s">
        <v>39</v>
      </c>
      <c r="B784" s="68" t="s">
        <v>40</v>
      </c>
      <c r="C784" s="58">
        <v>7</v>
      </c>
      <c r="D784" s="116">
        <v>4.8</v>
      </c>
      <c r="E784" s="51">
        <v>7</v>
      </c>
      <c r="F784" s="4" t="s">
        <v>69</v>
      </c>
      <c r="G784" s="4" t="s">
        <v>99</v>
      </c>
      <c r="H784" s="48">
        <f>IF(G784&gt;0,VLOOKUP(G784,Apoio!$A$2:$B$25,2,0),"")</f>
        <v>2</v>
      </c>
      <c r="I784" s="44">
        <f t="shared" si="102"/>
        <v>20.416666666666668</v>
      </c>
      <c r="J784" s="98">
        <f t="shared" si="107"/>
        <v>4.0833333333333339</v>
      </c>
      <c r="K784" s="103"/>
      <c r="L784" s="103"/>
      <c r="M784" s="103" t="s">
        <v>226</v>
      </c>
      <c r="N784" s="10"/>
    </row>
    <row r="785" spans="1:14" x14ac:dyDescent="0.3">
      <c r="A785" s="67" t="s">
        <v>39</v>
      </c>
      <c r="B785" s="68" t="s">
        <v>40</v>
      </c>
      <c r="C785" s="58">
        <v>7</v>
      </c>
      <c r="D785" s="116">
        <v>4.8</v>
      </c>
      <c r="E785" s="51">
        <v>7</v>
      </c>
      <c r="F785" s="4" t="s">
        <v>76</v>
      </c>
      <c r="G785" s="4" t="s">
        <v>102</v>
      </c>
      <c r="H785" s="48">
        <f>IF(G785&gt;0,VLOOKUP(G785,Apoio!$A$2:$B$25,2,0),"")</f>
        <v>5</v>
      </c>
      <c r="I785" s="44">
        <f t="shared" si="102"/>
        <v>51.041666666666671</v>
      </c>
      <c r="J785" s="98">
        <f t="shared" si="107"/>
        <v>10.208333333333336</v>
      </c>
      <c r="K785" s="103"/>
      <c r="L785" s="103"/>
      <c r="M785" s="103" t="s">
        <v>226</v>
      </c>
      <c r="N785" s="10"/>
    </row>
    <row r="786" spans="1:14" x14ac:dyDescent="0.3">
      <c r="A786" s="4" t="s">
        <v>39</v>
      </c>
      <c r="B786" s="68" t="s">
        <v>40</v>
      </c>
      <c r="C786" s="58">
        <v>7</v>
      </c>
      <c r="D786" s="116">
        <v>4.8</v>
      </c>
      <c r="E786" s="51">
        <v>7</v>
      </c>
      <c r="F786" s="4" t="s">
        <v>76</v>
      </c>
      <c r="G786" s="4" t="s">
        <v>105</v>
      </c>
      <c r="H786" s="48">
        <f>IF(G786&gt;0,VLOOKUP(G786,Apoio!$A$2:$B$25,2,0),"")</f>
        <v>7</v>
      </c>
      <c r="I786" s="44">
        <f t="shared" si="102"/>
        <v>71.458333333333343</v>
      </c>
      <c r="J786" s="98">
        <f t="shared" si="107"/>
        <v>14.29166666666667</v>
      </c>
      <c r="K786" s="103"/>
      <c r="L786" s="103"/>
      <c r="M786" s="103" t="s">
        <v>226</v>
      </c>
      <c r="N786" s="10"/>
    </row>
    <row r="787" spans="1:14" x14ac:dyDescent="0.3">
      <c r="A787" s="4" t="s">
        <v>39</v>
      </c>
      <c r="B787" s="68" t="s">
        <v>40</v>
      </c>
      <c r="C787" s="58">
        <v>7</v>
      </c>
      <c r="D787" s="116">
        <v>4.8</v>
      </c>
      <c r="E787" s="51">
        <v>7</v>
      </c>
      <c r="F787" s="4" t="s">
        <v>76</v>
      </c>
      <c r="G787" s="4" t="s">
        <v>108</v>
      </c>
      <c r="H787" s="48">
        <f>IF(G787&gt;0,VLOOKUP(G787,Apoio!$A$2:$B$25,2,0),"")</f>
        <v>8</v>
      </c>
      <c r="I787" s="44">
        <f t="shared" si="102"/>
        <v>81.666666666666671</v>
      </c>
      <c r="J787" s="98">
        <f t="shared" si="107"/>
        <v>16.333333333333336</v>
      </c>
      <c r="K787" s="103"/>
      <c r="L787" s="103"/>
      <c r="M787" s="103" t="s">
        <v>226</v>
      </c>
      <c r="N787" s="10"/>
    </row>
    <row r="788" spans="1:14" x14ac:dyDescent="0.3">
      <c r="A788" s="4" t="s">
        <v>39</v>
      </c>
      <c r="B788" s="68" t="s">
        <v>40</v>
      </c>
      <c r="C788" s="58">
        <v>7</v>
      </c>
      <c r="D788" s="116">
        <v>4.8</v>
      </c>
      <c r="E788" s="51">
        <v>7</v>
      </c>
      <c r="F788" s="4" t="s">
        <v>76</v>
      </c>
      <c r="G788" s="4" t="s">
        <v>111</v>
      </c>
      <c r="H788" s="48">
        <f>IF(G788&gt;0,VLOOKUP(G788,Apoio!$A$2:$B$25,2,0),"")</f>
        <v>7</v>
      </c>
      <c r="I788" s="44">
        <f t="shared" si="102"/>
        <v>71.458333333333343</v>
      </c>
      <c r="J788" s="98">
        <f>I788*0.2</f>
        <v>14.29166666666667</v>
      </c>
      <c r="K788" s="103"/>
      <c r="L788" s="103"/>
      <c r="M788" s="103" t="s">
        <v>226</v>
      </c>
      <c r="N788" s="10"/>
    </row>
    <row r="789" spans="1:14" x14ac:dyDescent="0.3">
      <c r="A789" s="4" t="s">
        <v>39</v>
      </c>
      <c r="B789" s="68" t="s">
        <v>40</v>
      </c>
      <c r="C789" s="58">
        <v>7</v>
      </c>
      <c r="D789" s="116">
        <v>4.8</v>
      </c>
      <c r="E789" s="51">
        <v>7</v>
      </c>
      <c r="F789" s="4" t="s">
        <v>76</v>
      </c>
      <c r="G789" s="4" t="s">
        <v>114</v>
      </c>
      <c r="H789" s="48">
        <f>IF(G789&gt;0,VLOOKUP(G789,Apoio!$A$2:$B$25,2,0),"")</f>
        <v>8</v>
      </c>
      <c r="I789" s="44">
        <f t="shared" si="102"/>
        <v>81.666666666666671</v>
      </c>
      <c r="J789" s="98">
        <f t="shared" si="107"/>
        <v>16.333333333333336</v>
      </c>
      <c r="K789" s="103"/>
      <c r="L789" s="103"/>
      <c r="M789" s="103" t="s">
        <v>226</v>
      </c>
      <c r="N789" s="10"/>
    </row>
    <row r="790" spans="1:14" x14ac:dyDescent="0.3">
      <c r="A790" s="4" t="s">
        <v>39</v>
      </c>
      <c r="B790" s="68" t="s">
        <v>40</v>
      </c>
      <c r="C790" s="58">
        <v>7</v>
      </c>
      <c r="D790" s="116">
        <v>4.8</v>
      </c>
      <c r="E790" s="51">
        <v>7</v>
      </c>
      <c r="F790" s="4" t="s">
        <v>76</v>
      </c>
      <c r="G790" s="4" t="s">
        <v>117</v>
      </c>
      <c r="H790" s="48">
        <f>IF(G790&gt;0,VLOOKUP(G790,Apoio!$A$2:$B$25,2,0),"")</f>
        <v>3</v>
      </c>
      <c r="I790" s="44">
        <f t="shared" si="102"/>
        <v>30.625</v>
      </c>
      <c r="J790" s="98">
        <f t="shared" si="107"/>
        <v>6.125</v>
      </c>
      <c r="K790" s="103"/>
      <c r="L790" s="103"/>
      <c r="M790" s="103" t="s">
        <v>226</v>
      </c>
      <c r="N790" s="10"/>
    </row>
    <row r="791" spans="1:14" x14ac:dyDescent="0.3">
      <c r="A791" s="4" t="s">
        <v>39</v>
      </c>
      <c r="B791" s="68" t="s">
        <v>40</v>
      </c>
      <c r="C791" s="58">
        <v>7</v>
      </c>
      <c r="D791" s="116">
        <v>4.8</v>
      </c>
      <c r="E791" s="51">
        <v>7</v>
      </c>
      <c r="F791" s="4" t="s">
        <v>83</v>
      </c>
      <c r="G791" s="4" t="s">
        <v>120</v>
      </c>
      <c r="H791" s="48">
        <f>IF(G791&gt;0,VLOOKUP(G791,Apoio!$A$2:$B$25,2,0),"")</f>
        <v>7</v>
      </c>
      <c r="I791" s="44">
        <f t="shared" ref="I791" si="108">IF(D791&gt;0,(((H791*E791)*C791)/D791),"")</f>
        <v>71.458333333333343</v>
      </c>
      <c r="J791" s="98">
        <f t="shared" ref="J791" si="109">I791*0.2</f>
        <v>14.29166666666667</v>
      </c>
      <c r="K791" s="103"/>
      <c r="L791" s="103"/>
      <c r="M791" s="103" t="s">
        <v>226</v>
      </c>
      <c r="N791" s="10"/>
    </row>
    <row r="792" spans="1:14" x14ac:dyDescent="0.3">
      <c r="A792" s="4" t="s">
        <v>39</v>
      </c>
      <c r="B792" s="68" t="s">
        <v>40</v>
      </c>
      <c r="C792" s="58">
        <v>7</v>
      </c>
      <c r="D792" s="116">
        <v>4.8</v>
      </c>
      <c r="E792" s="51">
        <v>7</v>
      </c>
      <c r="F792" s="4" t="s">
        <v>83</v>
      </c>
      <c r="G792" s="4" t="s">
        <v>123</v>
      </c>
      <c r="H792" s="48">
        <f>IF(G792&gt;0,VLOOKUP(G792,Apoio!$A$2:$B$25,2,0),"")</f>
        <v>8</v>
      </c>
      <c r="I792" s="44">
        <f t="shared" si="102"/>
        <v>81.666666666666671</v>
      </c>
      <c r="J792" s="98">
        <f>I792*20%</f>
        <v>16.333333333333336</v>
      </c>
      <c r="K792" s="103"/>
      <c r="L792" s="103"/>
      <c r="M792" s="103" t="s">
        <v>226</v>
      </c>
      <c r="N792" s="10"/>
    </row>
    <row r="793" spans="1:14" x14ac:dyDescent="0.3">
      <c r="A793" s="4" t="s">
        <v>39</v>
      </c>
      <c r="B793" s="68" t="s">
        <v>40</v>
      </c>
      <c r="C793" s="58">
        <v>7</v>
      </c>
      <c r="D793" s="116">
        <v>4.8</v>
      </c>
      <c r="E793" s="51">
        <v>7</v>
      </c>
      <c r="F793" s="4" t="s">
        <v>83</v>
      </c>
      <c r="G793" s="4" t="s">
        <v>126</v>
      </c>
      <c r="H793" s="48">
        <f>IF(G793&gt;0,VLOOKUP(G793,Apoio!$A$2:$B$25,2,0),"")</f>
        <v>8</v>
      </c>
      <c r="I793" s="44">
        <f t="shared" si="102"/>
        <v>81.666666666666671</v>
      </c>
      <c r="J793" s="98">
        <f>I793*25%</f>
        <v>20.416666666666668</v>
      </c>
      <c r="K793" s="103"/>
      <c r="L793" s="103"/>
      <c r="M793" s="103" t="s">
        <v>226</v>
      </c>
      <c r="N793" s="10"/>
    </row>
    <row r="794" spans="1:14" x14ac:dyDescent="0.3">
      <c r="A794" s="4" t="s">
        <v>39</v>
      </c>
      <c r="B794" s="68" t="s">
        <v>40</v>
      </c>
      <c r="C794" s="58">
        <v>7</v>
      </c>
      <c r="D794" s="116">
        <v>4.8</v>
      </c>
      <c r="E794" s="51">
        <v>7</v>
      </c>
      <c r="F794" s="4" t="s">
        <v>83</v>
      </c>
      <c r="G794" s="4" t="s">
        <v>129</v>
      </c>
      <c r="H794" s="48">
        <f>IF(G794&gt;0,VLOOKUP(G794,Apoio!$A$2:$B$25,2,0),"")</f>
        <v>8</v>
      </c>
      <c r="I794" s="44">
        <f t="shared" si="102"/>
        <v>81.666666666666671</v>
      </c>
      <c r="J794" s="98">
        <f>I794*30%</f>
        <v>24.5</v>
      </c>
      <c r="K794" s="103"/>
      <c r="L794" s="103"/>
      <c r="M794" s="103" t="s">
        <v>226</v>
      </c>
      <c r="N794" s="10"/>
    </row>
    <row r="795" spans="1:14" x14ac:dyDescent="0.3">
      <c r="A795" s="4" t="s">
        <v>39</v>
      </c>
      <c r="B795" s="68" t="s">
        <v>40</v>
      </c>
      <c r="C795" s="58">
        <v>7</v>
      </c>
      <c r="D795" s="116">
        <v>4.8</v>
      </c>
      <c r="E795" s="51">
        <v>7</v>
      </c>
      <c r="F795" s="4" t="s">
        <v>83</v>
      </c>
      <c r="G795" s="4" t="s">
        <v>132</v>
      </c>
      <c r="H795" s="48">
        <f>IF(G795&gt;0,VLOOKUP(G795,Apoio!$A$2:$B$25,2,0),"")</f>
        <v>7</v>
      </c>
      <c r="I795" s="44">
        <f t="shared" si="102"/>
        <v>71.458333333333343</v>
      </c>
      <c r="J795" s="98">
        <f>I795*25.5%</f>
        <v>18.221875000000004</v>
      </c>
      <c r="K795" s="103"/>
      <c r="L795" s="103"/>
      <c r="M795" s="103" t="s">
        <v>226</v>
      </c>
      <c r="N795" s="10"/>
    </row>
    <row r="796" spans="1:14" x14ac:dyDescent="0.3">
      <c r="A796" s="4" t="s">
        <v>39</v>
      </c>
      <c r="B796" s="68" t="s">
        <v>40</v>
      </c>
      <c r="C796" s="58">
        <v>7</v>
      </c>
      <c r="D796" s="116">
        <v>4.8</v>
      </c>
      <c r="E796" s="51">
        <v>7</v>
      </c>
      <c r="F796" s="4" t="s">
        <v>83</v>
      </c>
      <c r="G796" s="4" t="s">
        <v>135</v>
      </c>
      <c r="H796" s="48">
        <f>IF(G796&gt;0,VLOOKUP(G796,Apoio!$A$2:$B$25,2,0),"")</f>
        <v>3</v>
      </c>
      <c r="I796" s="44">
        <f t="shared" si="102"/>
        <v>30.625</v>
      </c>
      <c r="J796" s="98">
        <f>I796*48%</f>
        <v>14.7</v>
      </c>
      <c r="K796" s="103"/>
      <c r="L796" s="103"/>
      <c r="M796" s="103" t="s">
        <v>226</v>
      </c>
      <c r="N796" s="10"/>
    </row>
    <row r="797" spans="1:14" x14ac:dyDescent="0.3">
      <c r="A797" s="4" t="s">
        <v>39</v>
      </c>
      <c r="B797" s="68" t="s">
        <v>40</v>
      </c>
      <c r="C797" s="108">
        <v>7</v>
      </c>
      <c r="D797" s="107">
        <v>4.8</v>
      </c>
      <c r="E797" s="51">
        <v>7</v>
      </c>
      <c r="F797" s="4" t="s">
        <v>90</v>
      </c>
      <c r="G797" s="4" t="s">
        <v>138</v>
      </c>
      <c r="H797" s="48">
        <f>IF(G797&gt;0,VLOOKUP(G797,Apoio!$A$2:$B$25,2,0),"")</f>
        <v>8</v>
      </c>
      <c r="I797" s="44">
        <f t="shared" si="102"/>
        <v>81.666666666666671</v>
      </c>
      <c r="J797" s="98">
        <f>I797*0.15</f>
        <v>12.25</v>
      </c>
      <c r="K797" s="406">
        <f t="shared" ref="K797:K802" si="110">I797-J797</f>
        <v>69.416666666666671</v>
      </c>
      <c r="L797" s="103"/>
      <c r="M797" s="103" t="s">
        <v>226</v>
      </c>
      <c r="N797" s="10"/>
    </row>
    <row r="798" spans="1:14" x14ac:dyDescent="0.3">
      <c r="A798" s="4" t="s">
        <v>39</v>
      </c>
      <c r="B798" s="68" t="s">
        <v>40</v>
      </c>
      <c r="C798" s="108">
        <v>7</v>
      </c>
      <c r="D798" s="107">
        <v>4.8</v>
      </c>
      <c r="E798" s="51">
        <v>7</v>
      </c>
      <c r="F798" s="4" t="s">
        <v>90</v>
      </c>
      <c r="G798" s="4" t="s">
        <v>141</v>
      </c>
      <c r="H798" s="48">
        <f>IF(G798&gt;0,VLOOKUP(G798,Apoio!$A$2:$B$25,2,0),"")</f>
        <v>7</v>
      </c>
      <c r="I798" s="44">
        <f t="shared" si="102"/>
        <v>71.458333333333343</v>
      </c>
      <c r="J798" s="98">
        <f t="shared" ref="J798:J802" si="111">I798*0.15</f>
        <v>10.718750000000002</v>
      </c>
      <c r="K798" s="406">
        <f t="shared" si="110"/>
        <v>60.739583333333343</v>
      </c>
      <c r="L798" s="103"/>
      <c r="M798" s="103" t="s">
        <v>226</v>
      </c>
      <c r="N798" s="10"/>
    </row>
    <row r="799" spans="1:14" x14ac:dyDescent="0.3">
      <c r="A799" s="4" t="s">
        <v>39</v>
      </c>
      <c r="B799" s="68" t="s">
        <v>40</v>
      </c>
      <c r="C799" s="108">
        <v>7</v>
      </c>
      <c r="D799" s="107">
        <v>4.8</v>
      </c>
      <c r="E799" s="51">
        <v>7</v>
      </c>
      <c r="F799" s="4" t="s">
        <v>90</v>
      </c>
      <c r="G799" s="4" t="s">
        <v>144</v>
      </c>
      <c r="H799" s="48">
        <f>IF(G799&gt;0,VLOOKUP(G799,Apoio!$A$2:$B$25,2,0),"")</f>
        <v>7</v>
      </c>
      <c r="I799" s="44">
        <f t="shared" si="102"/>
        <v>71.458333333333343</v>
      </c>
      <c r="J799" s="98">
        <f t="shared" si="111"/>
        <v>10.718750000000002</v>
      </c>
      <c r="K799" s="406">
        <f t="shared" si="110"/>
        <v>60.739583333333343</v>
      </c>
      <c r="L799" s="103"/>
      <c r="M799" s="103" t="s">
        <v>226</v>
      </c>
      <c r="N799" s="10"/>
    </row>
    <row r="800" spans="1:14" x14ac:dyDescent="0.3">
      <c r="A800" s="4" t="s">
        <v>39</v>
      </c>
      <c r="B800" s="68" t="s">
        <v>40</v>
      </c>
      <c r="C800" s="108">
        <v>7</v>
      </c>
      <c r="D800" s="107">
        <v>4.8</v>
      </c>
      <c r="E800" s="51">
        <v>7</v>
      </c>
      <c r="F800" s="4" t="s">
        <v>90</v>
      </c>
      <c r="G800" s="4" t="s">
        <v>147</v>
      </c>
      <c r="H800" s="48">
        <f>IF(G800&gt;0,VLOOKUP(G800,Apoio!$A$2:$B$25,2,0),"")</f>
        <v>7</v>
      </c>
      <c r="I800" s="44">
        <f t="shared" si="102"/>
        <v>71.458333333333343</v>
      </c>
      <c r="J800" s="98">
        <f t="shared" si="111"/>
        <v>10.718750000000002</v>
      </c>
      <c r="K800" s="406">
        <f t="shared" si="110"/>
        <v>60.739583333333343</v>
      </c>
      <c r="L800" s="103"/>
      <c r="M800" s="103" t="s">
        <v>226</v>
      </c>
      <c r="N800" s="10"/>
    </row>
    <row r="801" spans="1:14" x14ac:dyDescent="0.3">
      <c r="A801" s="4" t="s">
        <v>39</v>
      </c>
      <c r="B801" s="68" t="s">
        <v>40</v>
      </c>
      <c r="C801" s="108">
        <v>7</v>
      </c>
      <c r="D801" s="107">
        <v>4.8</v>
      </c>
      <c r="E801" s="51">
        <v>7</v>
      </c>
      <c r="F801" s="4" t="s">
        <v>90</v>
      </c>
      <c r="G801" s="4" t="s">
        <v>150</v>
      </c>
      <c r="H801" s="48">
        <f>IF(G801&gt;0,VLOOKUP(G801,Apoio!$A$2:$B$25,2,0),"")</f>
        <v>8</v>
      </c>
      <c r="I801" s="44">
        <f t="shared" si="102"/>
        <v>81.666666666666671</v>
      </c>
      <c r="J801" s="98">
        <f t="shared" si="111"/>
        <v>12.25</v>
      </c>
      <c r="K801" s="406">
        <f t="shared" si="110"/>
        <v>69.416666666666671</v>
      </c>
      <c r="L801" s="103"/>
      <c r="M801" s="103" t="s">
        <v>226</v>
      </c>
      <c r="N801" s="10"/>
    </row>
    <row r="802" spans="1:14" x14ac:dyDescent="0.3">
      <c r="A802" s="4" t="s">
        <v>39</v>
      </c>
      <c r="B802" s="68" t="s">
        <v>40</v>
      </c>
      <c r="C802" s="108">
        <v>7</v>
      </c>
      <c r="D802" s="107">
        <v>4.8</v>
      </c>
      <c r="E802" s="51">
        <v>7</v>
      </c>
      <c r="F802" s="4" t="s">
        <v>90</v>
      </c>
      <c r="G802" s="4" t="s">
        <v>153</v>
      </c>
      <c r="H802" s="48">
        <f>IF(G802&gt;0,VLOOKUP(G802,Apoio!$A$2:$B$25,2,0),"")</f>
        <v>8</v>
      </c>
      <c r="I802" s="44">
        <f t="shared" si="102"/>
        <v>81.666666666666671</v>
      </c>
      <c r="J802" s="98">
        <f t="shared" si="111"/>
        <v>12.25</v>
      </c>
      <c r="K802" s="406">
        <f t="shared" si="110"/>
        <v>69.416666666666671</v>
      </c>
      <c r="L802" s="103"/>
      <c r="M802" s="103" t="s">
        <v>226</v>
      </c>
      <c r="N802" s="10"/>
    </row>
    <row r="803" spans="1:14" x14ac:dyDescent="0.3">
      <c r="A803" s="4" t="s">
        <v>39</v>
      </c>
      <c r="B803" s="68" t="s">
        <v>41</v>
      </c>
      <c r="C803" s="58">
        <v>6</v>
      </c>
      <c r="D803" s="114">
        <v>5.0999999999999996</v>
      </c>
      <c r="E803" s="51">
        <v>7</v>
      </c>
      <c r="F803" s="4" t="s">
        <v>69</v>
      </c>
      <c r="G803" s="4" t="s">
        <v>68</v>
      </c>
      <c r="H803" s="48">
        <f>IF(G803&gt;0,VLOOKUP(G803,Apoio!$A$2:$B$25,2,0),"")</f>
        <v>7</v>
      </c>
      <c r="I803" s="44">
        <f t="shared" si="102"/>
        <v>57.647058823529413</v>
      </c>
      <c r="J803" s="106">
        <f>I803*0.1</f>
        <v>5.764705882352942</v>
      </c>
      <c r="K803" s="103"/>
      <c r="L803" s="103"/>
      <c r="M803" s="103" t="s">
        <v>226</v>
      </c>
      <c r="N803" s="10"/>
    </row>
    <row r="804" spans="1:14" x14ac:dyDescent="0.3">
      <c r="A804" s="4" t="s">
        <v>39</v>
      </c>
      <c r="B804" s="68" t="s">
        <v>41</v>
      </c>
      <c r="C804" s="58">
        <v>6</v>
      </c>
      <c r="D804" s="114">
        <v>5.0999999999999996</v>
      </c>
      <c r="E804" s="51">
        <v>7</v>
      </c>
      <c r="F804" s="4" t="s">
        <v>69</v>
      </c>
      <c r="G804" s="4" t="s">
        <v>75</v>
      </c>
      <c r="H804" s="48">
        <f>IF(G804&gt;0,VLOOKUP(G804,Apoio!$A$2:$B$25,2,0),"")</f>
        <v>8</v>
      </c>
      <c r="I804" s="44">
        <f t="shared" si="102"/>
        <v>65.882352941176478</v>
      </c>
      <c r="J804" s="106">
        <f>I804*0.2</f>
        <v>13.176470588235297</v>
      </c>
      <c r="K804" s="103"/>
      <c r="L804" s="103"/>
      <c r="M804" s="103" t="s">
        <v>226</v>
      </c>
      <c r="N804" s="10"/>
    </row>
    <row r="805" spans="1:14" x14ac:dyDescent="0.3">
      <c r="A805" s="4" t="s">
        <v>39</v>
      </c>
      <c r="B805" s="68" t="s">
        <v>41</v>
      </c>
      <c r="C805" s="58">
        <v>6</v>
      </c>
      <c r="D805" s="114">
        <v>5.0999999999999996</v>
      </c>
      <c r="E805" s="51">
        <v>7</v>
      </c>
      <c r="F805" s="4" t="s">
        <v>69</v>
      </c>
      <c r="G805" s="4" t="s">
        <v>82</v>
      </c>
      <c r="H805" s="48">
        <f>IF(G805&gt;0,VLOOKUP(G805,Apoio!$A$2:$B$25,2,0),"")</f>
        <v>6</v>
      </c>
      <c r="I805" s="44">
        <f t="shared" si="102"/>
        <v>49.411764705882355</v>
      </c>
      <c r="J805" s="106">
        <v>7</v>
      </c>
      <c r="K805" s="103"/>
      <c r="L805" s="103"/>
      <c r="M805" s="103" t="s">
        <v>226</v>
      </c>
      <c r="N805" s="10"/>
    </row>
    <row r="806" spans="1:14" x14ac:dyDescent="0.3">
      <c r="A806" s="4" t="s">
        <v>39</v>
      </c>
      <c r="B806" s="68" t="s">
        <v>41</v>
      </c>
      <c r="C806" s="58">
        <v>6</v>
      </c>
      <c r="D806" s="114">
        <v>5.0999999999999996</v>
      </c>
      <c r="E806" s="51">
        <v>7</v>
      </c>
      <c r="F806" s="4" t="s">
        <v>69</v>
      </c>
      <c r="G806" s="4" t="s">
        <v>89</v>
      </c>
      <c r="H806" s="48">
        <f>IF(G806&gt;0,VLOOKUP(G806,Apoio!$A$2:$B$25,2,0),"")</f>
        <v>8</v>
      </c>
      <c r="I806" s="44">
        <f t="shared" si="102"/>
        <v>65.882352941176478</v>
      </c>
      <c r="J806" s="106">
        <v>5.25</v>
      </c>
      <c r="K806" s="103"/>
      <c r="L806" s="103"/>
      <c r="M806" s="103" t="s">
        <v>226</v>
      </c>
      <c r="N806" s="10"/>
    </row>
    <row r="807" spans="1:14" x14ac:dyDescent="0.3">
      <c r="A807" s="4" t="s">
        <v>39</v>
      </c>
      <c r="B807" s="68" t="s">
        <v>41</v>
      </c>
      <c r="C807" s="58">
        <v>6</v>
      </c>
      <c r="D807" s="114">
        <v>5.0999999999999996</v>
      </c>
      <c r="E807" s="51">
        <v>7</v>
      </c>
      <c r="F807" s="4" t="s">
        <v>69</v>
      </c>
      <c r="G807" s="4" t="s">
        <v>96</v>
      </c>
      <c r="H807" s="48">
        <f>IF(G807&gt;0,VLOOKUP(G807,Apoio!$A$2:$B$25,2,0),"")</f>
        <v>8</v>
      </c>
      <c r="I807" s="44">
        <f t="shared" si="102"/>
        <v>65.882352941176478</v>
      </c>
      <c r="J807" s="106">
        <v>6.9999999999999991</v>
      </c>
      <c r="K807" s="103"/>
      <c r="L807" s="103"/>
      <c r="M807" s="103" t="s">
        <v>226</v>
      </c>
      <c r="N807" s="10"/>
    </row>
    <row r="808" spans="1:14" x14ac:dyDescent="0.3">
      <c r="A808" s="67" t="s">
        <v>39</v>
      </c>
      <c r="B808" s="68" t="s">
        <v>41</v>
      </c>
      <c r="C808" s="58">
        <v>6</v>
      </c>
      <c r="D808" s="114">
        <v>5.0999999999999996</v>
      </c>
      <c r="E808" s="51">
        <v>7</v>
      </c>
      <c r="F808" s="4" t="s">
        <v>69</v>
      </c>
      <c r="G808" s="4" t="s">
        <v>99</v>
      </c>
      <c r="H808" s="48">
        <f>IF(G808&gt;0,VLOOKUP(G808,Apoio!$A$2:$B$25,2,0),"")</f>
        <v>2</v>
      </c>
      <c r="I808" s="44">
        <f t="shared" ref="I808" si="112">IF(D808&gt;0,(((H808*E808)*C808)/D808),"")</f>
        <v>16.47058823529412</v>
      </c>
      <c r="J808" s="98">
        <f t="shared" ref="J808" si="113">I808*0.2</f>
        <v>3.2941176470588243</v>
      </c>
      <c r="K808" s="103"/>
      <c r="L808" s="103"/>
      <c r="M808" s="103" t="s">
        <v>226</v>
      </c>
      <c r="N808" s="10"/>
    </row>
    <row r="809" spans="1:14" x14ac:dyDescent="0.3">
      <c r="A809" s="4" t="s">
        <v>39</v>
      </c>
      <c r="B809" s="68" t="s">
        <v>41</v>
      </c>
      <c r="C809" s="58">
        <v>6</v>
      </c>
      <c r="D809" s="114">
        <v>5.0999999999999996</v>
      </c>
      <c r="E809" s="51">
        <v>7</v>
      </c>
      <c r="F809" s="4" t="s">
        <v>76</v>
      </c>
      <c r="G809" s="4" t="s">
        <v>102</v>
      </c>
      <c r="H809" s="48">
        <f>IF(G809&gt;0,VLOOKUP(G809,Apoio!$A$2:$B$25,2,0),"")</f>
        <v>5</v>
      </c>
      <c r="I809" s="44">
        <f t="shared" si="102"/>
        <v>41.176470588235297</v>
      </c>
      <c r="J809" s="106">
        <v>2.625</v>
      </c>
      <c r="K809" s="103"/>
      <c r="L809" s="103"/>
      <c r="M809" s="103" t="s">
        <v>226</v>
      </c>
      <c r="N809" s="10"/>
    </row>
    <row r="810" spans="1:14" x14ac:dyDescent="0.3">
      <c r="A810" s="4" t="s">
        <v>39</v>
      </c>
      <c r="B810" s="68" t="s">
        <v>41</v>
      </c>
      <c r="C810" s="58">
        <v>6</v>
      </c>
      <c r="D810" s="114">
        <v>5.0999999999999996</v>
      </c>
      <c r="E810" s="51">
        <v>7</v>
      </c>
      <c r="F810" s="4" t="s">
        <v>76</v>
      </c>
      <c r="G810" s="4" t="s">
        <v>105</v>
      </c>
      <c r="H810" s="48">
        <f>IF(G810&gt;0,VLOOKUP(G810,Apoio!$A$2:$B$25,2,0),"")</f>
        <v>7</v>
      </c>
      <c r="I810" s="44">
        <f t="shared" si="102"/>
        <v>57.647058823529413</v>
      </c>
      <c r="J810" s="98">
        <f t="shared" ref="J810:J815" si="114">I810*0.2</f>
        <v>11.529411764705884</v>
      </c>
      <c r="K810" s="103"/>
      <c r="L810" s="103"/>
      <c r="M810" s="103" t="s">
        <v>226</v>
      </c>
      <c r="N810" s="10"/>
    </row>
    <row r="811" spans="1:14" x14ac:dyDescent="0.3">
      <c r="A811" s="4" t="s">
        <v>39</v>
      </c>
      <c r="B811" s="68" t="s">
        <v>41</v>
      </c>
      <c r="C811" s="58">
        <v>6</v>
      </c>
      <c r="D811" s="114">
        <v>5.0999999999999996</v>
      </c>
      <c r="E811" s="51">
        <v>7</v>
      </c>
      <c r="F811" s="4" t="s">
        <v>76</v>
      </c>
      <c r="G811" s="4" t="s">
        <v>108</v>
      </c>
      <c r="H811" s="48">
        <f>IF(G811&gt;0,VLOOKUP(G811,Apoio!$A$2:$B$25,2,0),"")</f>
        <v>8</v>
      </c>
      <c r="I811" s="44">
        <f t="shared" si="102"/>
        <v>65.882352941176478</v>
      </c>
      <c r="J811" s="98">
        <f t="shared" si="114"/>
        <v>13.176470588235297</v>
      </c>
      <c r="K811" s="103"/>
      <c r="L811" s="103"/>
      <c r="M811" s="103" t="s">
        <v>226</v>
      </c>
      <c r="N811" s="10"/>
    </row>
    <row r="812" spans="1:14" x14ac:dyDescent="0.3">
      <c r="A812" s="4" t="s">
        <v>39</v>
      </c>
      <c r="B812" s="68" t="s">
        <v>41</v>
      </c>
      <c r="C812" s="58">
        <v>6</v>
      </c>
      <c r="D812" s="114">
        <v>5.0999999999999996</v>
      </c>
      <c r="E812" s="51">
        <v>7</v>
      </c>
      <c r="F812" s="4" t="s">
        <v>76</v>
      </c>
      <c r="G812" s="4" t="s">
        <v>111</v>
      </c>
      <c r="H812" s="48">
        <f>IF(G812&gt;0,VLOOKUP(G812,Apoio!$A$2:$B$25,2,0),"")</f>
        <v>7</v>
      </c>
      <c r="I812" s="44">
        <f t="shared" si="102"/>
        <v>57.647058823529413</v>
      </c>
      <c r="J812" s="98">
        <f t="shared" si="114"/>
        <v>11.529411764705884</v>
      </c>
      <c r="K812" s="103"/>
      <c r="L812" s="103"/>
      <c r="M812" s="103" t="s">
        <v>226</v>
      </c>
      <c r="N812" s="10"/>
    </row>
    <row r="813" spans="1:14" x14ac:dyDescent="0.3">
      <c r="A813" s="4" t="s">
        <v>39</v>
      </c>
      <c r="B813" s="68" t="s">
        <v>41</v>
      </c>
      <c r="C813" s="58">
        <v>6</v>
      </c>
      <c r="D813" s="114">
        <v>5.0999999999999996</v>
      </c>
      <c r="E813" s="51">
        <v>7</v>
      </c>
      <c r="F813" s="4" t="s">
        <v>76</v>
      </c>
      <c r="G813" s="4" t="s">
        <v>114</v>
      </c>
      <c r="H813" s="48">
        <f>IF(G813&gt;0,VLOOKUP(G813,Apoio!$A$2:$B$25,2,0),"")</f>
        <v>8</v>
      </c>
      <c r="I813" s="44">
        <f t="shared" si="102"/>
        <v>65.882352941176478</v>
      </c>
      <c r="J813" s="98">
        <f t="shared" si="114"/>
        <v>13.176470588235297</v>
      </c>
      <c r="K813" s="103"/>
      <c r="L813" s="103"/>
      <c r="M813" s="103" t="s">
        <v>226</v>
      </c>
      <c r="N813" s="10"/>
    </row>
    <row r="814" spans="1:14" x14ac:dyDescent="0.3">
      <c r="A814" s="4" t="s">
        <v>39</v>
      </c>
      <c r="B814" s="68" t="s">
        <v>41</v>
      </c>
      <c r="C814" s="58">
        <v>6</v>
      </c>
      <c r="D814" s="114">
        <v>5.0999999999999996</v>
      </c>
      <c r="E814" s="51">
        <v>7</v>
      </c>
      <c r="F814" s="4" t="s">
        <v>76</v>
      </c>
      <c r="G814" s="4" t="s">
        <v>117</v>
      </c>
      <c r="H814" s="48">
        <f>IF(G814&gt;0,VLOOKUP(G814,Apoio!$A$2:$B$25,2,0),"")</f>
        <v>3</v>
      </c>
      <c r="I814" s="44">
        <f t="shared" si="102"/>
        <v>24.705882352941178</v>
      </c>
      <c r="J814" s="98">
        <f t="shared" si="114"/>
        <v>4.9411764705882355</v>
      </c>
      <c r="K814" s="103"/>
      <c r="L814" s="103"/>
      <c r="M814" s="103" t="s">
        <v>226</v>
      </c>
      <c r="N814" s="10"/>
    </row>
    <row r="815" spans="1:14" x14ac:dyDescent="0.3">
      <c r="A815" s="67" t="s">
        <v>39</v>
      </c>
      <c r="B815" s="68" t="s">
        <v>41</v>
      </c>
      <c r="C815" s="58">
        <v>6</v>
      </c>
      <c r="D815" s="114">
        <v>5.0999999999999996</v>
      </c>
      <c r="E815" s="51">
        <v>7</v>
      </c>
      <c r="F815" s="4" t="s">
        <v>83</v>
      </c>
      <c r="G815" s="4" t="s">
        <v>120</v>
      </c>
      <c r="H815" s="48">
        <f>IF(G815&gt;0,VLOOKUP(G815,Apoio!$A$2:$B$25,2,0),"")</f>
        <v>7</v>
      </c>
      <c r="I815" s="44">
        <f t="shared" si="102"/>
        <v>57.647058823529413</v>
      </c>
      <c r="J815" s="98">
        <f t="shared" si="114"/>
        <v>11.529411764705884</v>
      </c>
      <c r="K815" s="103"/>
      <c r="L815" s="103"/>
      <c r="M815" s="103" t="s">
        <v>226</v>
      </c>
      <c r="N815" s="10"/>
    </row>
    <row r="816" spans="1:14" x14ac:dyDescent="0.3">
      <c r="A816" s="67" t="s">
        <v>39</v>
      </c>
      <c r="B816" s="68" t="s">
        <v>41</v>
      </c>
      <c r="C816" s="58">
        <v>6</v>
      </c>
      <c r="D816" s="114">
        <v>5.0999999999999996</v>
      </c>
      <c r="E816" s="51">
        <v>7</v>
      </c>
      <c r="F816" s="4" t="s">
        <v>83</v>
      </c>
      <c r="G816" s="4" t="s">
        <v>123</v>
      </c>
      <c r="H816" s="48">
        <f>IF(G816&gt;0,VLOOKUP(G816,Apoio!$A$2:$B$25,2,0),"")</f>
        <v>8</v>
      </c>
      <c r="I816" s="44">
        <f t="shared" si="102"/>
        <v>65.882352941176478</v>
      </c>
      <c r="J816" s="98">
        <f>I816*25%</f>
        <v>16.47058823529412</v>
      </c>
      <c r="K816" s="103"/>
      <c r="L816" s="103"/>
      <c r="M816" s="103" t="s">
        <v>226</v>
      </c>
      <c r="N816" s="10"/>
    </row>
    <row r="817" spans="1:14" x14ac:dyDescent="0.3">
      <c r="A817" s="67" t="s">
        <v>39</v>
      </c>
      <c r="B817" s="68" t="s">
        <v>41</v>
      </c>
      <c r="C817" s="58">
        <v>6</v>
      </c>
      <c r="D817" s="114">
        <v>5.0999999999999996</v>
      </c>
      <c r="E817" s="51">
        <v>7</v>
      </c>
      <c r="F817" s="4" t="s">
        <v>83</v>
      </c>
      <c r="G817" s="4" t="s">
        <v>126</v>
      </c>
      <c r="H817" s="48">
        <f>IF(G817&gt;0,VLOOKUP(G817,Apoio!$A$2:$B$25,2,0),"")</f>
        <v>8</v>
      </c>
      <c r="I817" s="44">
        <f t="shared" si="102"/>
        <v>65.882352941176478</v>
      </c>
      <c r="J817" s="98">
        <f>I817*25%</f>
        <v>16.47058823529412</v>
      </c>
      <c r="K817" s="103"/>
      <c r="L817" s="103"/>
      <c r="M817" s="103" t="s">
        <v>226</v>
      </c>
      <c r="N817" s="10"/>
    </row>
    <row r="818" spans="1:14" x14ac:dyDescent="0.3">
      <c r="A818" s="67" t="s">
        <v>39</v>
      </c>
      <c r="B818" s="68" t="s">
        <v>41</v>
      </c>
      <c r="C818" s="58">
        <v>6</v>
      </c>
      <c r="D818" s="114">
        <v>5.0999999999999996</v>
      </c>
      <c r="E818" s="51">
        <v>7</v>
      </c>
      <c r="F818" s="4" t="s">
        <v>83</v>
      </c>
      <c r="G818" s="4" t="s">
        <v>129</v>
      </c>
      <c r="H818" s="48">
        <f>IF(G818&gt;0,VLOOKUP(G818,Apoio!$A$2:$B$25,2,0),"")</f>
        <v>8</v>
      </c>
      <c r="I818" s="44">
        <f t="shared" si="102"/>
        <v>65.882352941176478</v>
      </c>
      <c r="J818" s="98">
        <f>I818*25%</f>
        <v>16.47058823529412</v>
      </c>
      <c r="K818" s="103"/>
      <c r="L818" s="103"/>
      <c r="M818" s="103" t="s">
        <v>226</v>
      </c>
      <c r="N818" s="10"/>
    </row>
    <row r="819" spans="1:14" x14ac:dyDescent="0.3">
      <c r="A819" s="67" t="s">
        <v>39</v>
      </c>
      <c r="B819" s="68" t="s">
        <v>41</v>
      </c>
      <c r="C819" s="58">
        <v>6</v>
      </c>
      <c r="D819" s="114">
        <v>5.0999999999999996</v>
      </c>
      <c r="E819" s="51">
        <v>7</v>
      </c>
      <c r="F819" s="4" t="s">
        <v>83</v>
      </c>
      <c r="G819" s="4" t="s">
        <v>132</v>
      </c>
      <c r="H819" s="48">
        <f>IF(G819&gt;0,VLOOKUP(G819,Apoio!$A$2:$B$25,2,0),"")</f>
        <v>7</v>
      </c>
      <c r="I819" s="44">
        <f t="shared" si="102"/>
        <v>57.647058823529413</v>
      </c>
      <c r="J819" s="98">
        <f>I819*25%</f>
        <v>14.411764705882353</v>
      </c>
      <c r="K819" s="103"/>
      <c r="L819" s="103"/>
      <c r="M819" s="103" t="s">
        <v>226</v>
      </c>
      <c r="N819" s="10"/>
    </row>
    <row r="820" spans="1:14" x14ac:dyDescent="0.3">
      <c r="A820" s="67" t="s">
        <v>39</v>
      </c>
      <c r="B820" s="68" t="s">
        <v>41</v>
      </c>
      <c r="C820" s="58">
        <v>6</v>
      </c>
      <c r="D820" s="114">
        <v>5.0999999999999996</v>
      </c>
      <c r="E820" s="51">
        <v>7</v>
      </c>
      <c r="F820" s="4" t="s">
        <v>83</v>
      </c>
      <c r="G820" s="4" t="s">
        <v>135</v>
      </c>
      <c r="H820" s="48">
        <f>IF(G820&gt;0,VLOOKUP(G820,Apoio!$A$2:$B$25,2,0),"")</f>
        <v>3</v>
      </c>
      <c r="I820" s="44">
        <f t="shared" si="102"/>
        <v>24.705882352941178</v>
      </c>
      <c r="J820" s="98">
        <f>I820*25%</f>
        <v>6.1764705882352944</v>
      </c>
      <c r="K820" s="103"/>
      <c r="L820" s="103"/>
      <c r="M820" s="103" t="s">
        <v>226</v>
      </c>
      <c r="N820" s="10"/>
    </row>
    <row r="821" spans="1:14" x14ac:dyDescent="0.3">
      <c r="A821" s="67" t="s">
        <v>39</v>
      </c>
      <c r="B821" s="68" t="s">
        <v>41</v>
      </c>
      <c r="C821" s="108">
        <v>6</v>
      </c>
      <c r="D821" s="108">
        <v>5.0999999999999996</v>
      </c>
      <c r="E821" s="51">
        <v>7</v>
      </c>
      <c r="F821" s="4" t="s">
        <v>90</v>
      </c>
      <c r="G821" s="4" t="s">
        <v>138</v>
      </c>
      <c r="H821" s="48">
        <f>IF(G821&gt;0,VLOOKUP(G821,Apoio!$A$2:$B$25,2,0),"")</f>
        <v>8</v>
      </c>
      <c r="I821" s="44">
        <f t="shared" si="102"/>
        <v>65.882352941176478</v>
      </c>
      <c r="J821" s="98">
        <v>11.374999999999998</v>
      </c>
      <c r="K821" s="406">
        <f t="shared" ref="K821:K826" si="115">I821-J821</f>
        <v>54.507352941176478</v>
      </c>
      <c r="L821" s="103"/>
      <c r="M821" s="103" t="s">
        <v>226</v>
      </c>
      <c r="N821" s="10"/>
    </row>
    <row r="822" spans="1:14" x14ac:dyDescent="0.3">
      <c r="A822" s="67" t="s">
        <v>39</v>
      </c>
      <c r="B822" s="68" t="s">
        <v>41</v>
      </c>
      <c r="C822" s="108">
        <v>6</v>
      </c>
      <c r="D822" s="108">
        <v>5.0999999999999996</v>
      </c>
      <c r="E822" s="51">
        <v>7</v>
      </c>
      <c r="F822" s="4" t="s">
        <v>90</v>
      </c>
      <c r="G822" s="4" t="s">
        <v>141</v>
      </c>
      <c r="H822" s="48">
        <f>IF(G822&gt;0,VLOOKUP(G822,Apoio!$A$2:$B$25,2,0),"")</f>
        <v>7</v>
      </c>
      <c r="I822" s="44">
        <f t="shared" si="102"/>
        <v>57.647058823529413</v>
      </c>
      <c r="J822" s="98">
        <v>6.9999999999999991</v>
      </c>
      <c r="K822" s="406">
        <f t="shared" si="115"/>
        <v>50.647058823529413</v>
      </c>
      <c r="L822" s="103"/>
      <c r="M822" s="103" t="s">
        <v>226</v>
      </c>
      <c r="N822" s="10"/>
    </row>
    <row r="823" spans="1:14" x14ac:dyDescent="0.3">
      <c r="A823" s="67" t="s">
        <v>39</v>
      </c>
      <c r="B823" s="68" t="s">
        <v>41</v>
      </c>
      <c r="C823" s="108">
        <v>6</v>
      </c>
      <c r="D823" s="108">
        <v>5.0999999999999996</v>
      </c>
      <c r="E823" s="51">
        <v>7</v>
      </c>
      <c r="F823" s="4" t="s">
        <v>90</v>
      </c>
      <c r="G823" s="4" t="s">
        <v>144</v>
      </c>
      <c r="H823" s="48">
        <f>IF(G823&gt;0,VLOOKUP(G823,Apoio!$A$2:$B$25,2,0),"")</f>
        <v>7</v>
      </c>
      <c r="I823" s="44">
        <f t="shared" ref="I823:I850" si="116">IF(D823&gt;0,(((H823*E823)*C823)/D823),"")</f>
        <v>57.647058823529413</v>
      </c>
      <c r="J823" s="98">
        <v>6.9999999999999991</v>
      </c>
      <c r="K823" s="406">
        <f t="shared" si="115"/>
        <v>50.647058823529413</v>
      </c>
      <c r="L823" s="103"/>
      <c r="M823" s="103" t="s">
        <v>226</v>
      </c>
      <c r="N823" s="10"/>
    </row>
    <row r="824" spans="1:14" x14ac:dyDescent="0.3">
      <c r="A824" s="67" t="s">
        <v>39</v>
      </c>
      <c r="B824" s="68" t="s">
        <v>41</v>
      </c>
      <c r="C824" s="108">
        <v>6</v>
      </c>
      <c r="D824" s="108">
        <v>5.0999999999999996</v>
      </c>
      <c r="E824" s="51">
        <v>7</v>
      </c>
      <c r="F824" s="4" t="s">
        <v>90</v>
      </c>
      <c r="G824" s="4" t="s">
        <v>147</v>
      </c>
      <c r="H824" s="48">
        <f>IF(G824&gt;0,VLOOKUP(G824,Apoio!$A$2:$B$25,2,0),"")</f>
        <v>7</v>
      </c>
      <c r="I824" s="44">
        <f t="shared" si="116"/>
        <v>57.647058823529413</v>
      </c>
      <c r="J824" s="98">
        <v>6.125</v>
      </c>
      <c r="K824" s="406">
        <f t="shared" si="115"/>
        <v>51.522058823529413</v>
      </c>
      <c r="L824" s="103"/>
      <c r="M824" s="103" t="s">
        <v>226</v>
      </c>
      <c r="N824" s="10"/>
    </row>
    <row r="825" spans="1:14" x14ac:dyDescent="0.3">
      <c r="A825" s="67" t="s">
        <v>39</v>
      </c>
      <c r="B825" s="68" t="s">
        <v>41</v>
      </c>
      <c r="C825" s="108">
        <v>6</v>
      </c>
      <c r="D825" s="108">
        <v>5.0999999999999996</v>
      </c>
      <c r="E825" s="51">
        <v>7</v>
      </c>
      <c r="F825" s="4" t="s">
        <v>90</v>
      </c>
      <c r="G825" s="4" t="s">
        <v>150</v>
      </c>
      <c r="H825" s="48">
        <f>IF(G825&gt;0,VLOOKUP(G825,Apoio!$A$2:$B$25,2,0),"")</f>
        <v>8</v>
      </c>
      <c r="I825" s="44">
        <f t="shared" si="116"/>
        <v>65.882352941176478</v>
      </c>
      <c r="J825" s="98">
        <v>6.9999999999999991</v>
      </c>
      <c r="K825" s="406">
        <f t="shared" si="115"/>
        <v>58.882352941176478</v>
      </c>
      <c r="L825" s="103"/>
      <c r="M825" s="103" t="s">
        <v>226</v>
      </c>
      <c r="N825" s="10"/>
    </row>
    <row r="826" spans="1:14" x14ac:dyDescent="0.3">
      <c r="A826" s="67" t="s">
        <v>39</v>
      </c>
      <c r="B826" s="68" t="s">
        <v>41</v>
      </c>
      <c r="C826" s="108">
        <v>6</v>
      </c>
      <c r="D826" s="108">
        <v>5.0999999999999996</v>
      </c>
      <c r="E826" s="51">
        <v>7</v>
      </c>
      <c r="F826" s="4" t="s">
        <v>90</v>
      </c>
      <c r="G826" s="4" t="s">
        <v>153</v>
      </c>
      <c r="H826" s="48">
        <f>IF(G826&gt;0,VLOOKUP(G826,Apoio!$A$2:$B$25,2,0),"")</f>
        <v>8</v>
      </c>
      <c r="I826" s="44">
        <f t="shared" si="116"/>
        <v>65.882352941176478</v>
      </c>
      <c r="J826" s="98">
        <v>6.9999999999999991</v>
      </c>
      <c r="K826" s="406">
        <f t="shared" si="115"/>
        <v>58.882352941176478</v>
      </c>
      <c r="L826" s="103"/>
      <c r="M826" s="103" t="s">
        <v>226</v>
      </c>
      <c r="N826" s="10"/>
    </row>
    <row r="827" spans="1:14" x14ac:dyDescent="0.3">
      <c r="A827" s="4" t="s">
        <v>39</v>
      </c>
      <c r="B827" s="68" t="s">
        <v>42</v>
      </c>
      <c r="C827" s="58">
        <v>10</v>
      </c>
      <c r="D827" s="114">
        <v>5.9</v>
      </c>
      <c r="E827" s="51">
        <v>7</v>
      </c>
      <c r="F827" s="4" t="s">
        <v>69</v>
      </c>
      <c r="G827" s="4" t="s">
        <v>68</v>
      </c>
      <c r="H827" s="48">
        <f>IF(G827&gt;0,VLOOKUP(G827,Apoio!$A$2:$B$25,2,0),"")</f>
        <v>7</v>
      </c>
      <c r="I827" s="44">
        <f t="shared" si="116"/>
        <v>83.050847457627114</v>
      </c>
      <c r="J827" s="98">
        <v>7.8400000000000007</v>
      </c>
      <c r="K827" s="103"/>
      <c r="L827" s="103"/>
      <c r="M827" s="103" t="s">
        <v>226</v>
      </c>
      <c r="N827" s="10"/>
    </row>
    <row r="828" spans="1:14" x14ac:dyDescent="0.3">
      <c r="A828" s="4" t="s">
        <v>39</v>
      </c>
      <c r="B828" s="68" t="s">
        <v>42</v>
      </c>
      <c r="C828" s="58">
        <v>10</v>
      </c>
      <c r="D828" s="114">
        <v>5.9</v>
      </c>
      <c r="E828" s="51">
        <v>7</v>
      </c>
      <c r="F828" s="4" t="s">
        <v>69</v>
      </c>
      <c r="G828" s="4" t="s">
        <v>75</v>
      </c>
      <c r="H828" s="48">
        <f>IF(G828&gt;0,VLOOKUP(G828,Apoio!$A$2:$B$25,2,0),"")</f>
        <v>8</v>
      </c>
      <c r="I828" s="44">
        <f t="shared" si="116"/>
        <v>94.915254237288124</v>
      </c>
      <c r="J828" s="98">
        <v>8.9599999999999991</v>
      </c>
      <c r="K828" s="103"/>
      <c r="L828" s="103"/>
      <c r="M828" s="103" t="s">
        <v>226</v>
      </c>
      <c r="N828" s="10"/>
    </row>
    <row r="829" spans="1:14" x14ac:dyDescent="0.3">
      <c r="A829" s="4" t="s">
        <v>39</v>
      </c>
      <c r="B829" s="68" t="s">
        <v>42</v>
      </c>
      <c r="C829" s="58">
        <v>10</v>
      </c>
      <c r="D829" s="114">
        <v>5.9</v>
      </c>
      <c r="E829" s="51">
        <v>7</v>
      </c>
      <c r="F829" s="4" t="s">
        <v>69</v>
      </c>
      <c r="G829" s="4" t="s">
        <v>82</v>
      </c>
      <c r="H829" s="48">
        <f>IF(G829&gt;0,VLOOKUP(G829,Apoio!$A$2:$B$25,2,0),"")</f>
        <v>6</v>
      </c>
      <c r="I829" s="44">
        <f t="shared" si="116"/>
        <v>71.186440677966104</v>
      </c>
      <c r="J829" s="98">
        <v>8.9599999999999991</v>
      </c>
      <c r="K829" s="103"/>
      <c r="L829" s="103"/>
      <c r="M829" s="103" t="s">
        <v>226</v>
      </c>
      <c r="N829" s="10"/>
    </row>
    <row r="830" spans="1:14" x14ac:dyDescent="0.3">
      <c r="A830" s="4" t="s">
        <v>39</v>
      </c>
      <c r="B830" s="68" t="s">
        <v>42</v>
      </c>
      <c r="C830" s="58">
        <v>10</v>
      </c>
      <c r="D830" s="114">
        <v>5.9</v>
      </c>
      <c r="E830" s="51">
        <v>7</v>
      </c>
      <c r="F830" s="4" t="s">
        <v>69</v>
      </c>
      <c r="G830" s="4" t="s">
        <v>89</v>
      </c>
      <c r="H830" s="48">
        <f>IF(G830&gt;0,VLOOKUP(G830,Apoio!$A$2:$B$25,2,0),"")</f>
        <v>8</v>
      </c>
      <c r="I830" s="44">
        <f t="shared" ref="I830" si="117">IF(D830&gt;0,(((H830*E830)*C830)/D830),"")</f>
        <v>94.915254237288124</v>
      </c>
      <c r="J830" s="98">
        <v>8.9599999999999991</v>
      </c>
      <c r="K830" s="103"/>
      <c r="L830" s="103"/>
      <c r="M830" s="103" t="s">
        <v>226</v>
      </c>
      <c r="N830" s="10"/>
    </row>
    <row r="831" spans="1:14" x14ac:dyDescent="0.3">
      <c r="A831" s="4" t="s">
        <v>39</v>
      </c>
      <c r="B831" s="68" t="s">
        <v>42</v>
      </c>
      <c r="C831" s="58">
        <v>10</v>
      </c>
      <c r="D831" s="114">
        <v>5.9</v>
      </c>
      <c r="E831" s="51">
        <v>7</v>
      </c>
      <c r="F831" s="4" t="s">
        <v>69</v>
      </c>
      <c r="G831" s="4" t="s">
        <v>96</v>
      </c>
      <c r="H831" s="48">
        <f>IF(G831&gt;0,VLOOKUP(G831,Apoio!$A$2:$B$25,2,0),"")</f>
        <v>8</v>
      </c>
      <c r="I831" s="44">
        <f t="shared" si="116"/>
        <v>94.915254237288124</v>
      </c>
      <c r="J831" s="98">
        <v>6.7200000000000006</v>
      </c>
      <c r="K831" s="103"/>
      <c r="L831" s="103"/>
      <c r="M831" s="103" t="s">
        <v>226</v>
      </c>
      <c r="N831" s="10"/>
    </row>
    <row r="832" spans="1:14" x14ac:dyDescent="0.3">
      <c r="A832" s="4" t="s">
        <v>39</v>
      </c>
      <c r="B832" s="68" t="s">
        <v>42</v>
      </c>
      <c r="C832" s="58">
        <v>10</v>
      </c>
      <c r="D832" s="114">
        <v>5.9</v>
      </c>
      <c r="E832" s="51">
        <v>7</v>
      </c>
      <c r="F832" s="4" t="s">
        <v>69</v>
      </c>
      <c r="G832" s="4" t="s">
        <v>99</v>
      </c>
      <c r="H832" s="48">
        <f>IF(G832&gt;0,VLOOKUP(G832,Apoio!$A$2:$B$25,2,0),"")</f>
        <v>2</v>
      </c>
      <c r="I832" s="44">
        <f t="shared" si="116"/>
        <v>23.728813559322031</v>
      </c>
      <c r="J832" s="98">
        <v>8.9599999999999991</v>
      </c>
      <c r="K832" s="103"/>
      <c r="L832" s="103"/>
      <c r="M832" s="103" t="s">
        <v>226</v>
      </c>
      <c r="N832" s="10"/>
    </row>
    <row r="833" spans="1:14" x14ac:dyDescent="0.3">
      <c r="A833" s="4" t="s">
        <v>39</v>
      </c>
      <c r="B833" s="4" t="s">
        <v>42</v>
      </c>
      <c r="C833" s="58">
        <v>10</v>
      </c>
      <c r="D833" s="114">
        <v>5.9</v>
      </c>
      <c r="E833" s="51">
        <v>7</v>
      </c>
      <c r="F833" s="4" t="s">
        <v>76</v>
      </c>
      <c r="G833" s="4" t="s">
        <v>102</v>
      </c>
      <c r="H833" s="48">
        <f>IF(G833&gt;0,VLOOKUP(G833,Apoio!$A$2:$B$25,2,0),"")</f>
        <v>5</v>
      </c>
      <c r="I833" s="44">
        <f t="shared" si="116"/>
        <v>59.322033898305079</v>
      </c>
      <c r="J833" s="98">
        <v>3.3600000000000003</v>
      </c>
      <c r="K833" s="103"/>
      <c r="L833" s="103"/>
      <c r="M833" s="103" t="s">
        <v>226</v>
      </c>
      <c r="N833" s="10"/>
    </row>
    <row r="834" spans="1:14" x14ac:dyDescent="0.3">
      <c r="A834" s="4" t="s">
        <v>39</v>
      </c>
      <c r="B834" s="4" t="s">
        <v>42</v>
      </c>
      <c r="C834" s="58">
        <v>10</v>
      </c>
      <c r="D834" s="114">
        <v>5.9</v>
      </c>
      <c r="E834" s="51">
        <v>7</v>
      </c>
      <c r="F834" s="4" t="s">
        <v>76</v>
      </c>
      <c r="G834" s="4" t="s">
        <v>105</v>
      </c>
      <c r="H834" s="48">
        <f>IF(G834&gt;0,VLOOKUP(G834,Apoio!$A$2:$B$25,2,0),"")</f>
        <v>7</v>
      </c>
      <c r="I834" s="44">
        <f t="shared" si="116"/>
        <v>83.050847457627114</v>
      </c>
      <c r="J834" s="98">
        <f t="shared" ref="J834:J839" si="118">I834*0.2</f>
        <v>16.610169491525422</v>
      </c>
      <c r="K834" s="103"/>
      <c r="L834" s="103"/>
      <c r="M834" s="103" t="s">
        <v>226</v>
      </c>
      <c r="N834" s="10"/>
    </row>
    <row r="835" spans="1:14" x14ac:dyDescent="0.3">
      <c r="A835" s="4" t="s">
        <v>39</v>
      </c>
      <c r="B835" s="4" t="s">
        <v>42</v>
      </c>
      <c r="C835" s="58">
        <v>10</v>
      </c>
      <c r="D835" s="114">
        <v>5.9</v>
      </c>
      <c r="E835" s="51">
        <v>7</v>
      </c>
      <c r="F835" s="4" t="s">
        <v>76</v>
      </c>
      <c r="G835" s="4" t="s">
        <v>108</v>
      </c>
      <c r="H835" s="48">
        <f>IF(G835&gt;0,VLOOKUP(G835,Apoio!$A$2:$B$25,2,0),"")</f>
        <v>8</v>
      </c>
      <c r="I835" s="44">
        <f t="shared" si="116"/>
        <v>94.915254237288124</v>
      </c>
      <c r="J835" s="98">
        <f t="shared" si="118"/>
        <v>18.983050847457626</v>
      </c>
      <c r="K835" s="103"/>
      <c r="L835" s="103"/>
      <c r="M835" s="103" t="s">
        <v>226</v>
      </c>
      <c r="N835" s="10"/>
    </row>
    <row r="836" spans="1:14" x14ac:dyDescent="0.3">
      <c r="A836" s="4" t="s">
        <v>39</v>
      </c>
      <c r="B836" s="4" t="s">
        <v>42</v>
      </c>
      <c r="C836" s="58">
        <v>10</v>
      </c>
      <c r="D836" s="114">
        <v>5.9</v>
      </c>
      <c r="E836" s="51">
        <v>7</v>
      </c>
      <c r="F836" s="4" t="s">
        <v>76</v>
      </c>
      <c r="G836" s="4" t="s">
        <v>111</v>
      </c>
      <c r="H836" s="48">
        <f>IF(G836&gt;0,VLOOKUP(G836,Apoio!$A$2:$B$25,2,0),"")</f>
        <v>7</v>
      </c>
      <c r="I836" s="44">
        <f t="shared" si="116"/>
        <v>83.050847457627114</v>
      </c>
      <c r="J836" s="98">
        <f t="shared" si="118"/>
        <v>16.610169491525422</v>
      </c>
      <c r="K836" s="103"/>
      <c r="L836" s="103"/>
      <c r="M836" s="103" t="s">
        <v>226</v>
      </c>
      <c r="N836" s="10"/>
    </row>
    <row r="837" spans="1:14" x14ac:dyDescent="0.3">
      <c r="A837" s="4" t="s">
        <v>39</v>
      </c>
      <c r="B837" s="4" t="s">
        <v>42</v>
      </c>
      <c r="C837" s="58">
        <v>10</v>
      </c>
      <c r="D837" s="114">
        <v>5.9</v>
      </c>
      <c r="E837" s="51">
        <v>7</v>
      </c>
      <c r="F837" s="4" t="s">
        <v>76</v>
      </c>
      <c r="G837" s="4" t="s">
        <v>114</v>
      </c>
      <c r="H837" s="48">
        <f>IF(G837&gt;0,VLOOKUP(G837,Apoio!$A$2:$B$25,2,0),"")</f>
        <v>8</v>
      </c>
      <c r="I837" s="44">
        <f t="shared" si="116"/>
        <v>94.915254237288124</v>
      </c>
      <c r="J837" s="98">
        <f t="shared" si="118"/>
        <v>18.983050847457626</v>
      </c>
      <c r="K837" s="103"/>
      <c r="L837" s="103"/>
      <c r="M837" s="103" t="s">
        <v>226</v>
      </c>
      <c r="N837" s="10"/>
    </row>
    <row r="838" spans="1:14" x14ac:dyDescent="0.3">
      <c r="A838" s="4" t="s">
        <v>39</v>
      </c>
      <c r="B838" s="4" t="s">
        <v>42</v>
      </c>
      <c r="C838" s="58">
        <v>10</v>
      </c>
      <c r="D838" s="114">
        <v>5.9</v>
      </c>
      <c r="E838" s="51">
        <v>7</v>
      </c>
      <c r="F838" s="4" t="s">
        <v>76</v>
      </c>
      <c r="G838" s="4" t="s">
        <v>117</v>
      </c>
      <c r="H838" s="48">
        <f>IF(G838&gt;0,VLOOKUP(G838,Apoio!$A$2:$B$25,2,0),"")</f>
        <v>3</v>
      </c>
      <c r="I838" s="44">
        <f t="shared" si="116"/>
        <v>35.593220338983052</v>
      </c>
      <c r="J838" s="98">
        <f t="shared" si="118"/>
        <v>7.1186440677966107</v>
      </c>
      <c r="K838" s="103"/>
      <c r="L838" s="103"/>
      <c r="M838" s="103" t="s">
        <v>226</v>
      </c>
      <c r="N838" s="10"/>
    </row>
    <row r="839" spans="1:14" x14ac:dyDescent="0.3">
      <c r="A839" s="4" t="s">
        <v>39</v>
      </c>
      <c r="B839" s="4" t="s">
        <v>42</v>
      </c>
      <c r="C839" s="58">
        <v>10</v>
      </c>
      <c r="D839" s="114">
        <v>5.9</v>
      </c>
      <c r="E839" s="51">
        <v>7</v>
      </c>
      <c r="F839" s="4" t="s">
        <v>83</v>
      </c>
      <c r="G839" s="4" t="s">
        <v>120</v>
      </c>
      <c r="H839" s="48">
        <f>IF(G839&gt;0,VLOOKUP(G839,Apoio!$A$2:$B$25,2,0),"")</f>
        <v>7</v>
      </c>
      <c r="I839" s="44">
        <f t="shared" si="116"/>
        <v>83.050847457627114</v>
      </c>
      <c r="J839" s="98">
        <f t="shared" si="118"/>
        <v>16.610169491525422</v>
      </c>
      <c r="K839" s="103"/>
      <c r="L839" s="103"/>
      <c r="M839" s="103" t="s">
        <v>226</v>
      </c>
      <c r="N839" s="10"/>
    </row>
    <row r="840" spans="1:14" x14ac:dyDescent="0.3">
      <c r="A840" s="4" t="s">
        <v>39</v>
      </c>
      <c r="B840" s="4" t="s">
        <v>42</v>
      </c>
      <c r="C840" s="58">
        <v>10</v>
      </c>
      <c r="D840" s="114">
        <v>5.9</v>
      </c>
      <c r="E840" s="51">
        <v>7</v>
      </c>
      <c r="F840" s="4" t="s">
        <v>83</v>
      </c>
      <c r="G840" s="4" t="s">
        <v>123</v>
      </c>
      <c r="H840" s="48">
        <f>IF(G840&gt;0,VLOOKUP(G840,Apoio!$A$2:$B$25,2,0),"")</f>
        <v>8</v>
      </c>
      <c r="I840" s="44">
        <f t="shared" si="116"/>
        <v>94.915254237288124</v>
      </c>
      <c r="J840" s="98">
        <f>I840*25%</f>
        <v>23.728813559322031</v>
      </c>
      <c r="K840" s="103"/>
      <c r="L840" s="103"/>
      <c r="M840" s="103" t="s">
        <v>226</v>
      </c>
      <c r="N840" s="10"/>
    </row>
    <row r="841" spans="1:14" x14ac:dyDescent="0.3">
      <c r="A841" s="4" t="s">
        <v>39</v>
      </c>
      <c r="B841" s="4" t="s">
        <v>42</v>
      </c>
      <c r="C841" s="58">
        <v>10</v>
      </c>
      <c r="D841" s="114">
        <v>5.9</v>
      </c>
      <c r="E841" s="51">
        <v>7</v>
      </c>
      <c r="F841" s="4" t="s">
        <v>83</v>
      </c>
      <c r="G841" s="4" t="s">
        <v>126</v>
      </c>
      <c r="H841" s="48">
        <f>IF(G841&gt;0,VLOOKUP(G841,Apoio!$A$2:$B$25,2,0),"")</f>
        <v>8</v>
      </c>
      <c r="I841" s="44">
        <f t="shared" si="116"/>
        <v>94.915254237288124</v>
      </c>
      <c r="J841" s="98">
        <f>I841*25%</f>
        <v>23.728813559322031</v>
      </c>
      <c r="K841" s="103"/>
      <c r="L841" s="103"/>
      <c r="M841" s="103" t="s">
        <v>226</v>
      </c>
      <c r="N841" s="10"/>
    </row>
    <row r="842" spans="1:14" x14ac:dyDescent="0.3">
      <c r="A842" s="4" t="s">
        <v>39</v>
      </c>
      <c r="B842" s="4" t="s">
        <v>42</v>
      </c>
      <c r="C842" s="58">
        <v>10</v>
      </c>
      <c r="D842" s="114">
        <v>5.9</v>
      </c>
      <c r="E842" s="51">
        <v>7</v>
      </c>
      <c r="F842" s="4" t="s">
        <v>83</v>
      </c>
      <c r="G842" s="4" t="s">
        <v>129</v>
      </c>
      <c r="H842" s="48">
        <f>IF(G842&gt;0,VLOOKUP(G842,Apoio!$A$2:$B$25,2,0),"")</f>
        <v>8</v>
      </c>
      <c r="I842" s="44">
        <f t="shared" si="116"/>
        <v>94.915254237288124</v>
      </c>
      <c r="J842" s="98">
        <f>I842*25%</f>
        <v>23.728813559322031</v>
      </c>
      <c r="K842" s="103"/>
      <c r="L842" s="103"/>
      <c r="M842" s="103" t="s">
        <v>226</v>
      </c>
      <c r="N842" s="10"/>
    </row>
    <row r="843" spans="1:14" x14ac:dyDescent="0.3">
      <c r="A843" s="9" t="s">
        <v>39</v>
      </c>
      <c r="B843" s="4" t="s">
        <v>42</v>
      </c>
      <c r="C843" s="58">
        <v>10</v>
      </c>
      <c r="D843" s="114">
        <v>5.9</v>
      </c>
      <c r="E843" s="51">
        <v>7</v>
      </c>
      <c r="F843" s="4" t="s">
        <v>83</v>
      </c>
      <c r="G843" s="4" t="s">
        <v>132</v>
      </c>
      <c r="H843" s="48">
        <f>IF(G843&gt;0,VLOOKUP(G843,Apoio!$A$2:$B$25,2,0),"")</f>
        <v>7</v>
      </c>
      <c r="I843" s="44">
        <f t="shared" si="116"/>
        <v>83.050847457627114</v>
      </c>
      <c r="J843" s="98">
        <f>I843*25%</f>
        <v>20.762711864406779</v>
      </c>
      <c r="K843" s="103"/>
      <c r="L843" s="103"/>
      <c r="M843" s="103" t="s">
        <v>226</v>
      </c>
      <c r="N843" s="10"/>
    </row>
    <row r="844" spans="1:14" x14ac:dyDescent="0.3">
      <c r="A844" s="4" t="s">
        <v>39</v>
      </c>
      <c r="B844" s="65" t="s">
        <v>42</v>
      </c>
      <c r="C844" s="58">
        <v>10</v>
      </c>
      <c r="D844" s="114">
        <v>5.9</v>
      </c>
      <c r="E844" s="51">
        <v>7</v>
      </c>
      <c r="F844" s="4" t="s">
        <v>83</v>
      </c>
      <c r="G844" s="4" t="s">
        <v>135</v>
      </c>
      <c r="H844" s="48">
        <f>IF(G844&gt;0,VLOOKUP(G844,Apoio!$A$2:$B$25,2,0),"")</f>
        <v>3</v>
      </c>
      <c r="I844" s="44">
        <f t="shared" si="116"/>
        <v>35.593220338983052</v>
      </c>
      <c r="J844" s="98">
        <f>I844*25%</f>
        <v>8.898305084745763</v>
      </c>
      <c r="K844" s="103"/>
      <c r="L844" s="103"/>
      <c r="M844" s="103" t="s">
        <v>226</v>
      </c>
      <c r="N844" s="10"/>
    </row>
    <row r="845" spans="1:14" x14ac:dyDescent="0.3">
      <c r="A845" s="4" t="s">
        <v>39</v>
      </c>
      <c r="B845" s="4" t="s">
        <v>42</v>
      </c>
      <c r="C845" s="108">
        <v>10</v>
      </c>
      <c r="D845" s="108">
        <v>5.9</v>
      </c>
      <c r="E845" s="51">
        <v>7</v>
      </c>
      <c r="F845" s="4" t="s">
        <v>90</v>
      </c>
      <c r="G845" s="4" t="s">
        <v>138</v>
      </c>
      <c r="H845" s="48">
        <f>IF(G845&gt;0,VLOOKUP(G845,Apoio!$A$2:$B$25,2,0),"")</f>
        <v>8</v>
      </c>
      <c r="I845" s="44">
        <f t="shared" si="116"/>
        <v>94.915254237288124</v>
      </c>
      <c r="J845" s="106">
        <v>14.56</v>
      </c>
      <c r="K845" s="406">
        <f t="shared" ref="K845:K850" si="119">I845-J845</f>
        <v>80.355254237288122</v>
      </c>
      <c r="L845" s="103"/>
      <c r="M845" s="103" t="s">
        <v>226</v>
      </c>
      <c r="N845" s="10"/>
    </row>
    <row r="846" spans="1:14" x14ac:dyDescent="0.3">
      <c r="A846" s="4" t="s">
        <v>39</v>
      </c>
      <c r="B846" s="4" t="s">
        <v>42</v>
      </c>
      <c r="C846" s="108">
        <v>10</v>
      </c>
      <c r="D846" s="108">
        <v>5.9</v>
      </c>
      <c r="E846" s="51">
        <v>7</v>
      </c>
      <c r="F846" s="4" t="s">
        <v>90</v>
      </c>
      <c r="G846" s="4" t="s">
        <v>141</v>
      </c>
      <c r="H846" s="48">
        <f>IF(G846&gt;0,VLOOKUP(G846,Apoio!$A$2:$B$25,2,0),"")</f>
        <v>7</v>
      </c>
      <c r="I846" s="44">
        <f t="shared" si="116"/>
        <v>83.050847457627114</v>
      </c>
      <c r="J846" s="106">
        <v>8.9599999999999991</v>
      </c>
      <c r="K846" s="406">
        <f t="shared" si="119"/>
        <v>74.09084745762712</v>
      </c>
      <c r="L846" s="103"/>
      <c r="M846" s="103" t="s">
        <v>226</v>
      </c>
      <c r="N846" s="10"/>
    </row>
    <row r="847" spans="1:14" x14ac:dyDescent="0.3">
      <c r="A847" s="4" t="s">
        <v>39</v>
      </c>
      <c r="B847" s="4" t="s">
        <v>42</v>
      </c>
      <c r="C847" s="108">
        <v>10</v>
      </c>
      <c r="D847" s="108">
        <v>5.9</v>
      </c>
      <c r="E847" s="51">
        <v>7</v>
      </c>
      <c r="F847" s="4" t="s">
        <v>90</v>
      </c>
      <c r="G847" s="4" t="s">
        <v>144</v>
      </c>
      <c r="H847" s="48">
        <f>IF(G847&gt;0,VLOOKUP(G847,Apoio!$A$2:$B$25,2,0),"")</f>
        <v>7</v>
      </c>
      <c r="I847" s="44">
        <f t="shared" si="116"/>
        <v>83.050847457627114</v>
      </c>
      <c r="J847" s="106">
        <v>8.9599999999999991</v>
      </c>
      <c r="K847" s="406">
        <f t="shared" si="119"/>
        <v>74.09084745762712</v>
      </c>
      <c r="L847" s="103"/>
      <c r="M847" s="103" t="s">
        <v>226</v>
      </c>
      <c r="N847" s="10"/>
    </row>
    <row r="848" spans="1:14" x14ac:dyDescent="0.3">
      <c r="A848" s="4" t="s">
        <v>39</v>
      </c>
      <c r="B848" s="4" t="s">
        <v>42</v>
      </c>
      <c r="C848" s="108">
        <v>10</v>
      </c>
      <c r="D848" s="108">
        <v>5.9</v>
      </c>
      <c r="E848" s="51">
        <v>7</v>
      </c>
      <c r="F848" s="4" t="s">
        <v>90</v>
      </c>
      <c r="G848" s="4" t="s">
        <v>147</v>
      </c>
      <c r="H848" s="48">
        <f>IF(G848&gt;0,VLOOKUP(G848,Apoio!$A$2:$B$25,2,0),"")</f>
        <v>7</v>
      </c>
      <c r="I848" s="44">
        <f t="shared" si="116"/>
        <v>83.050847457627114</v>
      </c>
      <c r="J848" s="106">
        <v>7.8400000000000007</v>
      </c>
      <c r="K848" s="406">
        <f t="shared" si="119"/>
        <v>75.210847457627111</v>
      </c>
      <c r="L848" s="103"/>
      <c r="M848" s="103" t="s">
        <v>226</v>
      </c>
      <c r="N848" s="10"/>
    </row>
    <row r="849" spans="1:14" x14ac:dyDescent="0.3">
      <c r="A849" s="4" t="s">
        <v>39</v>
      </c>
      <c r="B849" s="4" t="s">
        <v>42</v>
      </c>
      <c r="C849" s="108">
        <v>10</v>
      </c>
      <c r="D849" s="108">
        <v>5.9</v>
      </c>
      <c r="E849" s="51">
        <v>7</v>
      </c>
      <c r="F849" s="4" t="s">
        <v>90</v>
      </c>
      <c r="G849" s="4" t="s">
        <v>150</v>
      </c>
      <c r="H849" s="48">
        <f>IF(G849&gt;0,VLOOKUP(G849,Apoio!$A$2:$B$25,2,0),"")</f>
        <v>8</v>
      </c>
      <c r="I849" s="44">
        <f t="shared" si="116"/>
        <v>94.915254237288124</v>
      </c>
      <c r="J849" s="106">
        <v>8.9599999999999991</v>
      </c>
      <c r="K849" s="406">
        <f t="shared" si="119"/>
        <v>85.955254237288131</v>
      </c>
      <c r="L849" s="103"/>
      <c r="M849" s="103" t="s">
        <v>226</v>
      </c>
      <c r="N849" s="10"/>
    </row>
    <row r="850" spans="1:14" x14ac:dyDescent="0.3">
      <c r="A850" s="4" t="s">
        <v>39</v>
      </c>
      <c r="B850" s="4" t="s">
        <v>42</v>
      </c>
      <c r="C850" s="108">
        <v>10</v>
      </c>
      <c r="D850" s="108">
        <v>5.9</v>
      </c>
      <c r="E850" s="51">
        <v>7</v>
      </c>
      <c r="F850" s="4" t="s">
        <v>90</v>
      </c>
      <c r="G850" s="4" t="s">
        <v>153</v>
      </c>
      <c r="H850" s="48">
        <f>IF(G850&gt;0,VLOOKUP(G850,Apoio!$A$2:$B$25,2,0),"")</f>
        <v>8</v>
      </c>
      <c r="I850" s="44">
        <f t="shared" si="116"/>
        <v>94.915254237288124</v>
      </c>
      <c r="J850" s="106">
        <v>8.9599999999999991</v>
      </c>
      <c r="K850" s="406">
        <f t="shared" si="119"/>
        <v>85.955254237288131</v>
      </c>
      <c r="L850" s="103"/>
      <c r="M850" s="103" t="s">
        <v>226</v>
      </c>
      <c r="N850" s="10"/>
    </row>
    <row r="851" spans="1:14" x14ac:dyDescent="0.3">
      <c r="A851" s="4" t="s">
        <v>49</v>
      </c>
      <c r="B851" s="4" t="s">
        <v>50</v>
      </c>
      <c r="C851" s="4">
        <v>6</v>
      </c>
      <c r="D851" s="56">
        <v>6.4</v>
      </c>
      <c r="E851" s="4">
        <v>7</v>
      </c>
      <c r="F851" s="4" t="s">
        <v>69</v>
      </c>
      <c r="G851" s="4" t="s">
        <v>68</v>
      </c>
      <c r="H851" s="48">
        <f>IF(G851&gt;0,VLOOKUP(G851,Apoio!$A$2:$B$25,2,0),"")</f>
        <v>7</v>
      </c>
      <c r="I851" s="44">
        <f>IF(D851&gt;0,(((H851*E851)*C851)/D851),"")</f>
        <v>45.9375</v>
      </c>
      <c r="J851" s="106"/>
      <c r="K851" s="103"/>
      <c r="L851" s="103"/>
      <c r="M851" s="103"/>
      <c r="N851" s="10"/>
    </row>
    <row r="852" spans="1:14" x14ac:dyDescent="0.3">
      <c r="A852" s="4" t="s">
        <v>49</v>
      </c>
      <c r="B852" s="4" t="s">
        <v>50</v>
      </c>
      <c r="C852" s="4">
        <v>6</v>
      </c>
      <c r="D852" s="56">
        <v>6.4</v>
      </c>
      <c r="E852" s="4">
        <v>7</v>
      </c>
      <c r="F852" s="4" t="s">
        <v>69</v>
      </c>
      <c r="G852" s="4" t="s">
        <v>75</v>
      </c>
      <c r="H852" s="48">
        <f>IF(G852&gt;0,VLOOKUP(G852,Apoio!$A$2:$B$25,2,0),"")</f>
        <v>8</v>
      </c>
      <c r="I852" s="44">
        <f t="shared" ref="I852:I917" si="120">IF(D852&gt;0,(((H852*E852)*C852)/D852),"")</f>
        <v>52.5</v>
      </c>
      <c r="J852" s="106"/>
      <c r="K852" s="103"/>
      <c r="L852" s="103"/>
      <c r="M852" s="103"/>
      <c r="N852" s="10"/>
    </row>
    <row r="853" spans="1:14" x14ac:dyDescent="0.3">
      <c r="A853" s="4" t="s">
        <v>49</v>
      </c>
      <c r="B853" s="4" t="s">
        <v>50</v>
      </c>
      <c r="C853" s="4">
        <v>6</v>
      </c>
      <c r="D853" s="56">
        <v>6.4</v>
      </c>
      <c r="E853" s="4">
        <v>7</v>
      </c>
      <c r="F853" s="4" t="s">
        <v>69</v>
      </c>
      <c r="G853" s="4" t="s">
        <v>82</v>
      </c>
      <c r="H853" s="48">
        <f>IF(G853&gt;0,VLOOKUP(G853,Apoio!$A$2:$B$25,2,0),"")</f>
        <v>6</v>
      </c>
      <c r="I853" s="44">
        <f t="shared" si="120"/>
        <v>39.375</v>
      </c>
      <c r="J853" s="106"/>
      <c r="K853" s="103"/>
      <c r="L853" s="103"/>
      <c r="M853" s="103"/>
      <c r="N853" s="10"/>
    </row>
    <row r="854" spans="1:14" x14ac:dyDescent="0.3">
      <c r="A854" s="4" t="s">
        <v>49</v>
      </c>
      <c r="B854" s="4" t="s">
        <v>50</v>
      </c>
      <c r="C854" s="4">
        <v>6</v>
      </c>
      <c r="D854" s="56">
        <v>6.4</v>
      </c>
      <c r="E854" s="4">
        <v>7</v>
      </c>
      <c r="F854" s="4" t="s">
        <v>69</v>
      </c>
      <c r="G854" s="4" t="s">
        <v>89</v>
      </c>
      <c r="H854" s="48">
        <f>IF(G854&gt;0,VLOOKUP(G854,Apoio!$A$2:$B$25,2,0),"")</f>
        <v>8</v>
      </c>
      <c r="I854" s="44">
        <f t="shared" si="120"/>
        <v>52.5</v>
      </c>
      <c r="J854" s="106"/>
      <c r="K854" s="103"/>
      <c r="L854" s="103"/>
      <c r="M854" s="103"/>
      <c r="N854" s="10"/>
    </row>
    <row r="855" spans="1:14" x14ac:dyDescent="0.3">
      <c r="A855" s="4" t="s">
        <v>49</v>
      </c>
      <c r="B855" s="4" t="s">
        <v>50</v>
      </c>
      <c r="C855" s="4">
        <v>6</v>
      </c>
      <c r="D855" s="56">
        <v>6.4</v>
      </c>
      <c r="E855" s="4">
        <v>7</v>
      </c>
      <c r="F855" s="4" t="s">
        <v>69</v>
      </c>
      <c r="G855" s="4" t="s">
        <v>96</v>
      </c>
      <c r="H855" s="48">
        <f>IF(G855&gt;0,VLOOKUP(G855,Apoio!$A$2:$B$25,2,0),"")</f>
        <v>8</v>
      </c>
      <c r="I855" s="44">
        <f t="shared" si="120"/>
        <v>52.5</v>
      </c>
      <c r="J855" s="106"/>
      <c r="K855" s="103"/>
      <c r="L855" s="103"/>
      <c r="M855" s="103"/>
      <c r="N855" s="10"/>
    </row>
    <row r="856" spans="1:14" x14ac:dyDescent="0.3">
      <c r="A856" s="4" t="s">
        <v>49</v>
      </c>
      <c r="B856" s="4" t="s">
        <v>50</v>
      </c>
      <c r="C856" s="4">
        <v>6</v>
      </c>
      <c r="D856" s="56">
        <v>6.4</v>
      </c>
      <c r="E856" s="4">
        <v>7</v>
      </c>
      <c r="F856" s="4" t="s">
        <v>69</v>
      </c>
      <c r="G856" s="4" t="s">
        <v>99</v>
      </c>
      <c r="H856" s="48">
        <f>IF(G856&gt;0,VLOOKUP(G856,Apoio!$A$2:$B$25,2,0),"")</f>
        <v>2</v>
      </c>
      <c r="I856" s="44">
        <f t="shared" si="120"/>
        <v>13.125</v>
      </c>
      <c r="J856" s="106"/>
      <c r="K856" s="103"/>
      <c r="L856" s="103"/>
      <c r="M856" s="103"/>
      <c r="N856" s="10"/>
    </row>
    <row r="857" spans="1:14" x14ac:dyDescent="0.3">
      <c r="A857" s="4" t="s">
        <v>49</v>
      </c>
      <c r="B857" s="4" t="s">
        <v>50</v>
      </c>
      <c r="C857" s="4">
        <v>6</v>
      </c>
      <c r="D857" s="56">
        <v>6.4</v>
      </c>
      <c r="E857" s="4">
        <v>7</v>
      </c>
      <c r="F857" s="4" t="s">
        <v>76</v>
      </c>
      <c r="G857" s="4" t="s">
        <v>102</v>
      </c>
      <c r="H857" s="48">
        <f>IF(G857&gt;0,VLOOKUP(G857,Apoio!$A$2:$B$25,2,0),"")</f>
        <v>5</v>
      </c>
      <c r="I857" s="44">
        <f t="shared" si="120"/>
        <v>32.8125</v>
      </c>
      <c r="J857" s="106"/>
      <c r="K857" s="103"/>
      <c r="L857" s="103"/>
      <c r="M857" s="103"/>
      <c r="N857" s="10"/>
    </row>
    <row r="858" spans="1:14" x14ac:dyDescent="0.3">
      <c r="A858" s="4" t="s">
        <v>49</v>
      </c>
      <c r="B858" s="4" t="s">
        <v>50</v>
      </c>
      <c r="C858" s="4">
        <v>6</v>
      </c>
      <c r="D858" s="56">
        <v>6.4</v>
      </c>
      <c r="E858" s="4">
        <v>7</v>
      </c>
      <c r="F858" s="4" t="s">
        <v>76</v>
      </c>
      <c r="G858" s="4" t="s">
        <v>105</v>
      </c>
      <c r="H858" s="48">
        <f>IF(G858&gt;0,VLOOKUP(G858,Apoio!$A$2:$B$25,2,0),"")</f>
        <v>7</v>
      </c>
      <c r="I858" s="44">
        <f t="shared" si="120"/>
        <v>45.9375</v>
      </c>
      <c r="J858" s="106"/>
      <c r="K858" s="103"/>
      <c r="L858" s="103"/>
      <c r="M858" s="103"/>
      <c r="N858" s="10"/>
    </row>
    <row r="859" spans="1:14" x14ac:dyDescent="0.3">
      <c r="A859" s="4" t="s">
        <v>49</v>
      </c>
      <c r="B859" s="4" t="s">
        <v>50</v>
      </c>
      <c r="C859" s="4">
        <v>6</v>
      </c>
      <c r="D859" s="56">
        <v>6.4</v>
      </c>
      <c r="E859" s="4">
        <v>7</v>
      </c>
      <c r="F859" s="4" t="s">
        <v>76</v>
      </c>
      <c r="G859" s="4" t="s">
        <v>108</v>
      </c>
      <c r="H859" s="48">
        <f>IF(G859&gt;0,VLOOKUP(G859,Apoio!$A$2:$B$25,2,0),"")</f>
        <v>8</v>
      </c>
      <c r="I859" s="44">
        <f t="shared" si="120"/>
        <v>52.5</v>
      </c>
      <c r="J859" s="106"/>
      <c r="K859" s="103"/>
      <c r="L859" s="103"/>
      <c r="M859" s="103"/>
      <c r="N859" s="10"/>
    </row>
    <row r="860" spans="1:14" x14ac:dyDescent="0.3">
      <c r="A860" s="4" t="s">
        <v>49</v>
      </c>
      <c r="B860" s="4" t="s">
        <v>50</v>
      </c>
      <c r="C860" s="4">
        <v>6</v>
      </c>
      <c r="D860" s="56">
        <v>6.4</v>
      </c>
      <c r="E860" s="4">
        <v>7</v>
      </c>
      <c r="F860" s="4" t="s">
        <v>76</v>
      </c>
      <c r="G860" s="4" t="s">
        <v>111</v>
      </c>
      <c r="H860" s="48">
        <f>IF(G860&gt;0,VLOOKUP(G860,Apoio!$A$2:$B$25,2,0),"")</f>
        <v>7</v>
      </c>
      <c r="I860" s="44">
        <f t="shared" si="120"/>
        <v>45.9375</v>
      </c>
      <c r="J860" s="106"/>
      <c r="K860" s="103"/>
      <c r="L860" s="103"/>
      <c r="M860" s="103"/>
      <c r="N860" s="10"/>
    </row>
    <row r="861" spans="1:14" x14ac:dyDescent="0.3">
      <c r="A861" s="4" t="s">
        <v>49</v>
      </c>
      <c r="B861" s="4" t="s">
        <v>50</v>
      </c>
      <c r="C861" s="4">
        <v>6</v>
      </c>
      <c r="D861" s="56">
        <v>6.4</v>
      </c>
      <c r="E861" s="4">
        <v>7</v>
      </c>
      <c r="F861" s="4" t="s">
        <v>76</v>
      </c>
      <c r="G861" s="4" t="s">
        <v>114</v>
      </c>
      <c r="H861" s="48">
        <f>IF(G861&gt;0,VLOOKUP(G861,Apoio!$A$2:$B$25,2,0),"")</f>
        <v>8</v>
      </c>
      <c r="I861" s="44">
        <f t="shared" si="120"/>
        <v>52.5</v>
      </c>
      <c r="J861" s="106"/>
      <c r="K861" s="103"/>
      <c r="L861" s="103"/>
      <c r="M861" s="103"/>
      <c r="N861" s="10"/>
    </row>
    <row r="862" spans="1:14" x14ac:dyDescent="0.3">
      <c r="A862" s="4" t="s">
        <v>49</v>
      </c>
      <c r="B862" s="4" t="s">
        <v>50</v>
      </c>
      <c r="C862" s="4">
        <v>6</v>
      </c>
      <c r="D862" s="56">
        <v>6.4</v>
      </c>
      <c r="E862" s="4">
        <v>7</v>
      </c>
      <c r="F862" s="4" t="s">
        <v>76</v>
      </c>
      <c r="G862" s="4" t="s">
        <v>117</v>
      </c>
      <c r="H862" s="48">
        <f>IF(G862&gt;0,VLOOKUP(G862,Apoio!$A$2:$B$25,2,0),"")</f>
        <v>3</v>
      </c>
      <c r="I862" s="44">
        <f t="shared" si="120"/>
        <v>19.6875</v>
      </c>
      <c r="J862" s="106"/>
      <c r="K862" s="103"/>
      <c r="L862" s="103"/>
      <c r="M862" s="103"/>
      <c r="N862" s="10"/>
    </row>
    <row r="863" spans="1:14" x14ac:dyDescent="0.3">
      <c r="A863" s="4" t="s">
        <v>49</v>
      </c>
      <c r="B863" s="4" t="s">
        <v>50</v>
      </c>
      <c r="C863" s="4">
        <v>6</v>
      </c>
      <c r="D863" s="56">
        <v>6.4</v>
      </c>
      <c r="E863" s="4">
        <v>7</v>
      </c>
      <c r="F863" s="4" t="s">
        <v>83</v>
      </c>
      <c r="G863" s="4" t="s">
        <v>120</v>
      </c>
      <c r="H863" s="48">
        <f>IF(G863&gt;0,VLOOKUP(G863,Apoio!$A$2:$B$25,2,0),"")</f>
        <v>7</v>
      </c>
      <c r="I863" s="44">
        <f t="shared" si="120"/>
        <v>45.9375</v>
      </c>
      <c r="J863" s="106"/>
      <c r="K863" s="103"/>
      <c r="L863" s="103"/>
      <c r="M863" s="103"/>
      <c r="N863" s="10"/>
    </row>
    <row r="864" spans="1:14" x14ac:dyDescent="0.3">
      <c r="A864" s="4" t="s">
        <v>49</v>
      </c>
      <c r="B864" s="4" t="s">
        <v>50</v>
      </c>
      <c r="C864" s="4">
        <v>6</v>
      </c>
      <c r="D864" s="56">
        <v>6.4</v>
      </c>
      <c r="E864" s="4">
        <v>7</v>
      </c>
      <c r="F864" s="4" t="s">
        <v>83</v>
      </c>
      <c r="G864" s="4" t="s">
        <v>123</v>
      </c>
      <c r="H864" s="48">
        <f>IF(G864&gt;0,VLOOKUP(G864,Apoio!$A$2:$B$25,2,0),"")</f>
        <v>8</v>
      </c>
      <c r="I864" s="44">
        <f t="shared" si="120"/>
        <v>52.5</v>
      </c>
      <c r="J864" s="106"/>
      <c r="K864" s="103"/>
      <c r="L864" s="103"/>
      <c r="M864" s="103"/>
      <c r="N864" s="10"/>
    </row>
    <row r="865" spans="1:14" x14ac:dyDescent="0.3">
      <c r="A865" s="4" t="s">
        <v>49</v>
      </c>
      <c r="B865" s="4" t="s">
        <v>50</v>
      </c>
      <c r="C865" s="4">
        <v>6</v>
      </c>
      <c r="D865" s="56">
        <v>6.4</v>
      </c>
      <c r="E865" s="4">
        <v>7</v>
      </c>
      <c r="F865" s="4" t="s">
        <v>83</v>
      </c>
      <c r="G865" s="4" t="s">
        <v>126</v>
      </c>
      <c r="H865" s="48">
        <f>IF(G865&gt;0,VLOOKUP(G865,Apoio!$A$2:$B$25,2,0),"")</f>
        <v>8</v>
      </c>
      <c r="I865" s="44">
        <f t="shared" si="120"/>
        <v>52.5</v>
      </c>
      <c r="J865" s="106"/>
      <c r="K865" s="103"/>
      <c r="L865" s="103"/>
      <c r="M865" s="103"/>
      <c r="N865" s="10"/>
    </row>
    <row r="866" spans="1:14" x14ac:dyDescent="0.3">
      <c r="A866" s="4" t="s">
        <v>49</v>
      </c>
      <c r="B866" s="4" t="s">
        <v>50</v>
      </c>
      <c r="C866" s="4">
        <v>6</v>
      </c>
      <c r="D866" s="56">
        <v>6.4</v>
      </c>
      <c r="E866" s="4">
        <v>7</v>
      </c>
      <c r="F866" s="4" t="s">
        <v>83</v>
      </c>
      <c r="G866" s="4" t="s">
        <v>129</v>
      </c>
      <c r="H866" s="48">
        <f>IF(G866&gt;0,VLOOKUP(G866,Apoio!$A$2:$B$25,2,0),"")</f>
        <v>8</v>
      </c>
      <c r="I866" s="44">
        <f t="shared" si="120"/>
        <v>52.5</v>
      </c>
      <c r="J866" s="106"/>
      <c r="K866" s="103"/>
      <c r="L866" s="103"/>
      <c r="M866" s="103"/>
      <c r="N866" s="10"/>
    </row>
    <row r="867" spans="1:14" x14ac:dyDescent="0.3">
      <c r="A867" s="4" t="s">
        <v>49</v>
      </c>
      <c r="B867" s="4" t="s">
        <v>50</v>
      </c>
      <c r="C867" s="4">
        <v>6</v>
      </c>
      <c r="D867" s="56">
        <v>6.4</v>
      </c>
      <c r="E867" s="4">
        <v>7</v>
      </c>
      <c r="F867" s="4" t="s">
        <v>83</v>
      </c>
      <c r="G867" s="4" t="s">
        <v>132</v>
      </c>
      <c r="H867" s="48">
        <f>IF(G867&gt;0,VLOOKUP(G867,Apoio!$A$2:$B$25,2,0),"")</f>
        <v>7</v>
      </c>
      <c r="I867" s="44">
        <f t="shared" si="120"/>
        <v>45.9375</v>
      </c>
      <c r="J867" s="106"/>
      <c r="K867" s="103"/>
      <c r="L867" s="103"/>
      <c r="M867" s="103"/>
      <c r="N867" s="10"/>
    </row>
    <row r="868" spans="1:14" x14ac:dyDescent="0.3">
      <c r="A868" s="4" t="s">
        <v>49</v>
      </c>
      <c r="B868" s="4" t="s">
        <v>50</v>
      </c>
      <c r="C868" s="4">
        <v>6</v>
      </c>
      <c r="D868" s="56">
        <v>6.4</v>
      </c>
      <c r="E868" s="4">
        <v>7</v>
      </c>
      <c r="F868" s="4" t="s">
        <v>83</v>
      </c>
      <c r="G868" s="4" t="s">
        <v>135</v>
      </c>
      <c r="H868" s="48">
        <f>IF(G868&gt;0,VLOOKUP(G868,Apoio!$A$2:$B$25,2,0),"")</f>
        <v>3</v>
      </c>
      <c r="I868" s="44">
        <f t="shared" si="120"/>
        <v>19.6875</v>
      </c>
      <c r="J868" s="106"/>
      <c r="K868" s="103"/>
      <c r="L868" s="103"/>
      <c r="M868" s="103"/>
      <c r="N868" s="10"/>
    </row>
    <row r="869" spans="1:14" x14ac:dyDescent="0.3">
      <c r="A869" s="4" t="s">
        <v>49</v>
      </c>
      <c r="B869" s="4" t="s">
        <v>50</v>
      </c>
      <c r="C869" s="51">
        <v>6</v>
      </c>
      <c r="D869" s="51">
        <v>6.4</v>
      </c>
      <c r="E869" s="51">
        <v>7</v>
      </c>
      <c r="F869" s="4" t="s">
        <v>90</v>
      </c>
      <c r="G869" s="4" t="s">
        <v>138</v>
      </c>
      <c r="H869" s="48">
        <f>IF(G869&gt;0,VLOOKUP(G869,Apoio!$A$2:$B$25,2,0),"")</f>
        <v>8</v>
      </c>
      <c r="I869" s="44">
        <f t="shared" si="120"/>
        <v>52.5</v>
      </c>
      <c r="J869" s="98">
        <v>8</v>
      </c>
      <c r="K869" s="406">
        <f t="shared" ref="K869:K874" si="121">I869-J869</f>
        <v>44.5</v>
      </c>
      <c r="L869" s="103"/>
      <c r="M869" s="103"/>
      <c r="N869" s="10"/>
    </row>
    <row r="870" spans="1:14" x14ac:dyDescent="0.3">
      <c r="A870" s="4" t="s">
        <v>49</v>
      </c>
      <c r="B870" s="4" t="s">
        <v>50</v>
      </c>
      <c r="C870" s="51">
        <v>6</v>
      </c>
      <c r="D870" s="51">
        <v>6.4</v>
      </c>
      <c r="E870" s="51">
        <v>7</v>
      </c>
      <c r="F870" s="4" t="s">
        <v>90</v>
      </c>
      <c r="G870" s="4" t="s">
        <v>141</v>
      </c>
      <c r="H870" s="48">
        <f>IF(G870&gt;0,VLOOKUP(G870,Apoio!$A$2:$B$25,2,0),"")</f>
        <v>7</v>
      </c>
      <c r="I870" s="44">
        <f t="shared" si="120"/>
        <v>45.9375</v>
      </c>
      <c r="J870" s="98">
        <v>8</v>
      </c>
      <c r="K870" s="406">
        <f t="shared" si="121"/>
        <v>37.9375</v>
      </c>
      <c r="L870" s="103"/>
      <c r="M870" s="103"/>
      <c r="N870" s="10"/>
    </row>
    <row r="871" spans="1:14" x14ac:dyDescent="0.3">
      <c r="A871" s="4" t="s">
        <v>49</v>
      </c>
      <c r="B871" s="4" t="s">
        <v>50</v>
      </c>
      <c r="C871" s="51">
        <v>6</v>
      </c>
      <c r="D871" s="51">
        <v>6.4</v>
      </c>
      <c r="E871" s="51">
        <v>7</v>
      </c>
      <c r="F871" s="4" t="s">
        <v>90</v>
      </c>
      <c r="G871" s="4" t="s">
        <v>144</v>
      </c>
      <c r="H871" s="48">
        <f>IF(G871&gt;0,VLOOKUP(G871,Apoio!$A$2:$B$25,2,0),"")</f>
        <v>7</v>
      </c>
      <c r="I871" s="44">
        <f t="shared" si="120"/>
        <v>45.9375</v>
      </c>
      <c r="J871" s="98">
        <v>8</v>
      </c>
      <c r="K871" s="406">
        <f t="shared" si="121"/>
        <v>37.9375</v>
      </c>
      <c r="L871" s="103"/>
      <c r="M871" s="103"/>
      <c r="N871" s="10"/>
    </row>
    <row r="872" spans="1:14" x14ac:dyDescent="0.3">
      <c r="A872" s="4" t="s">
        <v>49</v>
      </c>
      <c r="B872" s="4" t="s">
        <v>50</v>
      </c>
      <c r="C872" s="51">
        <v>6</v>
      </c>
      <c r="D872" s="51">
        <v>6.4</v>
      </c>
      <c r="E872" s="51">
        <v>7</v>
      </c>
      <c r="F872" s="4" t="s">
        <v>90</v>
      </c>
      <c r="G872" s="4" t="s">
        <v>147</v>
      </c>
      <c r="H872" s="48">
        <f>IF(G872&gt;0,VLOOKUP(G872,Apoio!$A$2:$B$25,2,0),"")</f>
        <v>7</v>
      </c>
      <c r="I872" s="44">
        <f t="shared" si="120"/>
        <v>45.9375</v>
      </c>
      <c r="J872" s="98">
        <v>8</v>
      </c>
      <c r="K872" s="406">
        <f t="shared" si="121"/>
        <v>37.9375</v>
      </c>
      <c r="L872" s="103"/>
      <c r="M872" s="103"/>
      <c r="N872" s="10"/>
    </row>
    <row r="873" spans="1:14" x14ac:dyDescent="0.3">
      <c r="A873" s="4" t="s">
        <v>49</v>
      </c>
      <c r="B873" s="4" t="s">
        <v>50</v>
      </c>
      <c r="C873" s="51">
        <v>6</v>
      </c>
      <c r="D873" s="51">
        <v>6.4</v>
      </c>
      <c r="E873" s="51">
        <v>7</v>
      </c>
      <c r="F873" s="4" t="s">
        <v>90</v>
      </c>
      <c r="G873" s="4" t="s">
        <v>150</v>
      </c>
      <c r="H873" s="48">
        <f>IF(G873&gt;0,VLOOKUP(G873,Apoio!$A$2:$B$25,2,0),"")</f>
        <v>8</v>
      </c>
      <c r="I873" s="44">
        <f>IF(D873&gt;0,(((H873*E873)*C873)/D873),"")</f>
        <v>52.5</v>
      </c>
      <c r="J873" s="98">
        <v>8</v>
      </c>
      <c r="K873" s="406">
        <f t="shared" si="121"/>
        <v>44.5</v>
      </c>
      <c r="L873" s="103"/>
      <c r="M873" s="103"/>
      <c r="N873" s="10"/>
    </row>
    <row r="874" spans="1:14" x14ac:dyDescent="0.3">
      <c r="A874" s="4" t="s">
        <v>49</v>
      </c>
      <c r="B874" s="4" t="s">
        <v>50</v>
      </c>
      <c r="C874" s="51">
        <v>6</v>
      </c>
      <c r="D874" s="51">
        <v>6.4</v>
      </c>
      <c r="E874" s="51">
        <v>7</v>
      </c>
      <c r="F874" s="4" t="s">
        <v>90</v>
      </c>
      <c r="G874" s="4" t="s">
        <v>153</v>
      </c>
      <c r="H874" s="48">
        <f>IF(G874&gt;0,VLOOKUP(G874,Apoio!$A$2:$B$25,2,0),"")</f>
        <v>8</v>
      </c>
      <c r="I874" s="44">
        <f t="shared" si="120"/>
        <v>52.5</v>
      </c>
      <c r="J874" s="98">
        <v>8</v>
      </c>
      <c r="K874" s="406">
        <f t="shared" si="121"/>
        <v>44.5</v>
      </c>
      <c r="L874" s="103"/>
      <c r="M874" s="103"/>
      <c r="N874" s="10"/>
    </row>
    <row r="875" spans="1:14" x14ac:dyDescent="0.3">
      <c r="A875" s="4" t="s">
        <v>49</v>
      </c>
      <c r="B875" s="4" t="s">
        <v>55</v>
      </c>
      <c r="C875" s="4">
        <v>6</v>
      </c>
      <c r="D875" s="56">
        <v>5.7</v>
      </c>
      <c r="E875" s="4">
        <v>7</v>
      </c>
      <c r="F875" s="4" t="s">
        <v>69</v>
      </c>
      <c r="G875" s="4" t="s">
        <v>68</v>
      </c>
      <c r="H875" s="48">
        <f>IF(G875&gt;0,VLOOKUP(G875,Apoio!$A$2:$B$25,2,0),"")</f>
        <v>7</v>
      </c>
      <c r="I875" s="44">
        <f t="shared" si="120"/>
        <v>51.578947368421048</v>
      </c>
      <c r="J875" s="106"/>
      <c r="K875" s="103"/>
      <c r="L875" s="103"/>
      <c r="M875" s="103"/>
      <c r="N875" s="10"/>
    </row>
    <row r="876" spans="1:14" x14ac:dyDescent="0.3">
      <c r="A876" s="4" t="s">
        <v>49</v>
      </c>
      <c r="B876" s="4" t="s">
        <v>55</v>
      </c>
      <c r="C876" s="4">
        <v>6</v>
      </c>
      <c r="D876" s="56">
        <v>5.7</v>
      </c>
      <c r="E876" s="4">
        <v>7</v>
      </c>
      <c r="F876" s="4" t="s">
        <v>69</v>
      </c>
      <c r="G876" s="4" t="s">
        <v>75</v>
      </c>
      <c r="H876" s="48">
        <f>IF(G876&gt;0,VLOOKUP(G876,Apoio!$A$2:$B$25,2,0),"")</f>
        <v>8</v>
      </c>
      <c r="I876" s="44">
        <f t="shared" si="120"/>
        <v>58.94736842105263</v>
      </c>
      <c r="J876" s="106"/>
      <c r="K876" s="103"/>
      <c r="L876" s="103"/>
      <c r="M876" s="103"/>
      <c r="N876" s="10"/>
    </row>
    <row r="877" spans="1:14" x14ac:dyDescent="0.3">
      <c r="A877" s="4" t="s">
        <v>49</v>
      </c>
      <c r="B877" s="4" t="s">
        <v>55</v>
      </c>
      <c r="C877" s="4">
        <v>6</v>
      </c>
      <c r="D877" s="56">
        <v>5.7</v>
      </c>
      <c r="E877" s="4">
        <v>7</v>
      </c>
      <c r="F877" s="4" t="s">
        <v>69</v>
      </c>
      <c r="G877" s="4" t="s">
        <v>82</v>
      </c>
      <c r="H877" s="48">
        <f>IF(G877&gt;0,VLOOKUP(G877,Apoio!$A$2:$B$25,2,0),"")</f>
        <v>6</v>
      </c>
      <c r="I877" s="44">
        <f t="shared" si="120"/>
        <v>44.210526315789473</v>
      </c>
      <c r="J877" s="106"/>
      <c r="K877" s="103"/>
      <c r="L877" s="103"/>
      <c r="M877" s="103"/>
      <c r="N877" s="10"/>
    </row>
    <row r="878" spans="1:14" x14ac:dyDescent="0.3">
      <c r="A878" s="4" t="s">
        <v>49</v>
      </c>
      <c r="B878" s="4" t="s">
        <v>55</v>
      </c>
      <c r="C878" s="4">
        <v>6</v>
      </c>
      <c r="D878" s="56">
        <v>5.7</v>
      </c>
      <c r="E878" s="4">
        <v>7</v>
      </c>
      <c r="F878" s="4" t="s">
        <v>69</v>
      </c>
      <c r="G878" s="4" t="s">
        <v>89</v>
      </c>
      <c r="H878" s="48">
        <f>IF(G878&gt;0,VLOOKUP(G878,Apoio!$A$2:$B$25,2,0),"")</f>
        <v>8</v>
      </c>
      <c r="I878" s="44">
        <f t="shared" si="120"/>
        <v>58.94736842105263</v>
      </c>
      <c r="J878" s="106"/>
      <c r="K878" s="103"/>
      <c r="L878" s="103"/>
      <c r="M878" s="103"/>
      <c r="N878" s="10"/>
    </row>
    <row r="879" spans="1:14" x14ac:dyDescent="0.3">
      <c r="A879" s="4" t="s">
        <v>49</v>
      </c>
      <c r="B879" s="4" t="s">
        <v>55</v>
      </c>
      <c r="C879" s="4">
        <v>6</v>
      </c>
      <c r="D879" s="56">
        <v>5.7</v>
      </c>
      <c r="E879" s="4">
        <v>7</v>
      </c>
      <c r="F879" s="4" t="s">
        <v>69</v>
      </c>
      <c r="G879" s="4" t="s">
        <v>96</v>
      </c>
      <c r="H879" s="48">
        <f>IF(G879&gt;0,VLOOKUP(G879,Apoio!$A$2:$B$25,2,0),"")</f>
        <v>8</v>
      </c>
      <c r="I879" s="44">
        <f t="shared" si="120"/>
        <v>58.94736842105263</v>
      </c>
      <c r="J879" s="106"/>
      <c r="K879" s="103"/>
      <c r="L879" s="103"/>
      <c r="M879" s="103"/>
      <c r="N879" s="10"/>
    </row>
    <row r="880" spans="1:14" x14ac:dyDescent="0.3">
      <c r="A880" s="4" t="s">
        <v>49</v>
      </c>
      <c r="B880" s="4" t="s">
        <v>55</v>
      </c>
      <c r="C880" s="4">
        <v>6</v>
      </c>
      <c r="D880" s="56">
        <v>5.7</v>
      </c>
      <c r="E880" s="4">
        <v>7</v>
      </c>
      <c r="F880" s="4" t="s">
        <v>69</v>
      </c>
      <c r="G880" s="4" t="s">
        <v>99</v>
      </c>
      <c r="H880" s="48">
        <f>IF(G880&gt;0,VLOOKUP(G880,Apoio!$A$2:$B$25,2,0),"")</f>
        <v>2</v>
      </c>
      <c r="I880" s="44">
        <f t="shared" si="120"/>
        <v>14.736842105263158</v>
      </c>
      <c r="J880" s="106"/>
      <c r="K880" s="103"/>
      <c r="L880" s="103"/>
      <c r="M880" s="103"/>
      <c r="N880" s="10"/>
    </row>
    <row r="881" spans="1:14" x14ac:dyDescent="0.3">
      <c r="A881" s="4" t="s">
        <v>49</v>
      </c>
      <c r="B881" s="4" t="s">
        <v>55</v>
      </c>
      <c r="C881" s="4">
        <v>6</v>
      </c>
      <c r="D881" s="56">
        <v>5.7</v>
      </c>
      <c r="E881" s="4">
        <v>7</v>
      </c>
      <c r="F881" s="4" t="s">
        <v>76</v>
      </c>
      <c r="G881" s="4" t="s">
        <v>102</v>
      </c>
      <c r="H881" s="48">
        <f>IF(G881&gt;0,VLOOKUP(G881,Apoio!$A$2:$B$25,2,0),"")</f>
        <v>5</v>
      </c>
      <c r="I881" s="44">
        <f t="shared" si="120"/>
        <v>36.84210526315789</v>
      </c>
      <c r="J881" s="106"/>
      <c r="K881" s="103"/>
      <c r="L881" s="103"/>
      <c r="M881" s="103"/>
      <c r="N881" s="10"/>
    </row>
    <row r="882" spans="1:14" x14ac:dyDescent="0.3">
      <c r="A882" s="4" t="s">
        <v>49</v>
      </c>
      <c r="B882" s="4" t="s">
        <v>55</v>
      </c>
      <c r="C882" s="4">
        <v>6</v>
      </c>
      <c r="D882" s="56">
        <v>5.7</v>
      </c>
      <c r="E882" s="4">
        <v>7</v>
      </c>
      <c r="F882" s="4" t="s">
        <v>76</v>
      </c>
      <c r="G882" s="4" t="s">
        <v>105</v>
      </c>
      <c r="H882" s="48">
        <f>IF(G882&gt;0,VLOOKUP(G882,Apoio!$A$2:$B$25,2,0),"")</f>
        <v>7</v>
      </c>
      <c r="I882" s="44">
        <f t="shared" si="120"/>
        <v>51.578947368421048</v>
      </c>
      <c r="J882" s="106"/>
      <c r="K882" s="103"/>
      <c r="L882" s="103"/>
      <c r="M882" s="103"/>
      <c r="N882" s="10"/>
    </row>
    <row r="883" spans="1:14" x14ac:dyDescent="0.3">
      <c r="A883" s="4" t="s">
        <v>49</v>
      </c>
      <c r="B883" s="4" t="s">
        <v>55</v>
      </c>
      <c r="C883" s="4">
        <v>6</v>
      </c>
      <c r="D883" s="56">
        <v>5.7</v>
      </c>
      <c r="E883" s="4">
        <v>7</v>
      </c>
      <c r="F883" s="4" t="s">
        <v>76</v>
      </c>
      <c r="G883" s="4" t="s">
        <v>108</v>
      </c>
      <c r="H883" s="48">
        <f>IF(G883&gt;0,VLOOKUP(G883,Apoio!$A$2:$B$25,2,0),"")</f>
        <v>8</v>
      </c>
      <c r="I883" s="44">
        <f t="shared" si="120"/>
        <v>58.94736842105263</v>
      </c>
      <c r="J883" s="106"/>
      <c r="K883" s="103"/>
      <c r="L883" s="103"/>
      <c r="M883" s="103"/>
      <c r="N883" s="10"/>
    </row>
    <row r="884" spans="1:14" x14ac:dyDescent="0.3">
      <c r="A884" s="4" t="s">
        <v>49</v>
      </c>
      <c r="B884" s="4" t="s">
        <v>55</v>
      </c>
      <c r="C884" s="4">
        <v>6</v>
      </c>
      <c r="D884" s="56">
        <v>5.7</v>
      </c>
      <c r="E884" s="4">
        <v>7</v>
      </c>
      <c r="F884" s="4" t="s">
        <v>76</v>
      </c>
      <c r="G884" s="4" t="s">
        <v>111</v>
      </c>
      <c r="H884" s="48">
        <f>IF(G884&gt;0,VLOOKUP(G884,Apoio!$A$2:$B$25,2,0),"")</f>
        <v>7</v>
      </c>
      <c r="I884" s="44">
        <f t="shared" si="120"/>
        <v>51.578947368421048</v>
      </c>
      <c r="J884" s="106"/>
      <c r="K884" s="103"/>
      <c r="L884" s="103"/>
      <c r="M884" s="103"/>
      <c r="N884" s="10"/>
    </row>
    <row r="885" spans="1:14" x14ac:dyDescent="0.3">
      <c r="A885" s="4" t="s">
        <v>49</v>
      </c>
      <c r="B885" s="4" t="s">
        <v>55</v>
      </c>
      <c r="C885" s="4">
        <v>6</v>
      </c>
      <c r="D885" s="56">
        <v>5.7</v>
      </c>
      <c r="E885" s="4">
        <v>7</v>
      </c>
      <c r="F885" s="4" t="s">
        <v>76</v>
      </c>
      <c r="G885" s="4" t="s">
        <v>114</v>
      </c>
      <c r="H885" s="48">
        <f>IF(G885&gt;0,VLOOKUP(G885,Apoio!$A$2:$B$25,2,0),"")</f>
        <v>8</v>
      </c>
      <c r="I885" s="44">
        <f t="shared" si="120"/>
        <v>58.94736842105263</v>
      </c>
      <c r="J885" s="106"/>
      <c r="K885" s="103"/>
      <c r="L885" s="103"/>
      <c r="M885" s="103"/>
      <c r="N885" s="10"/>
    </row>
    <row r="886" spans="1:14" x14ac:dyDescent="0.3">
      <c r="A886" s="4" t="s">
        <v>49</v>
      </c>
      <c r="B886" s="4" t="s">
        <v>55</v>
      </c>
      <c r="C886" s="4">
        <v>6</v>
      </c>
      <c r="D886" s="56">
        <v>5.7</v>
      </c>
      <c r="E886" s="4">
        <v>7</v>
      </c>
      <c r="F886" s="4" t="s">
        <v>76</v>
      </c>
      <c r="G886" s="4" t="s">
        <v>117</v>
      </c>
      <c r="H886" s="48">
        <f>IF(G886&gt;0,VLOOKUP(G886,Apoio!$A$2:$B$25,2,0),"")</f>
        <v>3</v>
      </c>
      <c r="I886" s="44">
        <f t="shared" si="120"/>
        <v>22.105263157894736</v>
      </c>
      <c r="J886" s="106"/>
      <c r="K886" s="103"/>
      <c r="L886" s="103"/>
      <c r="M886" s="103"/>
      <c r="N886" s="10"/>
    </row>
    <row r="887" spans="1:14" x14ac:dyDescent="0.3">
      <c r="A887" s="4" t="s">
        <v>49</v>
      </c>
      <c r="B887" s="4" t="s">
        <v>55</v>
      </c>
      <c r="C887" s="4">
        <v>6</v>
      </c>
      <c r="D887" s="56">
        <v>5.7</v>
      </c>
      <c r="E887" s="4">
        <v>7</v>
      </c>
      <c r="F887" s="4" t="s">
        <v>83</v>
      </c>
      <c r="G887" s="4" t="s">
        <v>120</v>
      </c>
      <c r="H887" s="48">
        <f>IF(G887&gt;0,VLOOKUP(G887,Apoio!$A$2:$B$25,2,0),"")</f>
        <v>7</v>
      </c>
      <c r="I887" s="44">
        <f t="shared" si="120"/>
        <v>51.578947368421048</v>
      </c>
      <c r="J887" s="106"/>
      <c r="K887" s="103"/>
      <c r="L887" s="103"/>
      <c r="M887" s="103"/>
      <c r="N887" s="10"/>
    </row>
    <row r="888" spans="1:14" x14ac:dyDescent="0.3">
      <c r="A888" s="4" t="s">
        <v>49</v>
      </c>
      <c r="B888" s="4" t="s">
        <v>55</v>
      </c>
      <c r="C888" s="4">
        <v>6</v>
      </c>
      <c r="D888" s="56">
        <v>5.7</v>
      </c>
      <c r="E888" s="4">
        <v>7</v>
      </c>
      <c r="F888" s="4" t="s">
        <v>83</v>
      </c>
      <c r="G888" s="4" t="s">
        <v>123</v>
      </c>
      <c r="H888" s="48">
        <f>IF(G888&gt;0,VLOOKUP(G888,Apoio!$A$2:$B$25,2,0),"")</f>
        <v>8</v>
      </c>
      <c r="I888" s="44">
        <f t="shared" si="120"/>
        <v>58.94736842105263</v>
      </c>
      <c r="J888" s="106"/>
      <c r="K888" s="103"/>
      <c r="L888" s="103"/>
      <c r="M888" s="103"/>
      <c r="N888" s="10"/>
    </row>
    <row r="889" spans="1:14" x14ac:dyDescent="0.3">
      <c r="A889" s="4" t="s">
        <v>49</v>
      </c>
      <c r="B889" s="4" t="s">
        <v>55</v>
      </c>
      <c r="C889" s="4">
        <v>6</v>
      </c>
      <c r="D889" s="56">
        <v>5.7</v>
      </c>
      <c r="E889" s="4">
        <v>7</v>
      </c>
      <c r="F889" s="4" t="s">
        <v>83</v>
      </c>
      <c r="G889" s="4" t="s">
        <v>126</v>
      </c>
      <c r="H889" s="48">
        <f>IF(G889&gt;0,VLOOKUP(G889,Apoio!$A$2:$B$25,2,0),"")</f>
        <v>8</v>
      </c>
      <c r="I889" s="44">
        <f t="shared" si="120"/>
        <v>58.94736842105263</v>
      </c>
      <c r="J889" s="106"/>
      <c r="K889" s="103"/>
      <c r="L889" s="103"/>
      <c r="M889" s="103"/>
      <c r="N889" s="10"/>
    </row>
    <row r="890" spans="1:14" x14ac:dyDescent="0.3">
      <c r="A890" s="4" t="s">
        <v>49</v>
      </c>
      <c r="B890" s="4" t="s">
        <v>55</v>
      </c>
      <c r="C890" s="4">
        <v>6</v>
      </c>
      <c r="D890" s="56">
        <v>5.7</v>
      </c>
      <c r="E890" s="4">
        <v>7</v>
      </c>
      <c r="F890" s="4" t="s">
        <v>83</v>
      </c>
      <c r="G890" s="4" t="s">
        <v>129</v>
      </c>
      <c r="H890" s="48">
        <f>IF(G890&gt;0,VLOOKUP(G890,Apoio!$A$2:$B$25,2,0),"")</f>
        <v>8</v>
      </c>
      <c r="I890" s="44">
        <f>IF(D890&gt;0,(((H890*E890)*C890)/D890),"")</f>
        <v>58.94736842105263</v>
      </c>
      <c r="J890" s="106"/>
      <c r="K890" s="103"/>
      <c r="L890" s="103"/>
      <c r="M890" s="103"/>
      <c r="N890" s="10"/>
    </row>
    <row r="891" spans="1:14" x14ac:dyDescent="0.3">
      <c r="A891" s="4" t="s">
        <v>49</v>
      </c>
      <c r="B891" s="4" t="s">
        <v>55</v>
      </c>
      <c r="C891" s="4">
        <v>6</v>
      </c>
      <c r="D891" s="56">
        <v>5.7</v>
      </c>
      <c r="E891" s="4">
        <v>7</v>
      </c>
      <c r="F891" s="4" t="s">
        <v>83</v>
      </c>
      <c r="G891" s="4" t="s">
        <v>132</v>
      </c>
      <c r="H891" s="48">
        <f>IF(G891&gt;0,VLOOKUP(G891,Apoio!$A$2:$B$25,2,0),"")</f>
        <v>7</v>
      </c>
      <c r="I891" s="44">
        <f t="shared" si="120"/>
        <v>51.578947368421048</v>
      </c>
      <c r="J891" s="106"/>
      <c r="K891" s="103"/>
      <c r="L891" s="103"/>
      <c r="M891" s="103"/>
      <c r="N891" s="10"/>
    </row>
    <row r="892" spans="1:14" x14ac:dyDescent="0.3">
      <c r="A892" s="4" t="s">
        <v>49</v>
      </c>
      <c r="B892" s="4" t="s">
        <v>55</v>
      </c>
      <c r="C892" s="4">
        <v>6</v>
      </c>
      <c r="D892" s="56">
        <v>5.7</v>
      </c>
      <c r="E892" s="4">
        <v>7</v>
      </c>
      <c r="F892" s="4" t="s">
        <v>83</v>
      </c>
      <c r="G892" s="4" t="s">
        <v>135</v>
      </c>
      <c r="H892" s="48">
        <f>IF(G892&gt;0,VLOOKUP(G892,Apoio!$A$2:$B$25,2,0),"")</f>
        <v>3</v>
      </c>
      <c r="I892" s="44">
        <f t="shared" si="120"/>
        <v>22.105263157894736</v>
      </c>
      <c r="J892" s="106"/>
      <c r="K892" s="103"/>
      <c r="L892" s="103"/>
      <c r="M892" s="103"/>
      <c r="N892" s="10"/>
    </row>
    <row r="893" spans="1:14" x14ac:dyDescent="0.3">
      <c r="A893" s="4" t="s">
        <v>49</v>
      </c>
      <c r="B893" s="4" t="s">
        <v>55</v>
      </c>
      <c r="C893" s="51">
        <v>6</v>
      </c>
      <c r="D893" s="51">
        <v>5.7</v>
      </c>
      <c r="E893" s="51">
        <v>7</v>
      </c>
      <c r="F893" s="4" t="s">
        <v>90</v>
      </c>
      <c r="G893" s="4" t="s">
        <v>138</v>
      </c>
      <c r="H893" s="48">
        <f>IF(G893&gt;0,VLOOKUP(G893,Apoio!$A$2:$B$25,2,0),"")</f>
        <v>8</v>
      </c>
      <c r="I893" s="44">
        <f t="shared" si="120"/>
        <v>58.94736842105263</v>
      </c>
      <c r="J893" s="98">
        <v>8</v>
      </c>
      <c r="K893" s="406">
        <f t="shared" ref="K893:K898" si="122">I893-J893</f>
        <v>50.94736842105263</v>
      </c>
      <c r="L893" s="103"/>
      <c r="M893" s="103"/>
      <c r="N893" s="10"/>
    </row>
    <row r="894" spans="1:14" x14ac:dyDescent="0.3">
      <c r="A894" s="4" t="s">
        <v>49</v>
      </c>
      <c r="B894" s="4" t="s">
        <v>55</v>
      </c>
      <c r="C894" s="51">
        <v>6</v>
      </c>
      <c r="D894" s="51">
        <v>5.7</v>
      </c>
      <c r="E894" s="51">
        <v>7</v>
      </c>
      <c r="F894" s="4" t="s">
        <v>90</v>
      </c>
      <c r="G894" s="4" t="s">
        <v>141</v>
      </c>
      <c r="H894" s="48">
        <f>IF(G894&gt;0,VLOOKUP(G894,Apoio!$A$2:$B$25,2,0),"")</f>
        <v>7</v>
      </c>
      <c r="I894" s="44">
        <f t="shared" si="120"/>
        <v>51.578947368421048</v>
      </c>
      <c r="J894" s="98">
        <v>8</v>
      </c>
      <c r="K894" s="406">
        <f t="shared" si="122"/>
        <v>43.578947368421048</v>
      </c>
      <c r="L894" s="103"/>
      <c r="M894" s="103"/>
      <c r="N894" s="10"/>
    </row>
    <row r="895" spans="1:14" x14ac:dyDescent="0.3">
      <c r="A895" s="4" t="s">
        <v>49</v>
      </c>
      <c r="B895" s="4" t="s">
        <v>55</v>
      </c>
      <c r="C895" s="51">
        <v>6</v>
      </c>
      <c r="D895" s="51">
        <v>5.7</v>
      </c>
      <c r="E895" s="51">
        <v>7</v>
      </c>
      <c r="F895" s="4" t="s">
        <v>90</v>
      </c>
      <c r="G895" s="4" t="s">
        <v>144</v>
      </c>
      <c r="H895" s="48">
        <f>IF(G895&gt;0,VLOOKUP(G895,Apoio!$A$2:$B$25,2,0),"")</f>
        <v>7</v>
      </c>
      <c r="I895" s="44">
        <f t="shared" si="120"/>
        <v>51.578947368421048</v>
      </c>
      <c r="J895" s="98">
        <v>8</v>
      </c>
      <c r="K895" s="406">
        <f t="shared" si="122"/>
        <v>43.578947368421048</v>
      </c>
      <c r="L895" s="103"/>
      <c r="M895" s="103"/>
      <c r="N895" s="10"/>
    </row>
    <row r="896" spans="1:14" x14ac:dyDescent="0.3">
      <c r="A896" s="4" t="s">
        <v>49</v>
      </c>
      <c r="B896" s="4" t="s">
        <v>55</v>
      </c>
      <c r="C896" s="51">
        <v>6</v>
      </c>
      <c r="D896" s="51">
        <v>5.7</v>
      </c>
      <c r="E896" s="51">
        <v>7</v>
      </c>
      <c r="F896" s="4" t="s">
        <v>90</v>
      </c>
      <c r="G896" s="4" t="s">
        <v>147</v>
      </c>
      <c r="H896" s="48">
        <f>IF(G896&gt;0,VLOOKUP(G896,Apoio!$A$2:$B$25,2,0),"")</f>
        <v>7</v>
      </c>
      <c r="I896" s="44">
        <f t="shared" si="120"/>
        <v>51.578947368421048</v>
      </c>
      <c r="J896" s="98">
        <v>8</v>
      </c>
      <c r="K896" s="406">
        <f t="shared" si="122"/>
        <v>43.578947368421048</v>
      </c>
      <c r="L896" s="103"/>
      <c r="M896" s="103"/>
      <c r="N896" s="10"/>
    </row>
    <row r="897" spans="1:14" x14ac:dyDescent="0.3">
      <c r="A897" s="4" t="s">
        <v>49</v>
      </c>
      <c r="B897" s="4" t="s">
        <v>55</v>
      </c>
      <c r="C897" s="51">
        <v>6</v>
      </c>
      <c r="D897" s="51">
        <v>5.7</v>
      </c>
      <c r="E897" s="51">
        <v>7</v>
      </c>
      <c r="F897" s="4" t="s">
        <v>90</v>
      </c>
      <c r="G897" s="4" t="s">
        <v>150</v>
      </c>
      <c r="H897" s="48">
        <f>IF(G897&gt;0,VLOOKUP(G897,Apoio!$A$2:$B$25,2,0),"")</f>
        <v>8</v>
      </c>
      <c r="I897" s="44">
        <f t="shared" si="120"/>
        <v>58.94736842105263</v>
      </c>
      <c r="J897" s="98">
        <v>8</v>
      </c>
      <c r="K897" s="406">
        <f t="shared" si="122"/>
        <v>50.94736842105263</v>
      </c>
      <c r="L897" s="103"/>
      <c r="M897" s="103"/>
      <c r="N897" s="10"/>
    </row>
    <row r="898" spans="1:14" x14ac:dyDescent="0.3">
      <c r="A898" s="4" t="s">
        <v>49</v>
      </c>
      <c r="B898" s="4" t="s">
        <v>55</v>
      </c>
      <c r="C898" s="51">
        <v>6</v>
      </c>
      <c r="D898" s="51">
        <v>5.7</v>
      </c>
      <c r="E898" s="51">
        <v>7</v>
      </c>
      <c r="F898" s="4" t="s">
        <v>90</v>
      </c>
      <c r="G898" s="4" t="s">
        <v>153</v>
      </c>
      <c r="H898" s="48">
        <f>IF(G898&gt;0,VLOOKUP(G898,Apoio!$A$2:$B$25,2,0),"")</f>
        <v>8</v>
      </c>
      <c r="I898" s="44">
        <f>IF(D898&gt;0,(((H898*E898)*C898)/D898),"")</f>
        <v>58.94736842105263</v>
      </c>
      <c r="J898" s="98">
        <v>8</v>
      </c>
      <c r="K898" s="406">
        <f t="shared" si="122"/>
        <v>50.94736842105263</v>
      </c>
      <c r="L898" s="103"/>
      <c r="M898" s="103"/>
      <c r="N898" s="10"/>
    </row>
    <row r="899" spans="1:14" x14ac:dyDescent="0.3">
      <c r="A899" s="4" t="s">
        <v>49</v>
      </c>
      <c r="B899" s="4" t="s">
        <v>54</v>
      </c>
      <c r="C899" s="4">
        <v>6</v>
      </c>
      <c r="D899" s="56">
        <v>7.1</v>
      </c>
      <c r="E899" s="4">
        <v>7</v>
      </c>
      <c r="F899" s="4" t="s">
        <v>69</v>
      </c>
      <c r="G899" s="4" t="s">
        <v>68</v>
      </c>
      <c r="H899" s="48">
        <f>IF(G899&gt;0,VLOOKUP(G899,Apoio!$A$2:$B$25,2,0),"")</f>
        <v>7</v>
      </c>
      <c r="I899" s="44">
        <f t="shared" si="120"/>
        <v>41.408450704225352</v>
      </c>
      <c r="J899" s="106"/>
      <c r="K899" s="103"/>
      <c r="L899" s="103"/>
      <c r="M899" s="103"/>
      <c r="N899" s="10"/>
    </row>
    <row r="900" spans="1:14" x14ac:dyDescent="0.3">
      <c r="A900" s="4" t="s">
        <v>49</v>
      </c>
      <c r="B900" s="4" t="s">
        <v>54</v>
      </c>
      <c r="C900" s="4">
        <v>6</v>
      </c>
      <c r="D900" s="56">
        <v>7.1</v>
      </c>
      <c r="E900" s="4">
        <v>7</v>
      </c>
      <c r="F900" s="4" t="s">
        <v>69</v>
      </c>
      <c r="G900" s="4" t="s">
        <v>75</v>
      </c>
      <c r="H900" s="48">
        <f>IF(G900&gt;0,VLOOKUP(G900,Apoio!$A$2:$B$25,2,0),"")</f>
        <v>8</v>
      </c>
      <c r="I900" s="44">
        <f t="shared" si="120"/>
        <v>47.323943661971832</v>
      </c>
      <c r="J900" s="106"/>
      <c r="K900" s="103"/>
      <c r="L900" s="103"/>
      <c r="M900" s="103"/>
      <c r="N900" s="10"/>
    </row>
    <row r="901" spans="1:14" x14ac:dyDescent="0.3">
      <c r="A901" s="4" t="s">
        <v>49</v>
      </c>
      <c r="B901" s="4" t="s">
        <v>54</v>
      </c>
      <c r="C901" s="4">
        <v>6</v>
      </c>
      <c r="D901" s="56">
        <v>7.1</v>
      </c>
      <c r="E901" s="4">
        <v>7</v>
      </c>
      <c r="F901" s="4" t="s">
        <v>69</v>
      </c>
      <c r="G901" s="4" t="s">
        <v>82</v>
      </c>
      <c r="H901" s="48">
        <f>IF(G901&gt;0,VLOOKUP(G901,Apoio!$A$2:$B$25,2,0),"")</f>
        <v>6</v>
      </c>
      <c r="I901" s="44">
        <f t="shared" si="120"/>
        <v>35.492957746478872</v>
      </c>
      <c r="J901" s="106"/>
      <c r="K901" s="103"/>
      <c r="L901" s="103"/>
      <c r="M901" s="103"/>
      <c r="N901" s="10"/>
    </row>
    <row r="902" spans="1:14" x14ac:dyDescent="0.3">
      <c r="A902" s="4" t="s">
        <v>49</v>
      </c>
      <c r="B902" s="4" t="s">
        <v>54</v>
      </c>
      <c r="C902" s="4">
        <v>6</v>
      </c>
      <c r="D902" s="56">
        <v>7.1</v>
      </c>
      <c r="E902" s="4">
        <v>7</v>
      </c>
      <c r="F902" s="4" t="s">
        <v>69</v>
      </c>
      <c r="G902" s="4" t="s">
        <v>89</v>
      </c>
      <c r="H902" s="48">
        <f>IF(G902&gt;0,VLOOKUP(G902,Apoio!$A$2:$B$25,2,0),"")</f>
        <v>8</v>
      </c>
      <c r="I902" s="44">
        <f t="shared" si="120"/>
        <v>47.323943661971832</v>
      </c>
      <c r="J902" s="106"/>
      <c r="K902" s="103"/>
      <c r="L902" s="103"/>
      <c r="M902" s="103"/>
      <c r="N902" s="10"/>
    </row>
    <row r="903" spans="1:14" x14ac:dyDescent="0.3">
      <c r="A903" s="4" t="s">
        <v>49</v>
      </c>
      <c r="B903" s="4" t="s">
        <v>54</v>
      </c>
      <c r="C903" s="4">
        <v>6</v>
      </c>
      <c r="D903" s="56">
        <v>7.1</v>
      </c>
      <c r="E903" s="4">
        <v>7</v>
      </c>
      <c r="F903" s="4" t="s">
        <v>69</v>
      </c>
      <c r="G903" s="4" t="s">
        <v>96</v>
      </c>
      <c r="H903" s="48">
        <f>IF(G903&gt;0,VLOOKUP(G903,Apoio!$A$2:$B$25,2,0),"")</f>
        <v>8</v>
      </c>
      <c r="I903" s="44">
        <f t="shared" si="120"/>
        <v>47.323943661971832</v>
      </c>
      <c r="J903" s="106"/>
      <c r="K903" s="103"/>
      <c r="L903" s="103"/>
      <c r="M903" s="103"/>
      <c r="N903" s="10"/>
    </row>
    <row r="904" spans="1:14" x14ac:dyDescent="0.3">
      <c r="A904" s="4" t="s">
        <v>49</v>
      </c>
      <c r="B904" s="4" t="s">
        <v>54</v>
      </c>
      <c r="C904" s="4">
        <v>6</v>
      </c>
      <c r="D904" s="56">
        <v>7.1</v>
      </c>
      <c r="E904" s="4">
        <v>7</v>
      </c>
      <c r="F904" s="4" t="s">
        <v>69</v>
      </c>
      <c r="G904" s="4" t="s">
        <v>99</v>
      </c>
      <c r="H904" s="48">
        <f>IF(G904&gt;0,VLOOKUP(G904,Apoio!$A$2:$B$25,2,0),"")</f>
        <v>2</v>
      </c>
      <c r="I904" s="44">
        <f t="shared" si="120"/>
        <v>11.830985915492958</v>
      </c>
      <c r="J904" s="106"/>
      <c r="K904" s="103"/>
      <c r="L904" s="103"/>
      <c r="M904" s="103"/>
      <c r="N904" s="10"/>
    </row>
    <row r="905" spans="1:14" x14ac:dyDescent="0.3">
      <c r="A905" s="4" t="s">
        <v>49</v>
      </c>
      <c r="B905" s="4" t="s">
        <v>54</v>
      </c>
      <c r="C905" s="4">
        <v>6</v>
      </c>
      <c r="D905" s="56">
        <v>7.1</v>
      </c>
      <c r="E905" s="4">
        <v>7</v>
      </c>
      <c r="F905" s="4" t="s">
        <v>76</v>
      </c>
      <c r="G905" s="4" t="s">
        <v>102</v>
      </c>
      <c r="H905" s="48">
        <f>IF(G905&gt;0,VLOOKUP(G905,Apoio!$A$2:$B$25,2,0),"")</f>
        <v>5</v>
      </c>
      <c r="I905" s="44">
        <f t="shared" si="120"/>
        <v>29.577464788732396</v>
      </c>
      <c r="J905" s="106"/>
      <c r="K905" s="103"/>
      <c r="L905" s="103"/>
      <c r="M905" s="103"/>
      <c r="N905" s="10"/>
    </row>
    <row r="906" spans="1:14" x14ac:dyDescent="0.3">
      <c r="A906" s="4" t="s">
        <v>49</v>
      </c>
      <c r="B906" s="4" t="s">
        <v>54</v>
      </c>
      <c r="C906" s="4">
        <v>6</v>
      </c>
      <c r="D906" s="56">
        <v>7.1</v>
      </c>
      <c r="E906" s="4">
        <v>7</v>
      </c>
      <c r="F906" s="4" t="s">
        <v>76</v>
      </c>
      <c r="G906" s="4" t="s">
        <v>105</v>
      </c>
      <c r="H906" s="48">
        <f>IF(G906&gt;0,VLOOKUP(G906,Apoio!$A$2:$B$25,2,0),"")</f>
        <v>7</v>
      </c>
      <c r="I906" s="44">
        <f t="shared" si="120"/>
        <v>41.408450704225352</v>
      </c>
      <c r="J906" s="106"/>
      <c r="K906" s="103"/>
      <c r="L906" s="103"/>
      <c r="M906" s="103"/>
      <c r="N906" s="10"/>
    </row>
    <row r="907" spans="1:14" x14ac:dyDescent="0.3">
      <c r="A907" s="4" t="s">
        <v>49</v>
      </c>
      <c r="B907" s="4" t="s">
        <v>54</v>
      </c>
      <c r="C907" s="4">
        <v>6</v>
      </c>
      <c r="D907" s="56">
        <v>7.1</v>
      </c>
      <c r="E907" s="4">
        <v>7</v>
      </c>
      <c r="F907" s="4" t="s">
        <v>76</v>
      </c>
      <c r="G907" s="4" t="s">
        <v>108</v>
      </c>
      <c r="H907" s="48">
        <f>IF(G907&gt;0,VLOOKUP(G907,Apoio!$A$2:$B$25,2,0),"")</f>
        <v>8</v>
      </c>
      <c r="I907" s="44">
        <f t="shared" si="120"/>
        <v>47.323943661971832</v>
      </c>
      <c r="J907" s="106"/>
      <c r="K907" s="103"/>
      <c r="L907" s="103"/>
      <c r="M907" s="103"/>
      <c r="N907" s="10"/>
    </row>
    <row r="908" spans="1:14" x14ac:dyDescent="0.3">
      <c r="A908" s="4" t="s">
        <v>49</v>
      </c>
      <c r="B908" s="4" t="s">
        <v>54</v>
      </c>
      <c r="C908" s="4">
        <v>6</v>
      </c>
      <c r="D908" s="56">
        <v>7.1</v>
      </c>
      <c r="E908" s="4">
        <v>7</v>
      </c>
      <c r="F908" s="4" t="s">
        <v>76</v>
      </c>
      <c r="G908" s="4" t="s">
        <v>111</v>
      </c>
      <c r="H908" s="48">
        <f>IF(G908&gt;0,VLOOKUP(G908,Apoio!$A$2:$B$25,2,0),"")</f>
        <v>7</v>
      </c>
      <c r="I908" s="44">
        <f t="shared" si="120"/>
        <v>41.408450704225352</v>
      </c>
      <c r="J908" s="106"/>
      <c r="K908" s="103"/>
      <c r="L908" s="103"/>
      <c r="M908" s="103"/>
      <c r="N908" s="10"/>
    </row>
    <row r="909" spans="1:14" x14ac:dyDescent="0.3">
      <c r="A909" s="4" t="s">
        <v>49</v>
      </c>
      <c r="B909" s="4" t="s">
        <v>54</v>
      </c>
      <c r="C909" s="4">
        <v>6</v>
      </c>
      <c r="D909" s="56">
        <v>7.1</v>
      </c>
      <c r="E909" s="4">
        <v>7</v>
      </c>
      <c r="F909" s="4" t="s">
        <v>76</v>
      </c>
      <c r="G909" s="4" t="s">
        <v>114</v>
      </c>
      <c r="H909" s="48">
        <f>IF(G909&gt;0,VLOOKUP(G909,Apoio!$A$2:$B$25,2,0),"")</f>
        <v>8</v>
      </c>
      <c r="I909" s="44">
        <f t="shared" si="120"/>
        <v>47.323943661971832</v>
      </c>
      <c r="J909" s="106"/>
      <c r="K909" s="103"/>
      <c r="L909" s="103"/>
      <c r="M909" s="103"/>
      <c r="N909" s="10"/>
    </row>
    <row r="910" spans="1:14" x14ac:dyDescent="0.3">
      <c r="A910" s="4" t="s">
        <v>49</v>
      </c>
      <c r="B910" s="4" t="s">
        <v>54</v>
      </c>
      <c r="C910" s="4">
        <v>6</v>
      </c>
      <c r="D910" s="56">
        <v>7.1</v>
      </c>
      <c r="E910" s="4">
        <v>7</v>
      </c>
      <c r="F910" s="4" t="s">
        <v>76</v>
      </c>
      <c r="G910" s="4" t="s">
        <v>117</v>
      </c>
      <c r="H910" s="48">
        <f>IF(G910&gt;0,VLOOKUP(G910,Apoio!$A$2:$B$25,2,0),"")</f>
        <v>3</v>
      </c>
      <c r="I910" s="44">
        <f t="shared" si="120"/>
        <v>17.746478873239436</v>
      </c>
      <c r="J910" s="106"/>
      <c r="K910" s="103"/>
      <c r="L910" s="103"/>
      <c r="M910" s="103"/>
      <c r="N910" s="10"/>
    </row>
    <row r="911" spans="1:14" x14ac:dyDescent="0.3">
      <c r="A911" s="4" t="s">
        <v>49</v>
      </c>
      <c r="B911" s="4" t="s">
        <v>54</v>
      </c>
      <c r="C911" s="4">
        <v>6</v>
      </c>
      <c r="D911" s="56">
        <v>7.1</v>
      </c>
      <c r="E911" s="4">
        <v>7</v>
      </c>
      <c r="F911" s="4" t="s">
        <v>83</v>
      </c>
      <c r="G911" s="4" t="s">
        <v>120</v>
      </c>
      <c r="H911" s="48">
        <f>IF(G911&gt;0,VLOOKUP(G911,Apoio!$A$2:$B$25,2,0),"")</f>
        <v>7</v>
      </c>
      <c r="I911" s="44">
        <f t="shared" si="120"/>
        <v>41.408450704225352</v>
      </c>
      <c r="J911" s="106"/>
      <c r="K911" s="103"/>
      <c r="L911" s="103"/>
      <c r="M911" s="103"/>
      <c r="N911" s="10"/>
    </row>
    <row r="912" spans="1:14" x14ac:dyDescent="0.3">
      <c r="A912" s="4" t="s">
        <v>49</v>
      </c>
      <c r="B912" s="4" t="s">
        <v>54</v>
      </c>
      <c r="C912" s="4">
        <v>6</v>
      </c>
      <c r="D912" s="56">
        <v>7.1</v>
      </c>
      <c r="E912" s="4">
        <v>7</v>
      </c>
      <c r="F912" s="4" t="s">
        <v>83</v>
      </c>
      <c r="G912" s="4" t="s">
        <v>123</v>
      </c>
      <c r="H912" s="48">
        <f>IF(G912&gt;0,VLOOKUP(G912,Apoio!$A$2:$B$25,2,0),"")</f>
        <v>8</v>
      </c>
      <c r="I912" s="44">
        <f t="shared" si="120"/>
        <v>47.323943661971832</v>
      </c>
      <c r="J912" s="106"/>
      <c r="K912" s="103"/>
      <c r="L912" s="103"/>
      <c r="M912" s="103"/>
      <c r="N912" s="10"/>
    </row>
    <row r="913" spans="1:14" x14ac:dyDescent="0.3">
      <c r="A913" s="4" t="s">
        <v>49</v>
      </c>
      <c r="B913" s="4" t="s">
        <v>54</v>
      </c>
      <c r="C913" s="4">
        <v>6</v>
      </c>
      <c r="D913" s="56">
        <v>7.1</v>
      </c>
      <c r="E913" s="4">
        <v>7</v>
      </c>
      <c r="F913" s="4" t="s">
        <v>83</v>
      </c>
      <c r="G913" s="4" t="s">
        <v>126</v>
      </c>
      <c r="H913" s="48">
        <f>IF(G913&gt;0,VLOOKUP(G913,Apoio!$A$2:$B$25,2,0),"")</f>
        <v>8</v>
      </c>
      <c r="I913" s="44">
        <f t="shared" si="120"/>
        <v>47.323943661971832</v>
      </c>
      <c r="J913" s="106"/>
      <c r="K913" s="103"/>
      <c r="L913" s="103"/>
      <c r="M913" s="103"/>
      <c r="N913" s="10"/>
    </row>
    <row r="914" spans="1:14" x14ac:dyDescent="0.3">
      <c r="A914" s="4" t="s">
        <v>49</v>
      </c>
      <c r="B914" s="4" t="s">
        <v>54</v>
      </c>
      <c r="C914" s="4">
        <v>6</v>
      </c>
      <c r="D914" s="56">
        <v>7.1</v>
      </c>
      <c r="E914" s="4">
        <v>7</v>
      </c>
      <c r="F914" s="4" t="s">
        <v>83</v>
      </c>
      <c r="G914" s="4" t="s">
        <v>129</v>
      </c>
      <c r="H914" s="48">
        <f>IF(G914&gt;0,VLOOKUP(G914,Apoio!$A$2:$B$25,2,0),"")</f>
        <v>8</v>
      </c>
      <c r="I914" s="44">
        <f t="shared" si="120"/>
        <v>47.323943661971832</v>
      </c>
      <c r="J914" s="106"/>
      <c r="K914" s="103"/>
      <c r="L914" s="103"/>
      <c r="M914" s="103"/>
      <c r="N914" s="10"/>
    </row>
    <row r="915" spans="1:14" x14ac:dyDescent="0.3">
      <c r="A915" s="4" t="s">
        <v>49</v>
      </c>
      <c r="B915" s="4" t="s">
        <v>54</v>
      </c>
      <c r="C915" s="4">
        <v>6</v>
      </c>
      <c r="D915" s="56">
        <v>7.1</v>
      </c>
      <c r="E915" s="4">
        <v>7</v>
      </c>
      <c r="F915" s="4" t="s">
        <v>83</v>
      </c>
      <c r="G915" s="4" t="s">
        <v>132</v>
      </c>
      <c r="H915" s="48">
        <f>IF(G915&gt;0,VLOOKUP(G915,Apoio!$A$2:$B$25,2,0),"")</f>
        <v>7</v>
      </c>
      <c r="I915" s="44">
        <f t="shared" si="120"/>
        <v>41.408450704225352</v>
      </c>
      <c r="J915" s="106"/>
      <c r="K915" s="103"/>
      <c r="L915" s="103"/>
      <c r="M915" s="103"/>
      <c r="N915" s="10"/>
    </row>
    <row r="916" spans="1:14" x14ac:dyDescent="0.3">
      <c r="A916" s="4" t="s">
        <v>49</v>
      </c>
      <c r="B916" s="4" t="s">
        <v>54</v>
      </c>
      <c r="C916" s="4">
        <v>6</v>
      </c>
      <c r="D916" s="56">
        <v>7.1</v>
      </c>
      <c r="E916" s="4">
        <v>7</v>
      </c>
      <c r="F916" s="4" t="s">
        <v>83</v>
      </c>
      <c r="G916" s="4" t="s">
        <v>135</v>
      </c>
      <c r="H916" s="48">
        <f>IF(G916&gt;0,VLOOKUP(G916,Apoio!$A$2:$B$25,2,0),"")</f>
        <v>3</v>
      </c>
      <c r="I916" s="44">
        <f t="shared" si="120"/>
        <v>17.746478873239436</v>
      </c>
      <c r="J916" s="106"/>
      <c r="K916" s="103"/>
      <c r="L916" s="103"/>
      <c r="M916" s="103"/>
      <c r="N916" s="10"/>
    </row>
    <row r="917" spans="1:14" x14ac:dyDescent="0.3">
      <c r="A917" s="4" t="s">
        <v>49</v>
      </c>
      <c r="B917" s="4" t="s">
        <v>54</v>
      </c>
      <c r="C917" s="51">
        <v>6</v>
      </c>
      <c r="D917" s="51">
        <v>7.1</v>
      </c>
      <c r="E917" s="51">
        <v>7</v>
      </c>
      <c r="F917" s="4" t="s">
        <v>90</v>
      </c>
      <c r="G917" s="4" t="s">
        <v>138</v>
      </c>
      <c r="H917" s="48">
        <f>IF(G917&gt;0,VLOOKUP(G917,Apoio!$A$2:$B$25,2,0),"")</f>
        <v>8</v>
      </c>
      <c r="I917" s="44">
        <f t="shared" si="120"/>
        <v>47.323943661971832</v>
      </c>
      <c r="J917" s="98">
        <v>8</v>
      </c>
      <c r="K917" s="406">
        <f t="shared" ref="K917:K923" si="123">I917-J917</f>
        <v>39.323943661971832</v>
      </c>
      <c r="L917" s="103"/>
      <c r="M917" s="103"/>
      <c r="N917" s="10"/>
    </row>
    <row r="918" spans="1:14" x14ac:dyDescent="0.3">
      <c r="A918" s="4" t="s">
        <v>49</v>
      </c>
      <c r="B918" s="4" t="s">
        <v>54</v>
      </c>
      <c r="C918" s="51">
        <v>6</v>
      </c>
      <c r="D918" s="51">
        <v>7.1</v>
      </c>
      <c r="E918" s="51">
        <v>7</v>
      </c>
      <c r="F918" s="4" t="s">
        <v>90</v>
      </c>
      <c r="G918" s="4" t="s">
        <v>141</v>
      </c>
      <c r="H918" s="48">
        <f>IF(G918&gt;0,VLOOKUP(G918,Apoio!$A$2:$B$25,2,0),"")</f>
        <v>7</v>
      </c>
      <c r="I918" s="44">
        <f t="shared" ref="I918:I1004" si="124">IF(D918&gt;0,(((H918*E918)*C918)/D918),"")</f>
        <v>41.408450704225352</v>
      </c>
      <c r="J918" s="98">
        <v>8</v>
      </c>
      <c r="K918" s="406">
        <f t="shared" si="123"/>
        <v>33.408450704225352</v>
      </c>
      <c r="L918" s="103"/>
      <c r="M918" s="103"/>
      <c r="N918" s="10"/>
    </row>
    <row r="919" spans="1:14" x14ac:dyDescent="0.3">
      <c r="A919" s="4" t="s">
        <v>49</v>
      </c>
      <c r="B919" s="4" t="s">
        <v>54</v>
      </c>
      <c r="C919" s="51">
        <v>6</v>
      </c>
      <c r="D919" s="51">
        <v>7.1</v>
      </c>
      <c r="E919" s="51">
        <v>7</v>
      </c>
      <c r="F919" s="4" t="s">
        <v>90</v>
      </c>
      <c r="G919" s="4" t="s">
        <v>144</v>
      </c>
      <c r="H919" s="48">
        <f>IF(G919&gt;0,VLOOKUP(G919,Apoio!$A$2:$B$25,2,0),"")</f>
        <v>7</v>
      </c>
      <c r="I919" s="44">
        <f t="shared" si="124"/>
        <v>41.408450704225352</v>
      </c>
      <c r="J919" s="98">
        <v>8</v>
      </c>
      <c r="K919" s="406">
        <f t="shared" si="123"/>
        <v>33.408450704225352</v>
      </c>
      <c r="L919" s="103"/>
      <c r="M919" s="103"/>
      <c r="N919" s="10"/>
    </row>
    <row r="920" spans="1:14" x14ac:dyDescent="0.3">
      <c r="A920" s="4" t="s">
        <v>49</v>
      </c>
      <c r="B920" s="4" t="s">
        <v>54</v>
      </c>
      <c r="C920" s="51">
        <v>6</v>
      </c>
      <c r="D920" s="51">
        <v>7.1</v>
      </c>
      <c r="E920" s="51">
        <v>7</v>
      </c>
      <c r="F920" s="4" t="s">
        <v>90</v>
      </c>
      <c r="G920" s="4" t="s">
        <v>147</v>
      </c>
      <c r="H920" s="48">
        <f>IF(G920&gt;0,VLOOKUP(G920,Apoio!$A$2:$B$25,2,0),"")</f>
        <v>7</v>
      </c>
      <c r="I920" s="44">
        <f t="shared" si="124"/>
        <v>41.408450704225352</v>
      </c>
      <c r="J920" s="98">
        <v>8</v>
      </c>
      <c r="K920" s="406">
        <f t="shared" si="123"/>
        <v>33.408450704225352</v>
      </c>
      <c r="L920" s="103"/>
      <c r="M920" s="103"/>
      <c r="N920" s="10"/>
    </row>
    <row r="921" spans="1:14" x14ac:dyDescent="0.3">
      <c r="A921" s="4" t="s">
        <v>49</v>
      </c>
      <c r="B921" s="4" t="s">
        <v>54</v>
      </c>
      <c r="C921" s="51">
        <v>6</v>
      </c>
      <c r="D921" s="51">
        <v>7.1</v>
      </c>
      <c r="E921" s="51">
        <v>7</v>
      </c>
      <c r="F921" s="4" t="s">
        <v>90</v>
      </c>
      <c r="G921" s="4" t="s">
        <v>150</v>
      </c>
      <c r="H921" s="48">
        <f>IF(G921&gt;0,VLOOKUP(G921,Apoio!$A$2:$B$25,2,0),"")</f>
        <v>8</v>
      </c>
      <c r="I921" s="44">
        <f t="shared" si="124"/>
        <v>47.323943661971832</v>
      </c>
      <c r="J921" s="98">
        <v>8</v>
      </c>
      <c r="K921" s="406">
        <f t="shared" si="123"/>
        <v>39.323943661971832</v>
      </c>
      <c r="L921" s="103"/>
      <c r="M921" s="103"/>
      <c r="N921" s="10"/>
    </row>
    <row r="922" spans="1:14" x14ac:dyDescent="0.3">
      <c r="A922" s="4" t="s">
        <v>49</v>
      </c>
      <c r="B922" s="4" t="s">
        <v>54</v>
      </c>
      <c r="C922" s="51">
        <v>6</v>
      </c>
      <c r="D922" s="51">
        <v>7.1</v>
      </c>
      <c r="E922" s="51">
        <v>7</v>
      </c>
      <c r="F922" s="4" t="s">
        <v>90</v>
      </c>
      <c r="G922" s="4" t="s">
        <v>150</v>
      </c>
      <c r="H922" s="48">
        <f>IF(G922&gt;0,VLOOKUP(G922,Apoio!$A$2:$B$25,2,0),"")</f>
        <v>8</v>
      </c>
      <c r="I922" s="44">
        <f>IF(D922&gt;0,(((H922*E922)*C922)/D922),"")</f>
        <v>47.323943661971832</v>
      </c>
      <c r="J922" s="98">
        <v>8</v>
      </c>
      <c r="K922" s="406">
        <f t="shared" si="123"/>
        <v>39.323943661971832</v>
      </c>
      <c r="L922" s="103"/>
      <c r="M922" s="103"/>
      <c r="N922" s="10"/>
    </row>
    <row r="923" spans="1:14" x14ac:dyDescent="0.3">
      <c r="A923" s="4" t="s">
        <v>49</v>
      </c>
      <c r="B923" s="4" t="s">
        <v>54</v>
      </c>
      <c r="C923" s="51">
        <v>6</v>
      </c>
      <c r="D923" s="51">
        <v>7.1</v>
      </c>
      <c r="E923" s="51">
        <v>7</v>
      </c>
      <c r="F923" s="4" t="s">
        <v>90</v>
      </c>
      <c r="G923" s="4" t="s">
        <v>153</v>
      </c>
      <c r="H923" s="48">
        <f>IF(G923&gt;0,VLOOKUP(G923,Apoio!$A$2:$B$25,2,0),"")</f>
        <v>8</v>
      </c>
      <c r="I923" s="44">
        <f>IF(D923&gt;0,(((H923*E923)*C923)/D923),"")</f>
        <v>47.323943661971832</v>
      </c>
      <c r="J923" s="98">
        <v>8</v>
      </c>
      <c r="K923" s="406">
        <f t="shared" si="123"/>
        <v>39.323943661971832</v>
      </c>
      <c r="L923" s="103"/>
      <c r="M923" s="103"/>
      <c r="N923" s="10"/>
    </row>
    <row r="924" spans="1:14" x14ac:dyDescent="0.3">
      <c r="A924" s="4" t="s">
        <v>49</v>
      </c>
      <c r="B924" s="4" t="s">
        <v>51</v>
      </c>
      <c r="C924" s="4">
        <v>4</v>
      </c>
      <c r="D924" s="56">
        <v>6.4</v>
      </c>
      <c r="E924" s="4">
        <v>7</v>
      </c>
      <c r="F924" s="4" t="s">
        <v>69</v>
      </c>
      <c r="G924" s="4" t="s">
        <v>68</v>
      </c>
      <c r="H924" s="48">
        <f>IF(G924&gt;0,VLOOKUP(G924,Apoio!$A$2:$B$25,2,0),"")</f>
        <v>7</v>
      </c>
      <c r="I924" s="44">
        <f t="shared" si="124"/>
        <v>30.625</v>
      </c>
      <c r="J924" s="106"/>
      <c r="K924" s="103"/>
      <c r="L924" s="103"/>
      <c r="M924" s="103"/>
      <c r="N924" s="10"/>
    </row>
    <row r="925" spans="1:14" x14ac:dyDescent="0.3">
      <c r="A925" s="4" t="s">
        <v>49</v>
      </c>
      <c r="B925" s="4" t="s">
        <v>51</v>
      </c>
      <c r="C925" s="4">
        <v>4</v>
      </c>
      <c r="D925" s="56">
        <v>6.4</v>
      </c>
      <c r="E925" s="4">
        <v>7</v>
      </c>
      <c r="F925" s="4" t="s">
        <v>69</v>
      </c>
      <c r="G925" s="4" t="s">
        <v>75</v>
      </c>
      <c r="H925" s="48">
        <f>IF(G925&gt;0,VLOOKUP(G925,Apoio!$A$2:$B$25,2,0),"")</f>
        <v>8</v>
      </c>
      <c r="I925" s="44">
        <f t="shared" si="124"/>
        <v>35</v>
      </c>
      <c r="J925" s="106"/>
      <c r="K925" s="103"/>
      <c r="L925" s="103"/>
      <c r="M925" s="103"/>
      <c r="N925" s="10"/>
    </row>
    <row r="926" spans="1:14" x14ac:dyDescent="0.3">
      <c r="A926" s="4" t="s">
        <v>49</v>
      </c>
      <c r="B926" s="4" t="s">
        <v>51</v>
      </c>
      <c r="C926" s="4">
        <v>4</v>
      </c>
      <c r="D926" s="56">
        <v>6.4</v>
      </c>
      <c r="E926" s="4">
        <v>7</v>
      </c>
      <c r="F926" s="4" t="s">
        <v>69</v>
      </c>
      <c r="G926" s="4" t="s">
        <v>82</v>
      </c>
      <c r="H926" s="48">
        <f>IF(G926&gt;0,VLOOKUP(G926,Apoio!$A$2:$B$25,2,0),"")</f>
        <v>6</v>
      </c>
      <c r="I926" s="44">
        <f t="shared" si="124"/>
        <v>26.25</v>
      </c>
      <c r="J926" s="106"/>
      <c r="K926" s="103"/>
      <c r="L926" s="103"/>
      <c r="M926" s="103"/>
      <c r="N926" s="10"/>
    </row>
    <row r="927" spans="1:14" x14ac:dyDescent="0.3">
      <c r="A927" s="4" t="s">
        <v>49</v>
      </c>
      <c r="B927" s="4" t="s">
        <v>51</v>
      </c>
      <c r="C927" s="4">
        <v>4</v>
      </c>
      <c r="D927" s="56">
        <v>6.4</v>
      </c>
      <c r="E927" s="4">
        <v>7</v>
      </c>
      <c r="F927" s="4" t="s">
        <v>69</v>
      </c>
      <c r="G927" s="4" t="s">
        <v>89</v>
      </c>
      <c r="H927" s="48">
        <f>IF(G927&gt;0,VLOOKUP(G927,Apoio!$A$2:$B$25,2,0),"")</f>
        <v>8</v>
      </c>
      <c r="I927" s="44">
        <f t="shared" si="124"/>
        <v>35</v>
      </c>
      <c r="J927" s="106"/>
      <c r="K927" s="103"/>
      <c r="L927" s="103"/>
      <c r="M927" s="103"/>
      <c r="N927" s="10"/>
    </row>
    <row r="928" spans="1:14" x14ac:dyDescent="0.3">
      <c r="A928" s="4" t="s">
        <v>49</v>
      </c>
      <c r="B928" s="4" t="s">
        <v>51</v>
      </c>
      <c r="C928" s="4">
        <v>4</v>
      </c>
      <c r="D928" s="56">
        <v>6.4</v>
      </c>
      <c r="E928" s="4">
        <v>7</v>
      </c>
      <c r="F928" s="4" t="s">
        <v>69</v>
      </c>
      <c r="G928" s="4" t="s">
        <v>96</v>
      </c>
      <c r="H928" s="48">
        <f>IF(G928&gt;0,VLOOKUP(G928,Apoio!$A$2:$B$25,2,0),"")</f>
        <v>8</v>
      </c>
      <c r="I928" s="44">
        <f t="shared" si="124"/>
        <v>35</v>
      </c>
      <c r="J928" s="106"/>
      <c r="K928" s="103"/>
      <c r="L928" s="103"/>
      <c r="M928" s="103"/>
      <c r="N928" s="10"/>
    </row>
    <row r="929" spans="1:14" x14ac:dyDescent="0.3">
      <c r="A929" s="4" t="s">
        <v>49</v>
      </c>
      <c r="B929" s="4" t="s">
        <v>51</v>
      </c>
      <c r="C929" s="4">
        <v>4</v>
      </c>
      <c r="D929" s="56">
        <v>6.4</v>
      </c>
      <c r="E929" s="4">
        <v>7</v>
      </c>
      <c r="F929" s="4" t="s">
        <v>69</v>
      </c>
      <c r="G929" s="4" t="s">
        <v>99</v>
      </c>
      <c r="H929" s="48">
        <f>IF(G929&gt;0,VLOOKUP(G929,Apoio!$A$2:$B$25,2,0),"")</f>
        <v>2</v>
      </c>
      <c r="I929" s="44">
        <f t="shared" si="124"/>
        <v>8.75</v>
      </c>
      <c r="J929" s="106"/>
      <c r="K929" s="103"/>
      <c r="L929" s="103"/>
      <c r="M929" s="103"/>
      <c r="N929" s="10"/>
    </row>
    <row r="930" spans="1:14" x14ac:dyDescent="0.3">
      <c r="A930" s="4" t="s">
        <v>49</v>
      </c>
      <c r="B930" s="4" t="s">
        <v>51</v>
      </c>
      <c r="C930" s="4">
        <v>4</v>
      </c>
      <c r="D930" s="56">
        <v>6.4</v>
      </c>
      <c r="E930" s="4">
        <v>7</v>
      </c>
      <c r="F930" s="4" t="s">
        <v>76</v>
      </c>
      <c r="G930" s="4" t="s">
        <v>102</v>
      </c>
      <c r="H930" s="48">
        <f>IF(G930&gt;0,VLOOKUP(G930,Apoio!$A$2:$B$25,2,0),"")</f>
        <v>5</v>
      </c>
      <c r="I930" s="44">
        <f t="shared" si="124"/>
        <v>21.875</v>
      </c>
      <c r="J930" s="106"/>
      <c r="K930" s="103"/>
      <c r="L930" s="103"/>
      <c r="M930" s="103"/>
      <c r="N930" s="10"/>
    </row>
    <row r="931" spans="1:14" x14ac:dyDescent="0.3">
      <c r="A931" s="4" t="s">
        <v>49</v>
      </c>
      <c r="B931" s="4" t="s">
        <v>51</v>
      </c>
      <c r="C931" s="4">
        <v>4</v>
      </c>
      <c r="D931" s="56">
        <v>6.4</v>
      </c>
      <c r="E931" s="4">
        <v>7</v>
      </c>
      <c r="F931" s="4" t="s">
        <v>76</v>
      </c>
      <c r="G931" s="4" t="s">
        <v>105</v>
      </c>
      <c r="H931" s="48">
        <f>IF(G931&gt;0,VLOOKUP(G931,Apoio!$A$2:$B$25,2,0),"")</f>
        <v>7</v>
      </c>
      <c r="I931" s="44">
        <f t="shared" si="124"/>
        <v>30.625</v>
      </c>
      <c r="J931" s="106"/>
      <c r="K931" s="103"/>
      <c r="L931" s="103"/>
      <c r="M931" s="103"/>
      <c r="N931" s="10"/>
    </row>
    <row r="932" spans="1:14" x14ac:dyDescent="0.3">
      <c r="A932" s="4" t="s">
        <v>49</v>
      </c>
      <c r="B932" s="4" t="s">
        <v>51</v>
      </c>
      <c r="C932" s="4">
        <v>4</v>
      </c>
      <c r="D932" s="56">
        <v>6.4</v>
      </c>
      <c r="E932" s="4">
        <v>7</v>
      </c>
      <c r="F932" s="4" t="s">
        <v>76</v>
      </c>
      <c r="G932" s="4" t="s">
        <v>108</v>
      </c>
      <c r="H932" s="48">
        <f>IF(G932&gt;0,VLOOKUP(G932,Apoio!$A$2:$B$25,2,0),"")</f>
        <v>8</v>
      </c>
      <c r="I932" s="44">
        <f t="shared" si="124"/>
        <v>35</v>
      </c>
      <c r="J932" s="106"/>
      <c r="K932" s="103"/>
      <c r="L932" s="103"/>
      <c r="M932" s="103"/>
      <c r="N932" s="10"/>
    </row>
    <row r="933" spans="1:14" x14ac:dyDescent="0.3">
      <c r="A933" s="4" t="s">
        <v>49</v>
      </c>
      <c r="B933" s="4" t="s">
        <v>51</v>
      </c>
      <c r="C933" s="4">
        <v>4</v>
      </c>
      <c r="D933" s="56">
        <v>6.4</v>
      </c>
      <c r="E933" s="4">
        <v>7</v>
      </c>
      <c r="F933" s="4" t="s">
        <v>76</v>
      </c>
      <c r="G933" s="4" t="s">
        <v>111</v>
      </c>
      <c r="H933" s="48">
        <f>IF(G933&gt;0,VLOOKUP(G933,Apoio!$A$2:$B$25,2,0),"")</f>
        <v>7</v>
      </c>
      <c r="I933" s="44">
        <f t="shared" si="124"/>
        <v>30.625</v>
      </c>
      <c r="J933" s="106"/>
      <c r="K933" s="103"/>
      <c r="L933" s="103"/>
      <c r="M933" s="103"/>
      <c r="N933" s="10"/>
    </row>
    <row r="934" spans="1:14" x14ac:dyDescent="0.3">
      <c r="A934" s="4" t="s">
        <v>49</v>
      </c>
      <c r="B934" s="4" t="s">
        <v>51</v>
      </c>
      <c r="C934" s="4">
        <v>4</v>
      </c>
      <c r="D934" s="56">
        <v>6.4</v>
      </c>
      <c r="E934" s="4">
        <v>7</v>
      </c>
      <c r="F934" s="4" t="s">
        <v>76</v>
      </c>
      <c r="G934" s="4" t="s">
        <v>114</v>
      </c>
      <c r="H934" s="48">
        <f>IF(G934&gt;0,VLOOKUP(G934,Apoio!$A$2:$B$25,2,0),"")</f>
        <v>8</v>
      </c>
      <c r="I934" s="44">
        <f t="shared" si="124"/>
        <v>35</v>
      </c>
      <c r="J934" s="106"/>
      <c r="K934" s="103"/>
      <c r="L934" s="103"/>
      <c r="M934" s="103"/>
      <c r="N934" s="10"/>
    </row>
    <row r="935" spans="1:14" x14ac:dyDescent="0.3">
      <c r="A935" s="4" t="s">
        <v>49</v>
      </c>
      <c r="B935" s="4" t="s">
        <v>51</v>
      </c>
      <c r="C935" s="4">
        <v>4</v>
      </c>
      <c r="D935" s="56">
        <v>6.4</v>
      </c>
      <c r="E935" s="4">
        <v>7</v>
      </c>
      <c r="F935" s="4" t="s">
        <v>76</v>
      </c>
      <c r="G935" s="4" t="s">
        <v>117</v>
      </c>
      <c r="H935" s="48">
        <f>IF(G935&gt;0,VLOOKUP(G935,Apoio!$A$2:$B$25,2,0),"")</f>
        <v>3</v>
      </c>
      <c r="I935" s="44">
        <f t="shared" si="124"/>
        <v>13.125</v>
      </c>
      <c r="J935" s="106"/>
      <c r="K935" s="103"/>
      <c r="L935" s="103"/>
      <c r="M935" s="103"/>
      <c r="N935" s="10"/>
    </row>
    <row r="936" spans="1:14" x14ac:dyDescent="0.3">
      <c r="A936" s="4" t="s">
        <v>49</v>
      </c>
      <c r="B936" s="4" t="s">
        <v>51</v>
      </c>
      <c r="C936" s="4">
        <v>4</v>
      </c>
      <c r="D936" s="56">
        <v>6.4</v>
      </c>
      <c r="E936" s="4">
        <v>7</v>
      </c>
      <c r="F936" s="4" t="s">
        <v>83</v>
      </c>
      <c r="G936" s="4" t="s">
        <v>120</v>
      </c>
      <c r="H936" s="48">
        <f>IF(G936&gt;0,VLOOKUP(G936,Apoio!$A$2:$B$25,2,0),"")</f>
        <v>7</v>
      </c>
      <c r="I936" s="44">
        <f t="shared" si="124"/>
        <v>30.625</v>
      </c>
      <c r="J936" s="106"/>
      <c r="K936" s="103"/>
      <c r="L936" s="103"/>
      <c r="M936" s="103"/>
      <c r="N936" s="10"/>
    </row>
    <row r="937" spans="1:14" x14ac:dyDescent="0.3">
      <c r="A937" s="4" t="s">
        <v>49</v>
      </c>
      <c r="B937" s="4" t="s">
        <v>51</v>
      </c>
      <c r="C937" s="4">
        <v>4</v>
      </c>
      <c r="D937" s="56">
        <v>6.4</v>
      </c>
      <c r="E937" s="4">
        <v>7</v>
      </c>
      <c r="F937" s="4" t="s">
        <v>83</v>
      </c>
      <c r="G937" s="4" t="s">
        <v>123</v>
      </c>
      <c r="H937" s="48">
        <f>IF(G937&gt;0,VLOOKUP(G937,Apoio!$A$2:$B$25,2,0),"")</f>
        <v>8</v>
      </c>
      <c r="I937" s="44">
        <f t="shared" si="124"/>
        <v>35</v>
      </c>
      <c r="J937" s="106"/>
      <c r="K937" s="103"/>
      <c r="L937" s="103"/>
      <c r="M937" s="103"/>
      <c r="N937" s="10"/>
    </row>
    <row r="938" spans="1:14" x14ac:dyDescent="0.3">
      <c r="A938" s="4" t="s">
        <v>49</v>
      </c>
      <c r="B938" s="4" t="s">
        <v>51</v>
      </c>
      <c r="C938" s="4">
        <v>4</v>
      </c>
      <c r="D938" s="56">
        <v>6.4</v>
      </c>
      <c r="E938" s="4">
        <v>7</v>
      </c>
      <c r="F938" s="4" t="s">
        <v>83</v>
      </c>
      <c r="G938" s="4" t="s">
        <v>126</v>
      </c>
      <c r="H938" s="48">
        <f>IF(G938&gt;0,VLOOKUP(G938,Apoio!$A$2:$B$25,2,0),"")</f>
        <v>8</v>
      </c>
      <c r="I938" s="44">
        <f t="shared" si="124"/>
        <v>35</v>
      </c>
      <c r="J938" s="106"/>
      <c r="K938" s="103"/>
      <c r="L938" s="103"/>
      <c r="M938" s="103"/>
      <c r="N938" s="10"/>
    </row>
    <row r="939" spans="1:14" x14ac:dyDescent="0.3">
      <c r="A939" s="4" t="s">
        <v>49</v>
      </c>
      <c r="B939" s="4" t="s">
        <v>51</v>
      </c>
      <c r="C939" s="4">
        <v>4</v>
      </c>
      <c r="D939" s="56">
        <v>6.4</v>
      </c>
      <c r="E939" s="4">
        <v>7</v>
      </c>
      <c r="F939" s="4" t="s">
        <v>83</v>
      </c>
      <c r="G939" s="4" t="s">
        <v>129</v>
      </c>
      <c r="H939" s="48">
        <f>IF(G939&gt;0,VLOOKUP(G939,Apoio!$A$2:$B$25,2,0),"")</f>
        <v>8</v>
      </c>
      <c r="I939" s="44">
        <f t="shared" si="124"/>
        <v>35</v>
      </c>
      <c r="J939" s="106"/>
      <c r="K939" s="103"/>
      <c r="L939" s="103"/>
      <c r="M939" s="103"/>
      <c r="N939" s="10"/>
    </row>
    <row r="940" spans="1:14" x14ac:dyDescent="0.3">
      <c r="A940" s="4" t="s">
        <v>49</v>
      </c>
      <c r="B940" s="4" t="s">
        <v>51</v>
      </c>
      <c r="C940" s="4">
        <v>4</v>
      </c>
      <c r="D940" s="56">
        <v>6.4</v>
      </c>
      <c r="E940" s="4">
        <v>7</v>
      </c>
      <c r="F940" s="4" t="s">
        <v>83</v>
      </c>
      <c r="G940" s="4" t="s">
        <v>132</v>
      </c>
      <c r="H940" s="48">
        <f>IF(G940&gt;0,VLOOKUP(G940,Apoio!$A$2:$B$25,2,0),"")</f>
        <v>7</v>
      </c>
      <c r="I940" s="44">
        <f t="shared" si="124"/>
        <v>30.625</v>
      </c>
      <c r="J940" s="106"/>
      <c r="K940" s="103"/>
      <c r="L940" s="103"/>
      <c r="M940" s="103"/>
      <c r="N940" s="10"/>
    </row>
    <row r="941" spans="1:14" x14ac:dyDescent="0.3">
      <c r="A941" s="4" t="s">
        <v>49</v>
      </c>
      <c r="B941" s="4" t="s">
        <v>51</v>
      </c>
      <c r="C941" s="4">
        <v>4</v>
      </c>
      <c r="D941" s="56">
        <v>6.4</v>
      </c>
      <c r="E941" s="4">
        <v>7</v>
      </c>
      <c r="F941" s="4" t="s">
        <v>83</v>
      </c>
      <c r="G941" s="4" t="s">
        <v>135</v>
      </c>
      <c r="H941" s="48">
        <f>IF(G941&gt;0,VLOOKUP(G941,Apoio!$A$2:$B$25,2,0),"")</f>
        <v>3</v>
      </c>
      <c r="I941" s="44">
        <f t="shared" si="124"/>
        <v>13.125</v>
      </c>
      <c r="J941" s="106"/>
      <c r="K941" s="103"/>
      <c r="L941" s="103"/>
      <c r="M941" s="103"/>
      <c r="N941" s="10"/>
    </row>
    <row r="942" spans="1:14" x14ac:dyDescent="0.3">
      <c r="A942" s="4" t="s">
        <v>49</v>
      </c>
      <c r="B942" s="4" t="s">
        <v>51</v>
      </c>
      <c r="C942" s="51">
        <v>4</v>
      </c>
      <c r="D942" s="51">
        <v>6.4</v>
      </c>
      <c r="E942" s="51">
        <v>7</v>
      </c>
      <c r="F942" s="4" t="s">
        <v>90</v>
      </c>
      <c r="G942" s="4" t="s">
        <v>138</v>
      </c>
      <c r="H942" s="48">
        <f>IF(G942&gt;0,VLOOKUP(G942,Apoio!$A$2:$B$25,2,0),"")</f>
        <v>8</v>
      </c>
      <c r="I942" s="44">
        <f t="shared" si="124"/>
        <v>35</v>
      </c>
      <c r="J942" s="98">
        <v>8</v>
      </c>
      <c r="K942" s="406">
        <f t="shared" ref="K942:K948" si="125">I942-J942</f>
        <v>27</v>
      </c>
      <c r="L942" s="103"/>
      <c r="M942" s="103"/>
      <c r="N942" s="10"/>
    </row>
    <row r="943" spans="1:14" x14ac:dyDescent="0.3">
      <c r="A943" s="4" t="s">
        <v>49</v>
      </c>
      <c r="B943" s="4" t="s">
        <v>51</v>
      </c>
      <c r="C943" s="51">
        <v>4</v>
      </c>
      <c r="D943" s="51">
        <v>6.4</v>
      </c>
      <c r="E943" s="51">
        <v>7</v>
      </c>
      <c r="F943" s="4" t="s">
        <v>90</v>
      </c>
      <c r="G943" s="4" t="s">
        <v>141</v>
      </c>
      <c r="H943" s="48">
        <f>IF(G943&gt;0,VLOOKUP(G943,Apoio!$A$2:$B$25,2,0),"")</f>
        <v>7</v>
      </c>
      <c r="I943" s="44">
        <f t="shared" si="124"/>
        <v>30.625</v>
      </c>
      <c r="J943" s="98">
        <v>8</v>
      </c>
      <c r="K943" s="406">
        <f t="shared" si="125"/>
        <v>22.625</v>
      </c>
      <c r="L943" s="103"/>
      <c r="M943" s="103"/>
      <c r="N943" s="10"/>
    </row>
    <row r="944" spans="1:14" x14ac:dyDescent="0.3">
      <c r="A944" s="4" t="s">
        <v>49</v>
      </c>
      <c r="B944" s="4" t="s">
        <v>51</v>
      </c>
      <c r="C944" s="51">
        <v>4</v>
      </c>
      <c r="D944" s="51">
        <v>6.4</v>
      </c>
      <c r="E944" s="51">
        <v>7</v>
      </c>
      <c r="F944" s="4" t="s">
        <v>90</v>
      </c>
      <c r="G944" s="4" t="s">
        <v>144</v>
      </c>
      <c r="H944" s="48">
        <f>IF(G944&gt;0,VLOOKUP(G944,Apoio!$A$2:$B$25,2,0),"")</f>
        <v>7</v>
      </c>
      <c r="I944" s="44">
        <f t="shared" si="124"/>
        <v>30.625</v>
      </c>
      <c r="J944" s="98">
        <v>8</v>
      </c>
      <c r="K944" s="406">
        <f t="shared" si="125"/>
        <v>22.625</v>
      </c>
      <c r="L944" s="103"/>
      <c r="M944" s="103"/>
      <c r="N944" s="10"/>
    </row>
    <row r="945" spans="1:14" x14ac:dyDescent="0.3">
      <c r="A945" s="4" t="s">
        <v>49</v>
      </c>
      <c r="B945" s="4" t="s">
        <v>51</v>
      </c>
      <c r="C945" s="51">
        <v>4</v>
      </c>
      <c r="D945" s="51">
        <v>6.4</v>
      </c>
      <c r="E945" s="51">
        <v>7</v>
      </c>
      <c r="F945" s="4" t="s">
        <v>90</v>
      </c>
      <c r="G945" s="4" t="s">
        <v>147</v>
      </c>
      <c r="H945" s="48">
        <f>IF(G945&gt;0,VLOOKUP(G945,Apoio!$A$2:$B$25,2,0),"")</f>
        <v>7</v>
      </c>
      <c r="I945" s="44">
        <f t="shared" si="124"/>
        <v>30.625</v>
      </c>
      <c r="J945" s="98">
        <v>8</v>
      </c>
      <c r="K945" s="406">
        <f t="shared" si="125"/>
        <v>22.625</v>
      </c>
      <c r="L945" s="103"/>
      <c r="M945" s="103"/>
      <c r="N945" s="10"/>
    </row>
    <row r="946" spans="1:14" x14ac:dyDescent="0.3">
      <c r="A946" s="4" t="s">
        <v>49</v>
      </c>
      <c r="B946" s="4" t="s">
        <v>51</v>
      </c>
      <c r="C946" s="51">
        <v>4</v>
      </c>
      <c r="D946" s="51">
        <v>6.4</v>
      </c>
      <c r="E946" s="51">
        <v>7</v>
      </c>
      <c r="F946" s="4" t="s">
        <v>90</v>
      </c>
      <c r="G946" s="4" t="s">
        <v>150</v>
      </c>
      <c r="H946" s="48">
        <f>IF(G946&gt;0,VLOOKUP(G946,Apoio!$A$2:$B$25,2,0),"")</f>
        <v>8</v>
      </c>
      <c r="I946" s="44">
        <f t="shared" si="124"/>
        <v>35</v>
      </c>
      <c r="J946" s="98">
        <v>8</v>
      </c>
      <c r="K946" s="406">
        <f t="shared" si="125"/>
        <v>27</v>
      </c>
      <c r="L946" s="103"/>
      <c r="M946" s="103"/>
      <c r="N946" s="10"/>
    </row>
    <row r="947" spans="1:14" x14ac:dyDescent="0.3">
      <c r="A947" s="4" t="s">
        <v>49</v>
      </c>
      <c r="B947" s="4" t="s">
        <v>51</v>
      </c>
      <c r="C947" s="51">
        <v>4</v>
      </c>
      <c r="D947" s="51">
        <v>6.4</v>
      </c>
      <c r="E947" s="51">
        <v>7</v>
      </c>
      <c r="F947" s="4" t="s">
        <v>90</v>
      </c>
      <c r="G947" s="4" t="s">
        <v>150</v>
      </c>
      <c r="H947" s="48">
        <f>IF(G947&gt;0,VLOOKUP(G947,Apoio!$A$2:$B$25,2,0),"")</f>
        <v>8</v>
      </c>
      <c r="I947" s="44">
        <f>IF(D947&gt;0,(((H947*E947)*C947)/D947),"")</f>
        <v>35</v>
      </c>
      <c r="J947" s="98">
        <v>8</v>
      </c>
      <c r="K947" s="406">
        <f t="shared" si="125"/>
        <v>27</v>
      </c>
      <c r="L947" s="103"/>
      <c r="M947" s="103"/>
      <c r="N947" s="10"/>
    </row>
    <row r="948" spans="1:14" x14ac:dyDescent="0.3">
      <c r="A948" s="4" t="s">
        <v>49</v>
      </c>
      <c r="B948" s="4" t="s">
        <v>51</v>
      </c>
      <c r="C948" s="51">
        <v>4</v>
      </c>
      <c r="D948" s="51">
        <v>6.4</v>
      </c>
      <c r="E948" s="51">
        <v>7</v>
      </c>
      <c r="F948" s="4" t="s">
        <v>90</v>
      </c>
      <c r="G948" s="4" t="s">
        <v>153</v>
      </c>
      <c r="H948" s="48">
        <f>IF(G948&gt;0,VLOOKUP(G948,Apoio!$A$2:$B$25,2,0),"")</f>
        <v>8</v>
      </c>
      <c r="I948" s="44">
        <f>IF(D948&gt;0,(((H948*E948)*C948)/D948),"")</f>
        <v>35</v>
      </c>
      <c r="J948" s="98">
        <v>8</v>
      </c>
      <c r="K948" s="406">
        <f t="shared" si="125"/>
        <v>27</v>
      </c>
      <c r="L948" s="103"/>
      <c r="M948" s="103"/>
      <c r="N948" s="10"/>
    </row>
    <row r="949" spans="1:14" x14ac:dyDescent="0.3">
      <c r="A949" s="118" t="s">
        <v>49</v>
      </c>
      <c r="B949" s="57" t="s">
        <v>56</v>
      </c>
      <c r="C949" s="4">
        <v>5</v>
      </c>
      <c r="D949" s="56">
        <v>6.8</v>
      </c>
      <c r="E949" s="4">
        <v>7</v>
      </c>
      <c r="F949" s="4" t="s">
        <v>69</v>
      </c>
      <c r="G949" s="4" t="s">
        <v>68</v>
      </c>
      <c r="H949" s="48">
        <f>IF(G949&gt;0,VLOOKUP(G949,Apoio!$A$2:$B$25,2,0),"")</f>
        <v>7</v>
      </c>
      <c r="I949" s="44">
        <f t="shared" si="124"/>
        <v>36.029411764705884</v>
      </c>
      <c r="J949" s="106"/>
      <c r="K949" s="103"/>
      <c r="L949" s="103"/>
      <c r="M949" s="103"/>
      <c r="N949" s="10"/>
    </row>
    <row r="950" spans="1:14" x14ac:dyDescent="0.3">
      <c r="A950" s="118" t="s">
        <v>49</v>
      </c>
      <c r="B950" s="57" t="s">
        <v>56</v>
      </c>
      <c r="C950" s="4">
        <v>5</v>
      </c>
      <c r="D950" s="56">
        <v>6.8</v>
      </c>
      <c r="E950" s="4">
        <v>7</v>
      </c>
      <c r="F950" s="4" t="s">
        <v>69</v>
      </c>
      <c r="G950" s="4" t="s">
        <v>75</v>
      </c>
      <c r="H950" s="48">
        <f>IF(G950&gt;0,VLOOKUP(G950,Apoio!$A$2:$B$25,2,0),"")</f>
        <v>8</v>
      </c>
      <c r="I950" s="44">
        <f t="shared" si="124"/>
        <v>41.176470588235297</v>
      </c>
      <c r="J950" s="106"/>
      <c r="K950" s="103"/>
      <c r="L950" s="103"/>
      <c r="M950" s="103"/>
      <c r="N950" s="10"/>
    </row>
    <row r="951" spans="1:14" x14ac:dyDescent="0.3">
      <c r="A951" s="118" t="s">
        <v>49</v>
      </c>
      <c r="B951" s="57" t="s">
        <v>56</v>
      </c>
      <c r="C951" s="4">
        <v>5</v>
      </c>
      <c r="D951" s="56">
        <v>6.8</v>
      </c>
      <c r="E951" s="4">
        <v>7</v>
      </c>
      <c r="F951" s="4" t="s">
        <v>69</v>
      </c>
      <c r="G951" s="4" t="s">
        <v>82</v>
      </c>
      <c r="H951" s="48">
        <f>IF(G951&gt;0,VLOOKUP(G951,Apoio!$A$2:$B$25,2,0),"")</f>
        <v>6</v>
      </c>
      <c r="I951" s="44">
        <f t="shared" si="124"/>
        <v>30.882352941176471</v>
      </c>
      <c r="J951" s="106"/>
      <c r="K951" s="103"/>
      <c r="L951" s="103"/>
      <c r="M951" s="103"/>
      <c r="N951" s="10"/>
    </row>
    <row r="952" spans="1:14" x14ac:dyDescent="0.3">
      <c r="A952" s="118" t="s">
        <v>49</v>
      </c>
      <c r="B952" s="57" t="s">
        <v>56</v>
      </c>
      <c r="C952" s="4">
        <v>5</v>
      </c>
      <c r="D952" s="56">
        <v>6.8</v>
      </c>
      <c r="E952" s="4">
        <v>7</v>
      </c>
      <c r="F952" s="4" t="s">
        <v>69</v>
      </c>
      <c r="G952" s="4" t="s">
        <v>89</v>
      </c>
      <c r="H952" s="48">
        <f>IF(G952&gt;0,VLOOKUP(G952,Apoio!$A$2:$B$25,2,0),"")</f>
        <v>8</v>
      </c>
      <c r="I952" s="44">
        <f t="shared" si="124"/>
        <v>41.176470588235297</v>
      </c>
      <c r="J952" s="106"/>
      <c r="K952" s="103"/>
      <c r="L952" s="103"/>
      <c r="M952" s="103"/>
      <c r="N952" s="10"/>
    </row>
    <row r="953" spans="1:14" x14ac:dyDescent="0.3">
      <c r="A953" s="118" t="s">
        <v>49</v>
      </c>
      <c r="B953" s="57" t="s">
        <v>56</v>
      </c>
      <c r="C953" s="4">
        <v>5</v>
      </c>
      <c r="D953" s="56">
        <v>6.8</v>
      </c>
      <c r="E953" s="4">
        <v>7</v>
      </c>
      <c r="F953" s="4" t="s">
        <v>69</v>
      </c>
      <c r="G953" s="4" t="s">
        <v>96</v>
      </c>
      <c r="H953" s="48">
        <f>IF(G953&gt;0,VLOOKUP(G953,Apoio!$A$2:$B$25,2,0),"")</f>
        <v>8</v>
      </c>
      <c r="I953" s="44">
        <f t="shared" si="124"/>
        <v>41.176470588235297</v>
      </c>
      <c r="J953" s="106"/>
      <c r="K953" s="103"/>
      <c r="L953" s="103"/>
      <c r="M953" s="103"/>
      <c r="N953" s="10"/>
    </row>
    <row r="954" spans="1:14" x14ac:dyDescent="0.3">
      <c r="A954" s="118" t="s">
        <v>49</v>
      </c>
      <c r="B954" s="57" t="s">
        <v>56</v>
      </c>
      <c r="C954" s="4">
        <v>5</v>
      </c>
      <c r="D954" s="56">
        <v>6.8</v>
      </c>
      <c r="E954" s="4">
        <v>7</v>
      </c>
      <c r="F954" s="4" t="s">
        <v>69</v>
      </c>
      <c r="G954" s="4" t="s">
        <v>99</v>
      </c>
      <c r="H954" s="48">
        <f>IF(G954&gt;0,VLOOKUP(G954,Apoio!$A$2:$B$25,2,0),"")</f>
        <v>2</v>
      </c>
      <c r="I954" s="44">
        <f t="shared" si="124"/>
        <v>10.294117647058824</v>
      </c>
      <c r="J954" s="106"/>
      <c r="K954" s="103"/>
      <c r="L954" s="103"/>
      <c r="M954" s="103"/>
      <c r="N954" s="10"/>
    </row>
    <row r="955" spans="1:14" x14ac:dyDescent="0.3">
      <c r="A955" s="118" t="s">
        <v>49</v>
      </c>
      <c r="B955" s="57" t="s">
        <v>56</v>
      </c>
      <c r="C955" s="4">
        <v>5</v>
      </c>
      <c r="D955" s="56">
        <v>6.8</v>
      </c>
      <c r="E955" s="4">
        <v>7</v>
      </c>
      <c r="F955" s="4" t="s">
        <v>76</v>
      </c>
      <c r="G955" s="4" t="s">
        <v>102</v>
      </c>
      <c r="H955" s="48">
        <f>IF(G955&gt;0,VLOOKUP(G955,Apoio!$A$2:$B$25,2,0),"")</f>
        <v>5</v>
      </c>
      <c r="I955" s="44">
        <f t="shared" si="124"/>
        <v>25.735294117647058</v>
      </c>
      <c r="J955" s="106"/>
      <c r="K955" s="103"/>
      <c r="L955" s="103"/>
      <c r="M955" s="103"/>
      <c r="N955" s="10"/>
    </row>
    <row r="956" spans="1:14" x14ac:dyDescent="0.3">
      <c r="A956" s="118" t="s">
        <v>49</v>
      </c>
      <c r="B956" s="57" t="s">
        <v>56</v>
      </c>
      <c r="C956" s="4">
        <v>5</v>
      </c>
      <c r="D956" s="56">
        <v>6.8</v>
      </c>
      <c r="E956" s="4">
        <v>7</v>
      </c>
      <c r="F956" s="4" t="s">
        <v>76</v>
      </c>
      <c r="G956" s="4" t="s">
        <v>105</v>
      </c>
      <c r="H956" s="48">
        <f>IF(G956&gt;0,VLOOKUP(G956,Apoio!$A$2:$B$25,2,0),"")</f>
        <v>7</v>
      </c>
      <c r="I956" s="44">
        <f t="shared" si="124"/>
        <v>36.029411764705884</v>
      </c>
      <c r="J956" s="106"/>
      <c r="K956" s="103"/>
      <c r="L956" s="103"/>
      <c r="M956" s="103"/>
      <c r="N956" s="10"/>
    </row>
    <row r="957" spans="1:14" x14ac:dyDescent="0.3">
      <c r="A957" s="118" t="s">
        <v>49</v>
      </c>
      <c r="B957" s="57" t="s">
        <v>56</v>
      </c>
      <c r="C957" s="4">
        <v>5</v>
      </c>
      <c r="D957" s="56">
        <v>6.8</v>
      </c>
      <c r="E957" s="4">
        <v>7</v>
      </c>
      <c r="F957" s="4" t="s">
        <v>76</v>
      </c>
      <c r="G957" s="4" t="s">
        <v>108</v>
      </c>
      <c r="H957" s="48">
        <f>IF(G957&gt;0,VLOOKUP(G957,Apoio!$A$2:$B$25,2,0),"")</f>
        <v>8</v>
      </c>
      <c r="I957" s="44">
        <f t="shared" si="124"/>
        <v>41.176470588235297</v>
      </c>
      <c r="J957" s="106"/>
      <c r="K957" s="103"/>
      <c r="L957" s="103"/>
      <c r="M957" s="103"/>
      <c r="N957" s="10"/>
    </row>
    <row r="958" spans="1:14" x14ac:dyDescent="0.3">
      <c r="A958" s="118" t="s">
        <v>49</v>
      </c>
      <c r="B958" s="57" t="s">
        <v>56</v>
      </c>
      <c r="C958" s="4">
        <v>5</v>
      </c>
      <c r="D958" s="56">
        <v>6.8</v>
      </c>
      <c r="E958" s="4">
        <v>7</v>
      </c>
      <c r="F958" s="4" t="s">
        <v>76</v>
      </c>
      <c r="G958" s="4" t="s">
        <v>111</v>
      </c>
      <c r="H958" s="48">
        <f>IF(G958&gt;0,VLOOKUP(G958,Apoio!$A$2:$B$25,2,0),"")</f>
        <v>7</v>
      </c>
      <c r="I958" s="44">
        <f t="shared" si="124"/>
        <v>36.029411764705884</v>
      </c>
      <c r="J958" s="106"/>
      <c r="K958" s="103"/>
      <c r="L958" s="103"/>
      <c r="M958" s="103"/>
      <c r="N958" s="10"/>
    </row>
    <row r="959" spans="1:14" x14ac:dyDescent="0.3">
      <c r="A959" s="118" t="s">
        <v>49</v>
      </c>
      <c r="B959" s="57" t="s">
        <v>56</v>
      </c>
      <c r="C959" s="4">
        <v>5</v>
      </c>
      <c r="D959" s="56">
        <v>6.8</v>
      </c>
      <c r="E959" s="4">
        <v>7</v>
      </c>
      <c r="F959" s="4" t="s">
        <v>76</v>
      </c>
      <c r="G959" s="4" t="s">
        <v>114</v>
      </c>
      <c r="H959" s="48">
        <f>IF(G959&gt;0,VLOOKUP(G959,Apoio!$A$2:$B$25,2,0),"")</f>
        <v>8</v>
      </c>
      <c r="I959" s="44">
        <f t="shared" si="124"/>
        <v>41.176470588235297</v>
      </c>
      <c r="J959" s="106"/>
      <c r="K959" s="103"/>
      <c r="L959" s="103"/>
      <c r="M959" s="103"/>
      <c r="N959" s="10"/>
    </row>
    <row r="960" spans="1:14" x14ac:dyDescent="0.3">
      <c r="A960" s="118" t="s">
        <v>49</v>
      </c>
      <c r="B960" s="57" t="s">
        <v>56</v>
      </c>
      <c r="C960" s="4">
        <v>5</v>
      </c>
      <c r="D960" s="56">
        <v>6.8</v>
      </c>
      <c r="E960" s="4">
        <v>7</v>
      </c>
      <c r="F960" s="4" t="s">
        <v>76</v>
      </c>
      <c r="G960" s="4" t="s">
        <v>117</v>
      </c>
      <c r="H960" s="48">
        <f>IF(G960&gt;0,VLOOKUP(G960,Apoio!$A$2:$B$25,2,0),"")</f>
        <v>3</v>
      </c>
      <c r="I960" s="44">
        <f t="shared" si="124"/>
        <v>15.441176470588236</v>
      </c>
      <c r="J960" s="106"/>
      <c r="K960" s="103"/>
      <c r="L960" s="103"/>
      <c r="M960" s="103"/>
      <c r="N960" s="10"/>
    </row>
    <row r="961" spans="1:14" x14ac:dyDescent="0.3">
      <c r="A961" s="118" t="s">
        <v>49</v>
      </c>
      <c r="B961" s="57" t="s">
        <v>56</v>
      </c>
      <c r="C961" s="4">
        <v>5</v>
      </c>
      <c r="D961" s="56">
        <v>6.8</v>
      </c>
      <c r="E961" s="4">
        <v>7</v>
      </c>
      <c r="F961" s="4" t="s">
        <v>83</v>
      </c>
      <c r="G961" s="4" t="s">
        <v>120</v>
      </c>
      <c r="H961" s="48">
        <f>IF(G961&gt;0,VLOOKUP(G961,Apoio!$A$2:$B$25,2,0),"")</f>
        <v>7</v>
      </c>
      <c r="I961" s="44">
        <f t="shared" si="124"/>
        <v>36.029411764705884</v>
      </c>
      <c r="J961" s="106"/>
      <c r="K961" s="103"/>
      <c r="L961" s="103"/>
      <c r="M961" s="103"/>
      <c r="N961" s="10"/>
    </row>
    <row r="962" spans="1:14" x14ac:dyDescent="0.3">
      <c r="A962" s="118" t="s">
        <v>49</v>
      </c>
      <c r="B962" s="57" t="s">
        <v>56</v>
      </c>
      <c r="C962" s="4">
        <v>5</v>
      </c>
      <c r="D962" s="56">
        <v>6.8</v>
      </c>
      <c r="E962" s="4">
        <v>7</v>
      </c>
      <c r="F962" s="4" t="s">
        <v>83</v>
      </c>
      <c r="G962" s="4" t="s">
        <v>123</v>
      </c>
      <c r="H962" s="48">
        <f>IF(G962&gt;0,VLOOKUP(G962,Apoio!$A$2:$B$25,2,0),"")</f>
        <v>8</v>
      </c>
      <c r="I962" s="44">
        <f t="shared" si="124"/>
        <v>41.176470588235297</v>
      </c>
      <c r="J962" s="106"/>
      <c r="K962" s="103"/>
      <c r="L962" s="103"/>
      <c r="M962" s="103"/>
      <c r="N962" s="10"/>
    </row>
    <row r="963" spans="1:14" x14ac:dyDescent="0.3">
      <c r="A963" s="118" t="s">
        <v>49</v>
      </c>
      <c r="B963" s="57" t="s">
        <v>56</v>
      </c>
      <c r="C963" s="4">
        <v>5</v>
      </c>
      <c r="D963" s="56">
        <v>6.8</v>
      </c>
      <c r="E963" s="4">
        <v>7</v>
      </c>
      <c r="F963" s="4" t="s">
        <v>83</v>
      </c>
      <c r="G963" s="4" t="s">
        <v>126</v>
      </c>
      <c r="H963" s="48">
        <f>IF(G963&gt;0,VLOOKUP(G963,Apoio!$A$2:$B$25,2,0),"")</f>
        <v>8</v>
      </c>
      <c r="I963" s="44">
        <f t="shared" si="124"/>
        <v>41.176470588235297</v>
      </c>
      <c r="J963" s="106"/>
      <c r="K963" s="103"/>
      <c r="L963" s="103"/>
      <c r="M963" s="103"/>
      <c r="N963" s="10"/>
    </row>
    <row r="964" spans="1:14" x14ac:dyDescent="0.3">
      <c r="A964" s="118" t="s">
        <v>49</v>
      </c>
      <c r="B964" s="57" t="s">
        <v>56</v>
      </c>
      <c r="C964" s="4">
        <v>5</v>
      </c>
      <c r="D964" s="56">
        <v>6.8</v>
      </c>
      <c r="E964" s="4">
        <v>7</v>
      </c>
      <c r="F964" s="4" t="s">
        <v>83</v>
      </c>
      <c r="G964" s="4" t="s">
        <v>129</v>
      </c>
      <c r="H964" s="48">
        <f>IF(G964&gt;0,VLOOKUP(G964,Apoio!$A$2:$B$25,2,0),"")</f>
        <v>8</v>
      </c>
      <c r="I964" s="44">
        <f t="shared" si="124"/>
        <v>41.176470588235297</v>
      </c>
      <c r="J964" s="106"/>
      <c r="K964" s="103"/>
      <c r="L964" s="103"/>
      <c r="M964" s="103"/>
      <c r="N964" s="10"/>
    </row>
    <row r="965" spans="1:14" x14ac:dyDescent="0.3">
      <c r="A965" s="118" t="s">
        <v>49</v>
      </c>
      <c r="B965" s="57" t="s">
        <v>56</v>
      </c>
      <c r="C965" s="4">
        <v>5</v>
      </c>
      <c r="D965" s="56">
        <v>6.8</v>
      </c>
      <c r="E965" s="4">
        <v>7</v>
      </c>
      <c r="F965" s="4" t="s">
        <v>83</v>
      </c>
      <c r="G965" s="4" t="s">
        <v>132</v>
      </c>
      <c r="H965" s="48">
        <f>IF(G965&gt;0,VLOOKUP(G965,Apoio!$A$2:$B$25,2,0),"")</f>
        <v>7</v>
      </c>
      <c r="I965" s="44">
        <f t="shared" si="124"/>
        <v>36.029411764705884</v>
      </c>
      <c r="J965" s="106"/>
      <c r="K965" s="103"/>
      <c r="L965" s="103"/>
      <c r="M965" s="103"/>
      <c r="N965" s="10"/>
    </row>
    <row r="966" spans="1:14" x14ac:dyDescent="0.3">
      <c r="A966" s="118" t="s">
        <v>49</v>
      </c>
      <c r="B966" s="57" t="s">
        <v>56</v>
      </c>
      <c r="C966" s="4">
        <v>5</v>
      </c>
      <c r="D966" s="56">
        <v>6.8</v>
      </c>
      <c r="E966" s="4">
        <v>7</v>
      </c>
      <c r="F966" s="4" t="s">
        <v>83</v>
      </c>
      <c r="G966" s="4" t="s">
        <v>135</v>
      </c>
      <c r="H966" s="48">
        <f>IF(G966&gt;0,VLOOKUP(G966,Apoio!$A$2:$B$25,2,0),"")</f>
        <v>3</v>
      </c>
      <c r="I966" s="44">
        <f t="shared" si="124"/>
        <v>15.441176470588236</v>
      </c>
      <c r="J966" s="106"/>
      <c r="K966" s="103"/>
      <c r="L966" s="103"/>
      <c r="M966" s="103"/>
      <c r="N966" s="10"/>
    </row>
    <row r="967" spans="1:14" x14ac:dyDescent="0.3">
      <c r="A967" s="118" t="s">
        <v>49</v>
      </c>
      <c r="B967" s="57" t="s">
        <v>56</v>
      </c>
      <c r="C967" s="51">
        <v>5</v>
      </c>
      <c r="D967" s="51">
        <v>6.8</v>
      </c>
      <c r="E967" s="51">
        <v>7</v>
      </c>
      <c r="F967" s="4" t="s">
        <v>90</v>
      </c>
      <c r="G967" s="4" t="s">
        <v>138</v>
      </c>
      <c r="H967" s="48">
        <f>IF(G967&gt;0,VLOOKUP(G967,Apoio!$A$2:$B$25,2,0),"")</f>
        <v>8</v>
      </c>
      <c r="I967" s="44">
        <f t="shared" si="124"/>
        <v>41.176470588235297</v>
      </c>
      <c r="J967" s="98">
        <v>8</v>
      </c>
      <c r="K967" s="406">
        <f t="shared" ref="K967:K973" si="126">I967-J967</f>
        <v>33.176470588235297</v>
      </c>
      <c r="L967" s="103"/>
      <c r="M967" s="103"/>
      <c r="N967" s="10"/>
    </row>
    <row r="968" spans="1:14" x14ac:dyDescent="0.3">
      <c r="A968" s="118" t="s">
        <v>49</v>
      </c>
      <c r="B968" s="57" t="s">
        <v>56</v>
      </c>
      <c r="C968" s="51">
        <v>5</v>
      </c>
      <c r="D968" s="51">
        <v>6.8</v>
      </c>
      <c r="E968" s="51">
        <v>7</v>
      </c>
      <c r="F968" s="4" t="s">
        <v>90</v>
      </c>
      <c r="G968" s="4" t="s">
        <v>141</v>
      </c>
      <c r="H968" s="48">
        <f>IF(G968&gt;0,VLOOKUP(G968,Apoio!$A$2:$B$25,2,0),"")</f>
        <v>7</v>
      </c>
      <c r="I968" s="44">
        <f t="shared" si="124"/>
        <v>36.029411764705884</v>
      </c>
      <c r="J968" s="98">
        <v>8</v>
      </c>
      <c r="K968" s="406">
        <f t="shared" si="126"/>
        <v>28.029411764705884</v>
      </c>
      <c r="L968" s="103"/>
      <c r="M968" s="103"/>
      <c r="N968" s="10"/>
    </row>
    <row r="969" spans="1:14" x14ac:dyDescent="0.3">
      <c r="A969" s="118" t="s">
        <v>49</v>
      </c>
      <c r="B969" s="57" t="s">
        <v>56</v>
      </c>
      <c r="C969" s="51">
        <v>5</v>
      </c>
      <c r="D969" s="51">
        <v>6.8</v>
      </c>
      <c r="E969" s="51">
        <v>7</v>
      </c>
      <c r="F969" s="4" t="s">
        <v>90</v>
      </c>
      <c r="G969" s="4" t="s">
        <v>144</v>
      </c>
      <c r="H969" s="48">
        <f>IF(G969&gt;0,VLOOKUP(G969,Apoio!$A$2:$B$25,2,0),"")</f>
        <v>7</v>
      </c>
      <c r="I969" s="44">
        <f t="shared" si="124"/>
        <v>36.029411764705884</v>
      </c>
      <c r="J969" s="98">
        <v>8</v>
      </c>
      <c r="K969" s="406">
        <f t="shared" si="126"/>
        <v>28.029411764705884</v>
      </c>
      <c r="L969" s="103"/>
      <c r="M969" s="103"/>
      <c r="N969" s="10"/>
    </row>
    <row r="970" spans="1:14" x14ac:dyDescent="0.3">
      <c r="A970" s="118" t="s">
        <v>49</v>
      </c>
      <c r="B970" s="57" t="s">
        <v>56</v>
      </c>
      <c r="C970" s="51">
        <v>5</v>
      </c>
      <c r="D970" s="51">
        <v>6.8</v>
      </c>
      <c r="E970" s="51">
        <v>7</v>
      </c>
      <c r="F970" s="4" t="s">
        <v>90</v>
      </c>
      <c r="G970" s="4" t="s">
        <v>147</v>
      </c>
      <c r="H970" s="48">
        <f>IF(G970&gt;0,VLOOKUP(G970,Apoio!$A$2:$B$25,2,0),"")</f>
        <v>7</v>
      </c>
      <c r="I970" s="44">
        <f t="shared" si="124"/>
        <v>36.029411764705884</v>
      </c>
      <c r="J970" s="98">
        <v>8</v>
      </c>
      <c r="K970" s="406">
        <f t="shared" si="126"/>
        <v>28.029411764705884</v>
      </c>
      <c r="L970" s="103"/>
      <c r="M970" s="103"/>
      <c r="N970" s="10"/>
    </row>
    <row r="971" spans="1:14" x14ac:dyDescent="0.3">
      <c r="A971" s="118" t="s">
        <v>49</v>
      </c>
      <c r="B971" s="57" t="s">
        <v>56</v>
      </c>
      <c r="C971" s="51">
        <v>5</v>
      </c>
      <c r="D971" s="51">
        <v>6.8</v>
      </c>
      <c r="E971" s="51">
        <v>7</v>
      </c>
      <c r="F971" s="4" t="s">
        <v>90</v>
      </c>
      <c r="G971" s="4" t="s">
        <v>150</v>
      </c>
      <c r="H971" s="48">
        <f>IF(G971&gt;0,VLOOKUP(G971,Apoio!$A$2:$B$25,2,0),"")</f>
        <v>8</v>
      </c>
      <c r="I971" s="44">
        <f t="shared" si="124"/>
        <v>41.176470588235297</v>
      </c>
      <c r="J971" s="98">
        <v>8</v>
      </c>
      <c r="K971" s="406">
        <f t="shared" si="126"/>
        <v>33.176470588235297</v>
      </c>
      <c r="L971" s="103"/>
      <c r="M971" s="103"/>
      <c r="N971" s="10"/>
    </row>
    <row r="972" spans="1:14" x14ac:dyDescent="0.3">
      <c r="A972" s="118" t="s">
        <v>49</v>
      </c>
      <c r="B972" s="57" t="s">
        <v>56</v>
      </c>
      <c r="C972" s="51">
        <v>5</v>
      </c>
      <c r="D972" s="51">
        <v>6.8</v>
      </c>
      <c r="E972" s="51">
        <v>7</v>
      </c>
      <c r="F972" s="4" t="s">
        <v>90</v>
      </c>
      <c r="G972" s="4" t="s">
        <v>150</v>
      </c>
      <c r="H972" s="48">
        <f>IF(G972&gt;0,VLOOKUP(G972,Apoio!$A$2:$B$25,2,0),"")</f>
        <v>8</v>
      </c>
      <c r="I972" s="44">
        <f>IF(D972&gt;0,(((H972*E972)*C972)/D972),"")</f>
        <v>41.176470588235297</v>
      </c>
      <c r="J972" s="98">
        <v>8</v>
      </c>
      <c r="K972" s="406">
        <f t="shared" si="126"/>
        <v>33.176470588235297</v>
      </c>
      <c r="L972" s="103"/>
      <c r="M972" s="103"/>
      <c r="N972" s="10"/>
    </row>
    <row r="973" spans="1:14" x14ac:dyDescent="0.3">
      <c r="A973" s="118" t="s">
        <v>49</v>
      </c>
      <c r="B973" s="57" t="s">
        <v>56</v>
      </c>
      <c r="C973" s="51">
        <v>5</v>
      </c>
      <c r="D973" s="51">
        <v>6.8</v>
      </c>
      <c r="E973" s="51">
        <v>7</v>
      </c>
      <c r="F973" s="4" t="s">
        <v>90</v>
      </c>
      <c r="G973" s="4" t="s">
        <v>153</v>
      </c>
      <c r="H973" s="48">
        <f>IF(G973&gt;0,VLOOKUP(G973,Apoio!$A$2:$B$25,2,0),"")</f>
        <v>8</v>
      </c>
      <c r="I973" s="44">
        <f>IF(D973&gt;0,(((H973*E973)*C973)/D973),"")</f>
        <v>41.176470588235297</v>
      </c>
      <c r="J973" s="98">
        <v>8</v>
      </c>
      <c r="K973" s="406">
        <f t="shared" si="126"/>
        <v>33.176470588235297</v>
      </c>
      <c r="L973" s="103"/>
      <c r="M973" s="103"/>
      <c r="N973" s="10"/>
    </row>
    <row r="974" spans="1:14" x14ac:dyDescent="0.3">
      <c r="A974" s="4" t="s">
        <v>49</v>
      </c>
      <c r="B974" s="57" t="s">
        <v>52</v>
      </c>
      <c r="C974" s="4">
        <v>4</v>
      </c>
      <c r="D974" s="56">
        <v>7</v>
      </c>
      <c r="E974" s="4">
        <v>7</v>
      </c>
      <c r="F974" s="4" t="s">
        <v>69</v>
      </c>
      <c r="G974" s="4" t="s">
        <v>68</v>
      </c>
      <c r="H974" s="48">
        <f>IF(G974&gt;0,VLOOKUP(G974,Apoio!$A$2:$B$25,2,0),"")</f>
        <v>7</v>
      </c>
      <c r="I974" s="44">
        <f t="shared" si="124"/>
        <v>28</v>
      </c>
      <c r="J974" s="106"/>
      <c r="K974" s="103"/>
      <c r="L974" s="103"/>
      <c r="M974" s="103"/>
      <c r="N974" s="10"/>
    </row>
    <row r="975" spans="1:14" x14ac:dyDescent="0.3">
      <c r="A975" s="4" t="s">
        <v>49</v>
      </c>
      <c r="B975" s="57" t="s">
        <v>52</v>
      </c>
      <c r="C975" s="4">
        <v>4</v>
      </c>
      <c r="D975" s="56">
        <v>7</v>
      </c>
      <c r="E975" s="4">
        <v>7</v>
      </c>
      <c r="F975" s="4" t="s">
        <v>69</v>
      </c>
      <c r="G975" s="4" t="s">
        <v>75</v>
      </c>
      <c r="H975" s="48">
        <f>IF(G975&gt;0,VLOOKUP(G975,Apoio!$A$2:$B$25,2,0),"")</f>
        <v>8</v>
      </c>
      <c r="I975" s="44">
        <f t="shared" si="124"/>
        <v>32</v>
      </c>
      <c r="J975" s="106"/>
      <c r="K975" s="103"/>
      <c r="L975" s="103"/>
      <c r="M975" s="103"/>
      <c r="N975" s="10"/>
    </row>
    <row r="976" spans="1:14" x14ac:dyDescent="0.3">
      <c r="A976" s="4" t="s">
        <v>49</v>
      </c>
      <c r="B976" s="57" t="s">
        <v>52</v>
      </c>
      <c r="C976" s="4">
        <v>4</v>
      </c>
      <c r="D976" s="56">
        <v>7</v>
      </c>
      <c r="E976" s="4">
        <v>7</v>
      </c>
      <c r="F976" s="4" t="s">
        <v>69</v>
      </c>
      <c r="G976" s="4" t="s">
        <v>82</v>
      </c>
      <c r="H976" s="48">
        <f>IF(G976&gt;0,VLOOKUP(G976,Apoio!$A$2:$B$25,2,0),"")</f>
        <v>6</v>
      </c>
      <c r="I976" s="44">
        <f t="shared" si="124"/>
        <v>24</v>
      </c>
      <c r="J976" s="106"/>
      <c r="K976" s="103"/>
      <c r="L976" s="103"/>
      <c r="M976" s="103"/>
      <c r="N976" s="10"/>
    </row>
    <row r="977" spans="1:14" x14ac:dyDescent="0.3">
      <c r="A977" s="4" t="s">
        <v>49</v>
      </c>
      <c r="B977" s="57" t="s">
        <v>52</v>
      </c>
      <c r="C977" s="4">
        <v>4</v>
      </c>
      <c r="D977" s="56">
        <v>7</v>
      </c>
      <c r="E977" s="4">
        <v>7</v>
      </c>
      <c r="F977" s="4" t="s">
        <v>69</v>
      </c>
      <c r="G977" s="4" t="s">
        <v>89</v>
      </c>
      <c r="H977" s="48">
        <f>IF(G977&gt;0,VLOOKUP(G977,Apoio!$A$2:$B$25,2,0),"")</f>
        <v>8</v>
      </c>
      <c r="I977" s="44">
        <f t="shared" si="124"/>
        <v>32</v>
      </c>
      <c r="J977" s="106"/>
      <c r="K977" s="103"/>
      <c r="L977" s="103"/>
      <c r="M977" s="103"/>
      <c r="N977" s="10"/>
    </row>
    <row r="978" spans="1:14" x14ac:dyDescent="0.3">
      <c r="A978" s="4" t="s">
        <v>49</v>
      </c>
      <c r="B978" s="57" t="s">
        <v>52</v>
      </c>
      <c r="C978" s="4">
        <v>4</v>
      </c>
      <c r="D978" s="56">
        <v>7</v>
      </c>
      <c r="E978" s="4">
        <v>7</v>
      </c>
      <c r="F978" s="4" t="s">
        <v>69</v>
      </c>
      <c r="G978" s="4" t="s">
        <v>96</v>
      </c>
      <c r="H978" s="48">
        <f>IF(G978&gt;0,VLOOKUP(G978,Apoio!$A$2:$B$25,2,0),"")</f>
        <v>8</v>
      </c>
      <c r="I978" s="44">
        <f t="shared" si="124"/>
        <v>32</v>
      </c>
      <c r="J978" s="106"/>
      <c r="K978" s="103"/>
      <c r="L978" s="103"/>
      <c r="M978" s="103"/>
      <c r="N978" s="10"/>
    </row>
    <row r="979" spans="1:14" x14ac:dyDescent="0.3">
      <c r="A979" s="4" t="s">
        <v>49</v>
      </c>
      <c r="B979" s="57" t="s">
        <v>52</v>
      </c>
      <c r="C979" s="4">
        <v>4</v>
      </c>
      <c r="D979" s="56">
        <v>7</v>
      </c>
      <c r="E979" s="4">
        <v>7</v>
      </c>
      <c r="F979" s="4" t="s">
        <v>69</v>
      </c>
      <c r="G979" s="4" t="s">
        <v>99</v>
      </c>
      <c r="H979" s="48">
        <f>IF(G979&gt;0,VLOOKUP(G979,Apoio!$A$2:$B$25,2,0),"")</f>
        <v>2</v>
      </c>
      <c r="I979" s="44">
        <f t="shared" si="124"/>
        <v>8</v>
      </c>
      <c r="J979" s="106"/>
      <c r="K979" s="103"/>
      <c r="L979" s="103"/>
      <c r="M979" s="103"/>
      <c r="N979" s="10"/>
    </row>
    <row r="980" spans="1:14" x14ac:dyDescent="0.3">
      <c r="A980" s="4" t="s">
        <v>49</v>
      </c>
      <c r="B980" s="57" t="s">
        <v>52</v>
      </c>
      <c r="C980" s="4">
        <v>4</v>
      </c>
      <c r="D980" s="56">
        <v>7</v>
      </c>
      <c r="E980" s="4">
        <v>7</v>
      </c>
      <c r="F980" s="4" t="s">
        <v>76</v>
      </c>
      <c r="G980" s="4" t="s">
        <v>102</v>
      </c>
      <c r="H980" s="48">
        <f>IF(G980&gt;0,VLOOKUP(G980,Apoio!$A$2:$B$25,2,0),"")</f>
        <v>5</v>
      </c>
      <c r="I980" s="44">
        <f t="shared" ref="I980:I998" si="127">IF(D980&gt;0,(((H980*E980)*C980)/D980),"")</f>
        <v>20</v>
      </c>
      <c r="J980" s="106"/>
      <c r="K980" s="103"/>
      <c r="L980" s="103"/>
      <c r="M980" s="103"/>
      <c r="N980" s="10"/>
    </row>
    <row r="981" spans="1:14" x14ac:dyDescent="0.3">
      <c r="A981" s="4" t="s">
        <v>49</v>
      </c>
      <c r="B981" s="57" t="s">
        <v>52</v>
      </c>
      <c r="C981" s="4">
        <v>4</v>
      </c>
      <c r="D981" s="56">
        <v>7</v>
      </c>
      <c r="E981" s="4">
        <v>7</v>
      </c>
      <c r="F981" s="4" t="s">
        <v>76</v>
      </c>
      <c r="G981" s="4" t="s">
        <v>105</v>
      </c>
      <c r="H981" s="48">
        <f>IF(G981&gt;0,VLOOKUP(G981,Apoio!$A$2:$B$25,2,0),"")</f>
        <v>7</v>
      </c>
      <c r="I981" s="44">
        <f t="shared" si="127"/>
        <v>28</v>
      </c>
      <c r="J981" s="106"/>
      <c r="K981" s="103"/>
      <c r="L981" s="103"/>
      <c r="M981" s="103"/>
      <c r="N981" s="10"/>
    </row>
    <row r="982" spans="1:14" x14ac:dyDescent="0.3">
      <c r="A982" s="4" t="s">
        <v>49</v>
      </c>
      <c r="B982" s="57" t="s">
        <v>52</v>
      </c>
      <c r="C982" s="4">
        <v>4</v>
      </c>
      <c r="D982" s="56">
        <v>7</v>
      </c>
      <c r="E982" s="4">
        <v>7</v>
      </c>
      <c r="F982" s="4" t="s">
        <v>76</v>
      </c>
      <c r="G982" s="4" t="s">
        <v>108</v>
      </c>
      <c r="H982" s="48">
        <f>IF(G982&gt;0,VLOOKUP(G982,Apoio!$A$2:$B$25,2,0),"")</f>
        <v>8</v>
      </c>
      <c r="I982" s="44">
        <f t="shared" si="127"/>
        <v>32</v>
      </c>
      <c r="J982" s="106"/>
      <c r="K982" s="103"/>
      <c r="L982" s="103"/>
      <c r="M982" s="103"/>
      <c r="N982" s="10"/>
    </row>
    <row r="983" spans="1:14" x14ac:dyDescent="0.3">
      <c r="A983" s="4" t="s">
        <v>49</v>
      </c>
      <c r="B983" s="57" t="s">
        <v>52</v>
      </c>
      <c r="C983" s="4">
        <v>4</v>
      </c>
      <c r="D983" s="56">
        <v>7</v>
      </c>
      <c r="E983" s="4">
        <v>7</v>
      </c>
      <c r="F983" s="4" t="s">
        <v>76</v>
      </c>
      <c r="G983" s="4" t="s">
        <v>111</v>
      </c>
      <c r="H983" s="48">
        <f>IF(G983&gt;0,VLOOKUP(G983,Apoio!$A$2:$B$25,2,0),"")</f>
        <v>7</v>
      </c>
      <c r="I983" s="44">
        <f t="shared" si="127"/>
        <v>28</v>
      </c>
      <c r="J983" s="106"/>
      <c r="K983" s="103"/>
      <c r="L983" s="103"/>
      <c r="M983" s="103"/>
      <c r="N983" s="10"/>
    </row>
    <row r="984" spans="1:14" x14ac:dyDescent="0.3">
      <c r="A984" s="4" t="s">
        <v>49</v>
      </c>
      <c r="B984" s="57" t="s">
        <v>52</v>
      </c>
      <c r="C984" s="4">
        <v>4</v>
      </c>
      <c r="D984" s="56">
        <v>7</v>
      </c>
      <c r="E984" s="4">
        <v>7</v>
      </c>
      <c r="F984" s="4" t="s">
        <v>76</v>
      </c>
      <c r="G984" s="4" t="s">
        <v>114</v>
      </c>
      <c r="H984" s="48">
        <f>IF(G984&gt;0,VLOOKUP(G984,Apoio!$A$2:$B$25,2,0),"")</f>
        <v>8</v>
      </c>
      <c r="I984" s="44">
        <f t="shared" si="127"/>
        <v>32</v>
      </c>
      <c r="J984" s="106"/>
      <c r="K984" s="103"/>
      <c r="L984" s="103"/>
      <c r="M984" s="103"/>
      <c r="N984" s="10"/>
    </row>
    <row r="985" spans="1:14" x14ac:dyDescent="0.3">
      <c r="A985" s="4" t="s">
        <v>49</v>
      </c>
      <c r="B985" s="57" t="s">
        <v>52</v>
      </c>
      <c r="C985" s="4">
        <v>4</v>
      </c>
      <c r="D985" s="56">
        <v>7</v>
      </c>
      <c r="E985" s="4">
        <v>7</v>
      </c>
      <c r="F985" s="4" t="s">
        <v>76</v>
      </c>
      <c r="G985" s="4" t="s">
        <v>117</v>
      </c>
      <c r="H985" s="48">
        <f>IF(G985&gt;0,VLOOKUP(G985,Apoio!$A$2:$B$25,2,0),"")</f>
        <v>3</v>
      </c>
      <c r="I985" s="44">
        <f t="shared" si="127"/>
        <v>12</v>
      </c>
      <c r="J985" s="106"/>
      <c r="K985" s="103"/>
      <c r="L985" s="103"/>
      <c r="M985" s="103"/>
      <c r="N985" s="10"/>
    </row>
    <row r="986" spans="1:14" x14ac:dyDescent="0.3">
      <c r="A986" s="4" t="s">
        <v>49</v>
      </c>
      <c r="B986" s="57" t="s">
        <v>52</v>
      </c>
      <c r="C986" s="4">
        <v>4</v>
      </c>
      <c r="D986" s="56">
        <v>7</v>
      </c>
      <c r="E986" s="4">
        <v>7</v>
      </c>
      <c r="F986" s="4" t="s">
        <v>83</v>
      </c>
      <c r="G986" s="4" t="s">
        <v>120</v>
      </c>
      <c r="H986" s="48">
        <f>IF(G986&gt;0,VLOOKUP(G986,Apoio!$A$2:$B$25,2,0),"")</f>
        <v>7</v>
      </c>
      <c r="I986" s="44">
        <f t="shared" si="127"/>
        <v>28</v>
      </c>
      <c r="J986" s="106"/>
      <c r="K986" s="103"/>
      <c r="L986" s="103"/>
      <c r="M986" s="103"/>
      <c r="N986" s="10"/>
    </row>
    <row r="987" spans="1:14" x14ac:dyDescent="0.3">
      <c r="A987" s="4" t="s">
        <v>49</v>
      </c>
      <c r="B987" s="57" t="s">
        <v>52</v>
      </c>
      <c r="C987" s="4">
        <v>4</v>
      </c>
      <c r="D987" s="56">
        <v>7</v>
      </c>
      <c r="E987" s="4">
        <v>7</v>
      </c>
      <c r="F987" s="4" t="s">
        <v>83</v>
      </c>
      <c r="G987" s="4" t="s">
        <v>123</v>
      </c>
      <c r="H987" s="48">
        <f>IF(G987&gt;0,VLOOKUP(G987,Apoio!$A$2:$B$25,2,0),"")</f>
        <v>8</v>
      </c>
      <c r="I987" s="44">
        <f t="shared" si="127"/>
        <v>32</v>
      </c>
      <c r="J987" s="106"/>
      <c r="K987" s="103"/>
      <c r="L987" s="103"/>
      <c r="M987" s="103"/>
      <c r="N987" s="10"/>
    </row>
    <row r="988" spans="1:14" x14ac:dyDescent="0.3">
      <c r="A988" s="4" t="s">
        <v>49</v>
      </c>
      <c r="B988" s="57" t="s">
        <v>52</v>
      </c>
      <c r="C988" s="4">
        <v>4</v>
      </c>
      <c r="D988" s="56">
        <v>7</v>
      </c>
      <c r="E988" s="4">
        <v>7</v>
      </c>
      <c r="F988" s="4" t="s">
        <v>83</v>
      </c>
      <c r="G988" s="4" t="s">
        <v>126</v>
      </c>
      <c r="H988" s="48">
        <f>IF(G988&gt;0,VLOOKUP(G988,Apoio!$A$2:$B$25,2,0),"")</f>
        <v>8</v>
      </c>
      <c r="I988" s="44">
        <f t="shared" si="127"/>
        <v>32</v>
      </c>
      <c r="J988" s="106"/>
      <c r="K988" s="103"/>
      <c r="L988" s="103"/>
      <c r="M988" s="103"/>
      <c r="N988" s="10"/>
    </row>
    <row r="989" spans="1:14" x14ac:dyDescent="0.3">
      <c r="A989" s="4" t="s">
        <v>49</v>
      </c>
      <c r="B989" s="57" t="s">
        <v>52</v>
      </c>
      <c r="C989" s="4">
        <v>4</v>
      </c>
      <c r="D989" s="56">
        <v>7</v>
      </c>
      <c r="E989" s="4">
        <v>7</v>
      </c>
      <c r="F989" s="4" t="s">
        <v>83</v>
      </c>
      <c r="G989" s="4" t="s">
        <v>129</v>
      </c>
      <c r="H989" s="48">
        <f>IF(G989&gt;0,VLOOKUP(G989,Apoio!$A$2:$B$25,2,0),"")</f>
        <v>8</v>
      </c>
      <c r="I989" s="44">
        <f t="shared" si="127"/>
        <v>32</v>
      </c>
      <c r="J989" s="106"/>
      <c r="K989" s="103"/>
      <c r="L989" s="103"/>
      <c r="M989" s="103"/>
      <c r="N989" s="10"/>
    </row>
    <row r="990" spans="1:14" x14ac:dyDescent="0.3">
      <c r="A990" s="4" t="s">
        <v>49</v>
      </c>
      <c r="B990" s="57" t="s">
        <v>52</v>
      </c>
      <c r="C990" s="4">
        <v>4</v>
      </c>
      <c r="D990" s="56">
        <v>7</v>
      </c>
      <c r="E990" s="4">
        <v>7</v>
      </c>
      <c r="F990" s="4" t="s">
        <v>83</v>
      </c>
      <c r="G990" s="4" t="s">
        <v>132</v>
      </c>
      <c r="H990" s="48">
        <f>IF(G990&gt;0,VLOOKUP(G990,Apoio!$A$2:$B$25,2,0),"")</f>
        <v>7</v>
      </c>
      <c r="I990" s="44">
        <f t="shared" si="127"/>
        <v>28</v>
      </c>
      <c r="J990" s="106"/>
      <c r="K990" s="103"/>
      <c r="L990" s="103"/>
      <c r="M990" s="103"/>
      <c r="N990" s="10"/>
    </row>
    <row r="991" spans="1:14" x14ac:dyDescent="0.3">
      <c r="A991" s="4" t="s">
        <v>49</v>
      </c>
      <c r="B991" s="57" t="s">
        <v>52</v>
      </c>
      <c r="C991" s="4">
        <v>4</v>
      </c>
      <c r="D991" s="56">
        <v>7</v>
      </c>
      <c r="E991" s="4">
        <v>7</v>
      </c>
      <c r="F991" s="4" t="s">
        <v>83</v>
      </c>
      <c r="G991" s="4" t="s">
        <v>135</v>
      </c>
      <c r="H991" s="48">
        <f>IF(G991&gt;0,VLOOKUP(G991,Apoio!$A$2:$B$25,2,0),"")</f>
        <v>3</v>
      </c>
      <c r="I991" s="44">
        <f t="shared" si="127"/>
        <v>12</v>
      </c>
      <c r="J991" s="106"/>
      <c r="K991" s="103"/>
      <c r="L991" s="103"/>
      <c r="M991" s="103"/>
      <c r="N991" s="10"/>
    </row>
    <row r="992" spans="1:14" x14ac:dyDescent="0.3">
      <c r="A992" s="4" t="s">
        <v>49</v>
      </c>
      <c r="B992" s="57" t="s">
        <v>52</v>
      </c>
      <c r="C992" s="51">
        <v>4</v>
      </c>
      <c r="D992" s="51">
        <v>7</v>
      </c>
      <c r="E992" s="51">
        <v>7</v>
      </c>
      <c r="F992" s="4" t="s">
        <v>90</v>
      </c>
      <c r="G992" s="4" t="s">
        <v>138</v>
      </c>
      <c r="H992" s="48">
        <f>IF(G992&gt;0,VLOOKUP(G992,Apoio!$A$2:$B$25,2,0),"")</f>
        <v>8</v>
      </c>
      <c r="I992" s="44">
        <f t="shared" si="127"/>
        <v>32</v>
      </c>
      <c r="J992" s="98">
        <v>8</v>
      </c>
      <c r="K992" s="406">
        <f t="shared" ref="K992:K998" si="128">I992-J992</f>
        <v>24</v>
      </c>
      <c r="L992" s="103"/>
      <c r="M992" s="103"/>
      <c r="N992" s="10"/>
    </row>
    <row r="993" spans="1:14" x14ac:dyDescent="0.3">
      <c r="A993" s="4" t="s">
        <v>49</v>
      </c>
      <c r="B993" s="57" t="s">
        <v>52</v>
      </c>
      <c r="C993" s="51">
        <v>4</v>
      </c>
      <c r="D993" s="51">
        <v>7</v>
      </c>
      <c r="E993" s="51">
        <v>7</v>
      </c>
      <c r="F993" s="4" t="s">
        <v>90</v>
      </c>
      <c r="G993" s="4" t="s">
        <v>141</v>
      </c>
      <c r="H993" s="48">
        <f>IF(G993&gt;0,VLOOKUP(G993,Apoio!$A$2:$B$25,2,0),"")</f>
        <v>7</v>
      </c>
      <c r="I993" s="44">
        <f t="shared" si="127"/>
        <v>28</v>
      </c>
      <c r="J993" s="98">
        <v>8</v>
      </c>
      <c r="K993" s="406">
        <f t="shared" si="128"/>
        <v>20</v>
      </c>
      <c r="L993" s="103"/>
      <c r="M993" s="103"/>
      <c r="N993" s="10"/>
    </row>
    <row r="994" spans="1:14" x14ac:dyDescent="0.3">
      <c r="A994" s="4" t="s">
        <v>49</v>
      </c>
      <c r="B994" s="57" t="s">
        <v>52</v>
      </c>
      <c r="C994" s="51">
        <v>4</v>
      </c>
      <c r="D994" s="51">
        <v>7</v>
      </c>
      <c r="E994" s="51">
        <v>7</v>
      </c>
      <c r="F994" s="4" t="s">
        <v>90</v>
      </c>
      <c r="G994" s="4" t="s">
        <v>144</v>
      </c>
      <c r="H994" s="48">
        <f>IF(G994&gt;0,VLOOKUP(G994,Apoio!$A$2:$B$25,2,0),"")</f>
        <v>7</v>
      </c>
      <c r="I994" s="44">
        <f t="shared" si="127"/>
        <v>28</v>
      </c>
      <c r="J994" s="98">
        <v>8</v>
      </c>
      <c r="K994" s="406">
        <f t="shared" si="128"/>
        <v>20</v>
      </c>
      <c r="L994" s="103"/>
      <c r="M994" s="103"/>
      <c r="N994" s="10"/>
    </row>
    <row r="995" spans="1:14" x14ac:dyDescent="0.3">
      <c r="A995" s="4" t="s">
        <v>49</v>
      </c>
      <c r="B995" s="57" t="s">
        <v>52</v>
      </c>
      <c r="C995" s="51">
        <v>4</v>
      </c>
      <c r="D995" s="51">
        <v>7</v>
      </c>
      <c r="E995" s="51">
        <v>7</v>
      </c>
      <c r="F995" s="4" t="s">
        <v>90</v>
      </c>
      <c r="G995" s="4" t="s">
        <v>147</v>
      </c>
      <c r="H995" s="48">
        <f>IF(G995&gt;0,VLOOKUP(G995,Apoio!$A$2:$B$25,2,0),"")</f>
        <v>7</v>
      </c>
      <c r="I995" s="44">
        <f t="shared" si="127"/>
        <v>28</v>
      </c>
      <c r="J995" s="98">
        <v>8</v>
      </c>
      <c r="K995" s="406">
        <f t="shared" si="128"/>
        <v>20</v>
      </c>
      <c r="L995" s="103"/>
      <c r="M995" s="103"/>
      <c r="N995" s="10"/>
    </row>
    <row r="996" spans="1:14" x14ac:dyDescent="0.3">
      <c r="A996" s="4" t="s">
        <v>49</v>
      </c>
      <c r="B996" s="57" t="s">
        <v>52</v>
      </c>
      <c r="C996" s="51">
        <v>4</v>
      </c>
      <c r="D996" s="51">
        <v>7</v>
      </c>
      <c r="E996" s="51">
        <v>7</v>
      </c>
      <c r="F996" s="4" t="s">
        <v>90</v>
      </c>
      <c r="G996" s="4" t="s">
        <v>150</v>
      </c>
      <c r="H996" s="48">
        <f>IF(G996&gt;0,VLOOKUP(G996,Apoio!$A$2:$B$25,2,0),"")</f>
        <v>8</v>
      </c>
      <c r="I996" s="44">
        <f t="shared" si="127"/>
        <v>32</v>
      </c>
      <c r="J996" s="98">
        <v>8</v>
      </c>
      <c r="K996" s="406">
        <f t="shared" si="128"/>
        <v>24</v>
      </c>
      <c r="L996" s="103"/>
      <c r="M996" s="103"/>
      <c r="N996" s="10"/>
    </row>
    <row r="997" spans="1:14" x14ac:dyDescent="0.3">
      <c r="A997" s="4" t="s">
        <v>49</v>
      </c>
      <c r="B997" s="57" t="s">
        <v>52</v>
      </c>
      <c r="C997" s="51">
        <v>4</v>
      </c>
      <c r="D997" s="51">
        <v>7</v>
      </c>
      <c r="E997" s="51">
        <v>7</v>
      </c>
      <c r="F997" s="4" t="s">
        <v>90</v>
      </c>
      <c r="G997" s="4" t="s">
        <v>150</v>
      </c>
      <c r="H997" s="48">
        <f>IF(G997&gt;0,VLOOKUP(G997,Apoio!$A$2:$B$25,2,0),"")</f>
        <v>8</v>
      </c>
      <c r="I997" s="44">
        <f t="shared" si="127"/>
        <v>32</v>
      </c>
      <c r="J997" s="98">
        <v>8</v>
      </c>
      <c r="K997" s="406">
        <f t="shared" si="128"/>
        <v>24</v>
      </c>
      <c r="L997" s="103"/>
      <c r="M997" s="103"/>
      <c r="N997" s="10"/>
    </row>
    <row r="998" spans="1:14" x14ac:dyDescent="0.3">
      <c r="A998" s="4" t="s">
        <v>49</v>
      </c>
      <c r="B998" s="57" t="s">
        <v>52</v>
      </c>
      <c r="C998" s="51">
        <v>4</v>
      </c>
      <c r="D998" s="51">
        <v>7</v>
      </c>
      <c r="E998" s="51">
        <v>7</v>
      </c>
      <c r="F998" s="4" t="s">
        <v>90</v>
      </c>
      <c r="G998" s="4" t="s">
        <v>153</v>
      </c>
      <c r="H998" s="48">
        <f>IF(G998&gt;0,VLOOKUP(G998,Apoio!$A$2:$B$25,2,0),"")</f>
        <v>8</v>
      </c>
      <c r="I998" s="44">
        <f t="shared" si="127"/>
        <v>32</v>
      </c>
      <c r="J998" s="98">
        <v>8</v>
      </c>
      <c r="K998" s="406">
        <f t="shared" si="128"/>
        <v>24</v>
      </c>
      <c r="L998" s="103"/>
      <c r="M998" s="103"/>
      <c r="N998" s="10"/>
    </row>
    <row r="999" spans="1:14" x14ac:dyDescent="0.3">
      <c r="A999" s="4" t="s">
        <v>49</v>
      </c>
      <c r="B999" s="57" t="s">
        <v>53</v>
      </c>
      <c r="C999" s="4">
        <v>5</v>
      </c>
      <c r="D999" s="56">
        <v>7</v>
      </c>
      <c r="E999" s="4">
        <v>7</v>
      </c>
      <c r="F999" s="4" t="s">
        <v>69</v>
      </c>
      <c r="G999" s="4" t="s">
        <v>68</v>
      </c>
      <c r="H999" s="48">
        <f>IF(G999&gt;0,VLOOKUP(G999,Apoio!$A$2:$B$25,2,0),"")</f>
        <v>7</v>
      </c>
      <c r="I999" s="44">
        <f t="shared" si="124"/>
        <v>35</v>
      </c>
      <c r="J999" s="106"/>
      <c r="K999" s="103"/>
      <c r="L999" s="103"/>
      <c r="M999" s="103"/>
      <c r="N999" s="10"/>
    </row>
    <row r="1000" spans="1:14" x14ac:dyDescent="0.3">
      <c r="A1000" s="4" t="s">
        <v>49</v>
      </c>
      <c r="B1000" s="57" t="s">
        <v>53</v>
      </c>
      <c r="C1000" s="4">
        <v>5</v>
      </c>
      <c r="D1000" s="56">
        <v>7</v>
      </c>
      <c r="E1000" s="4">
        <v>7</v>
      </c>
      <c r="F1000" s="4" t="s">
        <v>69</v>
      </c>
      <c r="G1000" s="4" t="s">
        <v>75</v>
      </c>
      <c r="H1000" s="48">
        <f>IF(G1000&gt;0,VLOOKUP(G1000,Apoio!$A$2:$B$25,2,0),"")</f>
        <v>8</v>
      </c>
      <c r="I1000" s="44">
        <f t="shared" si="124"/>
        <v>40</v>
      </c>
      <c r="J1000" s="106"/>
      <c r="K1000" s="103"/>
      <c r="L1000" s="103"/>
      <c r="M1000" s="103"/>
      <c r="N1000" s="10"/>
    </row>
    <row r="1001" spans="1:14" x14ac:dyDescent="0.3">
      <c r="A1001" s="4" t="s">
        <v>49</v>
      </c>
      <c r="B1001" s="57" t="s">
        <v>53</v>
      </c>
      <c r="C1001" s="4">
        <v>5</v>
      </c>
      <c r="D1001" s="56">
        <v>7</v>
      </c>
      <c r="E1001" s="4">
        <v>7</v>
      </c>
      <c r="F1001" s="4" t="s">
        <v>69</v>
      </c>
      <c r="G1001" s="4" t="s">
        <v>82</v>
      </c>
      <c r="H1001" s="48">
        <f>IF(G1001&gt;0,VLOOKUP(G1001,Apoio!$A$2:$B$25,2,0),"")</f>
        <v>6</v>
      </c>
      <c r="I1001" s="44">
        <f t="shared" si="124"/>
        <v>30</v>
      </c>
      <c r="J1001" s="106"/>
      <c r="K1001" s="103"/>
      <c r="L1001" s="103"/>
      <c r="M1001" s="103"/>
      <c r="N1001" s="10"/>
    </row>
    <row r="1002" spans="1:14" x14ac:dyDescent="0.3">
      <c r="A1002" s="4" t="s">
        <v>49</v>
      </c>
      <c r="B1002" s="57" t="s">
        <v>53</v>
      </c>
      <c r="C1002" s="4">
        <v>5</v>
      </c>
      <c r="D1002" s="56">
        <v>7</v>
      </c>
      <c r="E1002" s="4">
        <v>7</v>
      </c>
      <c r="F1002" s="4" t="s">
        <v>69</v>
      </c>
      <c r="G1002" s="4" t="s">
        <v>89</v>
      </c>
      <c r="H1002" s="48">
        <f>IF(G1002&gt;0,VLOOKUP(G1002,Apoio!$A$2:$B$25,2,0),"")</f>
        <v>8</v>
      </c>
      <c r="I1002" s="44">
        <f t="shared" si="124"/>
        <v>40</v>
      </c>
      <c r="J1002" s="106"/>
      <c r="K1002" s="103"/>
      <c r="L1002" s="103"/>
      <c r="M1002" s="103"/>
      <c r="N1002" s="10"/>
    </row>
    <row r="1003" spans="1:14" x14ac:dyDescent="0.3">
      <c r="A1003" s="4" t="s">
        <v>49</v>
      </c>
      <c r="B1003" s="57" t="s">
        <v>53</v>
      </c>
      <c r="C1003" s="4">
        <v>5</v>
      </c>
      <c r="D1003" s="56">
        <v>7</v>
      </c>
      <c r="E1003" s="4">
        <v>7</v>
      </c>
      <c r="F1003" s="4" t="s">
        <v>69</v>
      </c>
      <c r="G1003" s="4" t="s">
        <v>96</v>
      </c>
      <c r="H1003" s="48">
        <f>IF(G1003&gt;0,VLOOKUP(G1003,Apoio!$A$2:$B$25,2,0),"")</f>
        <v>8</v>
      </c>
      <c r="I1003" s="44">
        <f t="shared" si="124"/>
        <v>40</v>
      </c>
      <c r="J1003" s="106"/>
      <c r="K1003" s="103"/>
      <c r="L1003" s="103"/>
      <c r="M1003" s="103"/>
      <c r="N1003" s="10"/>
    </row>
    <row r="1004" spans="1:14" x14ac:dyDescent="0.3">
      <c r="A1004" s="4" t="s">
        <v>49</v>
      </c>
      <c r="B1004" s="57" t="s">
        <v>53</v>
      </c>
      <c r="C1004" s="4">
        <v>5</v>
      </c>
      <c r="D1004" s="56">
        <v>7</v>
      </c>
      <c r="E1004" s="4">
        <v>7</v>
      </c>
      <c r="F1004" s="4" t="s">
        <v>69</v>
      </c>
      <c r="G1004" s="4" t="s">
        <v>99</v>
      </c>
      <c r="H1004" s="48">
        <f>IF(G1004&gt;0,VLOOKUP(G1004,Apoio!$A$2:$B$25,2,0),"")</f>
        <v>2</v>
      </c>
      <c r="I1004" s="44">
        <f t="shared" si="124"/>
        <v>10</v>
      </c>
      <c r="J1004" s="106"/>
      <c r="K1004" s="103"/>
      <c r="L1004" s="103"/>
      <c r="M1004" s="103"/>
      <c r="N1004" s="10"/>
    </row>
    <row r="1005" spans="1:14" x14ac:dyDescent="0.3">
      <c r="A1005" s="4" t="s">
        <v>49</v>
      </c>
      <c r="B1005" s="57" t="s">
        <v>53</v>
      </c>
      <c r="C1005" s="4">
        <v>5</v>
      </c>
      <c r="D1005" s="56">
        <v>7</v>
      </c>
      <c r="E1005" s="4">
        <v>7</v>
      </c>
      <c r="F1005" s="4" t="s">
        <v>76</v>
      </c>
      <c r="G1005" s="4" t="s">
        <v>102</v>
      </c>
      <c r="H1005" s="48">
        <f>IF(G1005&gt;0,VLOOKUP(G1005,Apoio!$A$2:$B$25,2,0),"")</f>
        <v>5</v>
      </c>
      <c r="I1005" s="44">
        <f t="shared" ref="I1005:I1035" si="129">IF(D1005&gt;0,(((H1005*E1005)*C1005)/D1005),"")</f>
        <v>25</v>
      </c>
      <c r="J1005" s="106"/>
      <c r="K1005" s="103"/>
      <c r="L1005" s="103"/>
      <c r="M1005" s="103"/>
      <c r="N1005" s="10"/>
    </row>
    <row r="1006" spans="1:14" x14ac:dyDescent="0.3">
      <c r="A1006" s="4" t="s">
        <v>49</v>
      </c>
      <c r="B1006" s="57" t="s">
        <v>53</v>
      </c>
      <c r="C1006" s="4">
        <v>5</v>
      </c>
      <c r="D1006" s="56">
        <v>7</v>
      </c>
      <c r="E1006" s="4">
        <v>7</v>
      </c>
      <c r="F1006" s="4" t="s">
        <v>76</v>
      </c>
      <c r="G1006" s="4" t="s">
        <v>105</v>
      </c>
      <c r="H1006" s="48">
        <f>IF(G1006&gt;0,VLOOKUP(G1006,Apoio!$A$2:$B$25,2,0),"")</f>
        <v>7</v>
      </c>
      <c r="I1006" s="44">
        <f t="shared" si="129"/>
        <v>35</v>
      </c>
      <c r="J1006" s="106"/>
      <c r="K1006" s="103"/>
      <c r="L1006" s="103"/>
      <c r="M1006" s="103"/>
      <c r="N1006" s="10"/>
    </row>
    <row r="1007" spans="1:14" x14ac:dyDescent="0.3">
      <c r="A1007" s="4" t="s">
        <v>49</v>
      </c>
      <c r="B1007" s="57" t="s">
        <v>53</v>
      </c>
      <c r="C1007" s="4">
        <v>5</v>
      </c>
      <c r="D1007" s="56">
        <v>7</v>
      </c>
      <c r="E1007" s="4">
        <v>7</v>
      </c>
      <c r="F1007" s="4" t="s">
        <v>76</v>
      </c>
      <c r="G1007" s="4" t="s">
        <v>108</v>
      </c>
      <c r="H1007" s="48">
        <f>IF(G1007&gt;0,VLOOKUP(G1007,Apoio!$A$2:$B$25,2,0),"")</f>
        <v>8</v>
      </c>
      <c r="I1007" s="44">
        <f t="shared" si="129"/>
        <v>40</v>
      </c>
      <c r="J1007" s="106"/>
      <c r="K1007" s="103"/>
      <c r="L1007" s="103"/>
      <c r="M1007" s="103"/>
      <c r="N1007" s="10"/>
    </row>
    <row r="1008" spans="1:14" x14ac:dyDescent="0.3">
      <c r="A1008" s="4" t="s">
        <v>49</v>
      </c>
      <c r="B1008" s="57" t="s">
        <v>53</v>
      </c>
      <c r="C1008" s="4">
        <v>5</v>
      </c>
      <c r="D1008" s="56">
        <v>7</v>
      </c>
      <c r="E1008" s="4">
        <v>7</v>
      </c>
      <c r="F1008" s="4" t="s">
        <v>76</v>
      </c>
      <c r="G1008" s="4" t="s">
        <v>111</v>
      </c>
      <c r="H1008" s="48">
        <f>IF(G1008&gt;0,VLOOKUP(G1008,Apoio!$A$2:$B$25,2,0),"")</f>
        <v>7</v>
      </c>
      <c r="I1008" s="44">
        <f t="shared" si="129"/>
        <v>35</v>
      </c>
      <c r="J1008" s="106"/>
      <c r="K1008" s="103"/>
      <c r="L1008" s="103"/>
      <c r="M1008" s="103"/>
      <c r="N1008" s="10"/>
    </row>
    <row r="1009" spans="1:14" x14ac:dyDescent="0.3">
      <c r="A1009" s="4" t="s">
        <v>49</v>
      </c>
      <c r="B1009" s="57" t="s">
        <v>53</v>
      </c>
      <c r="C1009" s="4">
        <v>5</v>
      </c>
      <c r="D1009" s="56">
        <v>7</v>
      </c>
      <c r="E1009" s="4">
        <v>7</v>
      </c>
      <c r="F1009" s="4" t="s">
        <v>76</v>
      </c>
      <c r="G1009" s="4" t="s">
        <v>114</v>
      </c>
      <c r="H1009" s="48">
        <f>IF(G1009&gt;0,VLOOKUP(G1009,Apoio!$A$2:$B$25,2,0),"")</f>
        <v>8</v>
      </c>
      <c r="I1009" s="44">
        <f t="shared" si="129"/>
        <v>40</v>
      </c>
      <c r="J1009" s="106"/>
      <c r="K1009" s="103"/>
      <c r="L1009" s="103"/>
      <c r="M1009" s="103"/>
      <c r="N1009" s="10"/>
    </row>
    <row r="1010" spans="1:14" x14ac:dyDescent="0.3">
      <c r="A1010" s="4" t="s">
        <v>49</v>
      </c>
      <c r="B1010" s="57" t="s">
        <v>53</v>
      </c>
      <c r="C1010" s="4">
        <v>5</v>
      </c>
      <c r="D1010" s="56">
        <v>7</v>
      </c>
      <c r="E1010" s="4">
        <v>7</v>
      </c>
      <c r="F1010" s="4" t="s">
        <v>76</v>
      </c>
      <c r="G1010" s="4" t="s">
        <v>117</v>
      </c>
      <c r="H1010" s="48">
        <f>IF(G1010&gt;0,VLOOKUP(G1010,Apoio!$A$2:$B$25,2,0),"")</f>
        <v>3</v>
      </c>
      <c r="I1010" s="44">
        <f t="shared" si="129"/>
        <v>15</v>
      </c>
      <c r="J1010" s="106"/>
      <c r="K1010" s="103"/>
      <c r="L1010" s="103"/>
      <c r="M1010" s="103"/>
      <c r="N1010" s="10"/>
    </row>
    <row r="1011" spans="1:14" x14ac:dyDescent="0.3">
      <c r="A1011" s="4" t="s">
        <v>49</v>
      </c>
      <c r="B1011" s="57" t="s">
        <v>53</v>
      </c>
      <c r="C1011" s="4">
        <v>5</v>
      </c>
      <c r="D1011" s="56">
        <v>7</v>
      </c>
      <c r="E1011" s="4">
        <v>7</v>
      </c>
      <c r="F1011" s="4" t="s">
        <v>83</v>
      </c>
      <c r="G1011" s="4" t="s">
        <v>120</v>
      </c>
      <c r="H1011" s="48">
        <f>IF(G1011&gt;0,VLOOKUP(G1011,Apoio!$A$2:$B$25,2,0),"")</f>
        <v>7</v>
      </c>
      <c r="I1011" s="44">
        <f t="shared" si="129"/>
        <v>35</v>
      </c>
      <c r="J1011" s="106"/>
      <c r="K1011" s="103"/>
      <c r="L1011" s="103"/>
      <c r="M1011" s="103"/>
      <c r="N1011" s="10"/>
    </row>
    <row r="1012" spans="1:14" x14ac:dyDescent="0.3">
      <c r="A1012" s="4" t="s">
        <v>49</v>
      </c>
      <c r="B1012" s="57" t="s">
        <v>53</v>
      </c>
      <c r="C1012" s="4">
        <v>5</v>
      </c>
      <c r="D1012" s="56">
        <v>7</v>
      </c>
      <c r="E1012" s="4">
        <v>7</v>
      </c>
      <c r="F1012" s="4" t="s">
        <v>83</v>
      </c>
      <c r="G1012" s="4" t="s">
        <v>123</v>
      </c>
      <c r="H1012" s="48">
        <f>IF(G1012&gt;0,VLOOKUP(G1012,Apoio!$A$2:$B$25,2,0),"")</f>
        <v>8</v>
      </c>
      <c r="I1012" s="44">
        <f t="shared" si="129"/>
        <v>40</v>
      </c>
      <c r="J1012" s="106"/>
      <c r="K1012" s="103"/>
      <c r="L1012" s="103"/>
      <c r="M1012" s="103"/>
      <c r="N1012" s="10"/>
    </row>
    <row r="1013" spans="1:14" x14ac:dyDescent="0.3">
      <c r="A1013" s="4" t="s">
        <v>49</v>
      </c>
      <c r="B1013" s="57" t="s">
        <v>53</v>
      </c>
      <c r="C1013" s="4">
        <v>5</v>
      </c>
      <c r="D1013" s="56">
        <v>7</v>
      </c>
      <c r="E1013" s="4">
        <v>7</v>
      </c>
      <c r="F1013" s="4" t="s">
        <v>83</v>
      </c>
      <c r="G1013" s="4" t="s">
        <v>126</v>
      </c>
      <c r="H1013" s="48">
        <f>IF(G1013&gt;0,VLOOKUP(G1013,Apoio!$A$2:$B$25,2,0),"")</f>
        <v>8</v>
      </c>
      <c r="I1013" s="44">
        <f t="shared" si="129"/>
        <v>40</v>
      </c>
      <c r="J1013" s="106"/>
      <c r="K1013" s="103"/>
      <c r="L1013" s="103"/>
      <c r="M1013" s="103"/>
      <c r="N1013" s="10"/>
    </row>
    <row r="1014" spans="1:14" x14ac:dyDescent="0.3">
      <c r="A1014" s="4" t="s">
        <v>49</v>
      </c>
      <c r="B1014" s="57" t="s">
        <v>53</v>
      </c>
      <c r="C1014" s="4">
        <v>5</v>
      </c>
      <c r="D1014" s="56">
        <v>7</v>
      </c>
      <c r="E1014" s="4">
        <v>7</v>
      </c>
      <c r="F1014" s="4" t="s">
        <v>83</v>
      </c>
      <c r="G1014" s="4" t="s">
        <v>129</v>
      </c>
      <c r="H1014" s="48">
        <f>IF(G1014&gt;0,VLOOKUP(G1014,Apoio!$A$2:$B$25,2,0),"")</f>
        <v>8</v>
      </c>
      <c r="I1014" s="44">
        <f t="shared" si="129"/>
        <v>40</v>
      </c>
      <c r="J1014" s="106"/>
      <c r="K1014" s="103"/>
      <c r="L1014" s="103"/>
      <c r="M1014" s="103"/>
      <c r="N1014" s="10"/>
    </row>
    <row r="1015" spans="1:14" x14ac:dyDescent="0.3">
      <c r="A1015" s="4" t="s">
        <v>49</v>
      </c>
      <c r="B1015" s="57" t="s">
        <v>53</v>
      </c>
      <c r="C1015" s="4">
        <v>5</v>
      </c>
      <c r="D1015" s="56">
        <v>7</v>
      </c>
      <c r="E1015" s="4">
        <v>7</v>
      </c>
      <c r="F1015" s="4" t="s">
        <v>83</v>
      </c>
      <c r="G1015" s="4" t="s">
        <v>132</v>
      </c>
      <c r="H1015" s="48">
        <f>IF(G1015&gt;0,VLOOKUP(G1015,Apoio!$A$2:$B$25,2,0),"")</f>
        <v>7</v>
      </c>
      <c r="I1015" s="44">
        <f t="shared" si="129"/>
        <v>35</v>
      </c>
      <c r="J1015" s="106"/>
      <c r="K1015" s="103"/>
      <c r="L1015" s="103"/>
      <c r="M1015" s="103"/>
      <c r="N1015" s="10"/>
    </row>
    <row r="1016" spans="1:14" x14ac:dyDescent="0.3">
      <c r="A1016" s="4" t="s">
        <v>49</v>
      </c>
      <c r="B1016" s="57" t="s">
        <v>53</v>
      </c>
      <c r="C1016" s="4">
        <v>5</v>
      </c>
      <c r="D1016" s="56">
        <v>7</v>
      </c>
      <c r="E1016" s="4">
        <v>7</v>
      </c>
      <c r="F1016" s="4" t="s">
        <v>83</v>
      </c>
      <c r="G1016" s="4" t="s">
        <v>135</v>
      </c>
      <c r="H1016" s="48">
        <f>IF(G1016&gt;0,VLOOKUP(G1016,Apoio!$A$2:$B$25,2,0),"")</f>
        <v>3</v>
      </c>
      <c r="I1016" s="44">
        <f t="shared" si="129"/>
        <v>15</v>
      </c>
      <c r="J1016" s="106"/>
      <c r="K1016" s="103"/>
      <c r="L1016" s="103"/>
      <c r="M1016" s="103"/>
      <c r="N1016" s="10"/>
    </row>
    <row r="1017" spans="1:14" x14ac:dyDescent="0.3">
      <c r="A1017" s="4" t="s">
        <v>49</v>
      </c>
      <c r="B1017" s="57" t="s">
        <v>53</v>
      </c>
      <c r="C1017" s="51">
        <v>5</v>
      </c>
      <c r="D1017" s="51">
        <v>7</v>
      </c>
      <c r="E1017" s="51">
        <v>7</v>
      </c>
      <c r="F1017" s="4" t="s">
        <v>90</v>
      </c>
      <c r="G1017" s="4" t="s">
        <v>138</v>
      </c>
      <c r="H1017" s="48">
        <f>IF(G1017&gt;0,VLOOKUP(G1017,Apoio!$A$2:$B$25,2,0),"")</f>
        <v>8</v>
      </c>
      <c r="I1017" s="44">
        <f t="shared" si="129"/>
        <v>40</v>
      </c>
      <c r="J1017" s="98">
        <v>8</v>
      </c>
      <c r="K1017" s="406">
        <f t="shared" ref="K1017:K1023" si="130">I1017-J1017</f>
        <v>32</v>
      </c>
      <c r="L1017" s="103"/>
      <c r="M1017" s="103"/>
      <c r="N1017" s="10"/>
    </row>
    <row r="1018" spans="1:14" x14ac:dyDescent="0.3">
      <c r="A1018" s="4" t="s">
        <v>49</v>
      </c>
      <c r="B1018" s="57" t="s">
        <v>53</v>
      </c>
      <c r="C1018" s="51">
        <v>5</v>
      </c>
      <c r="D1018" s="51">
        <v>7</v>
      </c>
      <c r="E1018" s="51">
        <v>7</v>
      </c>
      <c r="F1018" s="4" t="s">
        <v>90</v>
      </c>
      <c r="G1018" s="4" t="s">
        <v>141</v>
      </c>
      <c r="H1018" s="48">
        <f>IF(G1018&gt;0,VLOOKUP(G1018,Apoio!$A$2:$B$25,2,0),"")</f>
        <v>7</v>
      </c>
      <c r="I1018" s="44">
        <f t="shared" si="129"/>
        <v>35</v>
      </c>
      <c r="J1018" s="98">
        <v>8</v>
      </c>
      <c r="K1018" s="406">
        <f t="shared" si="130"/>
        <v>27</v>
      </c>
      <c r="L1018" s="103"/>
      <c r="M1018" s="103"/>
      <c r="N1018" s="10"/>
    </row>
    <row r="1019" spans="1:14" x14ac:dyDescent="0.3">
      <c r="A1019" s="4" t="s">
        <v>49</v>
      </c>
      <c r="B1019" s="57" t="s">
        <v>53</v>
      </c>
      <c r="C1019" s="51">
        <v>5</v>
      </c>
      <c r="D1019" s="51">
        <v>7</v>
      </c>
      <c r="E1019" s="51">
        <v>7</v>
      </c>
      <c r="F1019" s="4" t="s">
        <v>90</v>
      </c>
      <c r="G1019" s="4" t="s">
        <v>144</v>
      </c>
      <c r="H1019" s="48">
        <f>IF(G1019&gt;0,VLOOKUP(G1019,Apoio!$A$2:$B$25,2,0),"")</f>
        <v>7</v>
      </c>
      <c r="I1019" s="44">
        <f t="shared" si="129"/>
        <v>35</v>
      </c>
      <c r="J1019" s="98">
        <v>8</v>
      </c>
      <c r="K1019" s="406">
        <f t="shared" si="130"/>
        <v>27</v>
      </c>
      <c r="L1019" s="103"/>
      <c r="M1019" s="103"/>
      <c r="N1019" s="10"/>
    </row>
    <row r="1020" spans="1:14" x14ac:dyDescent="0.3">
      <c r="A1020" s="4" t="s">
        <v>49</v>
      </c>
      <c r="B1020" s="57" t="s">
        <v>53</v>
      </c>
      <c r="C1020" s="51">
        <v>5</v>
      </c>
      <c r="D1020" s="51">
        <v>7</v>
      </c>
      <c r="E1020" s="51">
        <v>7</v>
      </c>
      <c r="F1020" s="4" t="s">
        <v>90</v>
      </c>
      <c r="G1020" s="4" t="s">
        <v>147</v>
      </c>
      <c r="H1020" s="48">
        <f>IF(G1020&gt;0,VLOOKUP(G1020,Apoio!$A$2:$B$25,2,0),"")</f>
        <v>7</v>
      </c>
      <c r="I1020" s="44">
        <f t="shared" si="129"/>
        <v>35</v>
      </c>
      <c r="J1020" s="98">
        <v>8</v>
      </c>
      <c r="K1020" s="406">
        <f t="shared" si="130"/>
        <v>27</v>
      </c>
      <c r="L1020" s="103"/>
      <c r="M1020" s="103"/>
      <c r="N1020" s="10"/>
    </row>
    <row r="1021" spans="1:14" x14ac:dyDescent="0.3">
      <c r="A1021" s="4" t="s">
        <v>49</v>
      </c>
      <c r="B1021" s="57" t="s">
        <v>53</v>
      </c>
      <c r="C1021" s="51">
        <v>5</v>
      </c>
      <c r="D1021" s="51">
        <v>7</v>
      </c>
      <c r="E1021" s="51">
        <v>7</v>
      </c>
      <c r="F1021" s="4" t="s">
        <v>90</v>
      </c>
      <c r="G1021" s="4" t="s">
        <v>150</v>
      </c>
      <c r="H1021" s="48">
        <f>IF(G1021&gt;0,VLOOKUP(G1021,Apoio!$A$2:$B$25,2,0),"")</f>
        <v>8</v>
      </c>
      <c r="I1021" s="44">
        <f t="shared" si="129"/>
        <v>40</v>
      </c>
      <c r="J1021" s="98">
        <v>8</v>
      </c>
      <c r="K1021" s="406">
        <f t="shared" si="130"/>
        <v>32</v>
      </c>
      <c r="L1021" s="103"/>
      <c r="M1021" s="103"/>
      <c r="N1021" s="10"/>
    </row>
    <row r="1022" spans="1:14" x14ac:dyDescent="0.3">
      <c r="A1022" s="4" t="s">
        <v>49</v>
      </c>
      <c r="B1022" s="57" t="s">
        <v>53</v>
      </c>
      <c r="C1022" s="51">
        <v>5</v>
      </c>
      <c r="D1022" s="51">
        <v>7</v>
      </c>
      <c r="E1022" s="51">
        <v>7</v>
      </c>
      <c r="F1022" s="4" t="s">
        <v>90</v>
      </c>
      <c r="G1022" s="4" t="s">
        <v>150</v>
      </c>
      <c r="H1022" s="48">
        <f>IF(G1022&gt;0,VLOOKUP(G1022,Apoio!$A$2:$B$25,2,0),"")</f>
        <v>8</v>
      </c>
      <c r="I1022" s="44">
        <f t="shared" si="129"/>
        <v>40</v>
      </c>
      <c r="J1022" s="98">
        <v>8</v>
      </c>
      <c r="K1022" s="406">
        <f t="shared" si="130"/>
        <v>32</v>
      </c>
      <c r="L1022" s="103"/>
      <c r="M1022" s="103"/>
      <c r="N1022" s="10"/>
    </row>
    <row r="1023" spans="1:14" ht="15" thickBot="1" x14ac:dyDescent="0.35">
      <c r="A1023" s="4" t="s">
        <v>49</v>
      </c>
      <c r="B1023" s="57" t="s">
        <v>53</v>
      </c>
      <c r="C1023" s="51">
        <v>5</v>
      </c>
      <c r="D1023" s="51">
        <v>7</v>
      </c>
      <c r="E1023" s="51">
        <v>7</v>
      </c>
      <c r="F1023" s="4" t="s">
        <v>90</v>
      </c>
      <c r="G1023" s="4" t="s">
        <v>153</v>
      </c>
      <c r="H1023" s="48">
        <f>IF(G1023&gt;0,VLOOKUP(G1023,Apoio!$A$2:$B$25,2,0),"")</f>
        <v>8</v>
      </c>
      <c r="I1023" s="44">
        <f t="shared" si="129"/>
        <v>40</v>
      </c>
      <c r="J1023" s="98">
        <v>8</v>
      </c>
      <c r="K1023" s="406">
        <f t="shared" si="130"/>
        <v>32</v>
      </c>
      <c r="L1023" s="103"/>
      <c r="M1023" s="103"/>
      <c r="N1023" s="10"/>
    </row>
    <row r="1024" spans="1:14" x14ac:dyDescent="0.3">
      <c r="A1024" s="4" t="s">
        <v>291</v>
      </c>
      <c r="B1024" s="308" t="s">
        <v>274</v>
      </c>
      <c r="C1024" s="309">
        <v>6</v>
      </c>
      <c r="D1024" s="310">
        <v>6</v>
      </c>
      <c r="E1024" s="311">
        <v>7</v>
      </c>
      <c r="F1024" s="312" t="s">
        <v>76</v>
      </c>
      <c r="G1024" s="312" t="s">
        <v>102</v>
      </c>
      <c r="H1024" s="312">
        <f>IF(G1024&gt;0,VLOOKUP(G1024,Apoio!$A$2:$B$25,2,0),"")</f>
        <v>5</v>
      </c>
      <c r="I1024" s="313">
        <f>IF(D1024&gt;0,(((H1024*E1024)*C1024)/D1024),"")</f>
        <v>35</v>
      </c>
      <c r="J1024" s="314">
        <v>13</v>
      </c>
      <c r="K1024" s="315">
        <f>I1024-J1024</f>
        <v>22</v>
      </c>
      <c r="L1024" s="243">
        <f t="shared" ref="L1024:L1029" si="131">2647.87*I1024</f>
        <v>92675.45</v>
      </c>
      <c r="M1024" s="188" t="s">
        <v>240</v>
      </c>
      <c r="N1024" s="10" t="s">
        <v>275</v>
      </c>
    </row>
    <row r="1025" spans="1:14" x14ac:dyDescent="0.3">
      <c r="A1025" s="4" t="s">
        <v>291</v>
      </c>
      <c r="B1025" s="316" t="s">
        <v>274</v>
      </c>
      <c r="C1025" s="182">
        <v>6</v>
      </c>
      <c r="D1025" s="183">
        <v>6</v>
      </c>
      <c r="E1025" s="184">
        <v>7</v>
      </c>
      <c r="F1025" s="181" t="s">
        <v>76</v>
      </c>
      <c r="G1025" s="181" t="s">
        <v>105</v>
      </c>
      <c r="H1025" s="181">
        <f>IF(G1025&gt;0,VLOOKUP(G1025,Apoio!$A$2:$B$25,2,0),"")</f>
        <v>7</v>
      </c>
      <c r="I1025" s="185">
        <f t="shared" si="129"/>
        <v>49</v>
      </c>
      <c r="J1025" s="186">
        <v>13</v>
      </c>
      <c r="K1025" s="187">
        <f t="shared" ref="K1025:K1029" si="132">I1025-J1025</f>
        <v>36</v>
      </c>
      <c r="L1025" s="244">
        <f t="shared" si="131"/>
        <v>129745.62999999999</v>
      </c>
      <c r="M1025" s="188" t="s">
        <v>240</v>
      </c>
      <c r="N1025" s="10" t="s">
        <v>275</v>
      </c>
    </row>
    <row r="1026" spans="1:14" x14ac:dyDescent="0.3">
      <c r="A1026" s="4" t="s">
        <v>291</v>
      </c>
      <c r="B1026" s="316" t="s">
        <v>274</v>
      </c>
      <c r="C1026" s="182">
        <v>7</v>
      </c>
      <c r="D1026" s="183">
        <v>6</v>
      </c>
      <c r="E1026" s="184">
        <v>7</v>
      </c>
      <c r="F1026" s="181" t="s">
        <v>76</v>
      </c>
      <c r="G1026" s="181" t="s">
        <v>108</v>
      </c>
      <c r="H1026" s="181">
        <f>IF(G1026&gt;0,VLOOKUP(G1026,Apoio!$A$2:$B$25,2,0),"")</f>
        <v>8</v>
      </c>
      <c r="I1026" s="185">
        <f t="shared" si="129"/>
        <v>65.333333333333329</v>
      </c>
      <c r="J1026" s="186">
        <v>13</v>
      </c>
      <c r="K1026" s="187">
        <f t="shared" si="132"/>
        <v>52.333333333333329</v>
      </c>
      <c r="L1026" s="244">
        <f t="shared" si="131"/>
        <v>172994.17333333331</v>
      </c>
      <c r="M1026" s="188" t="s">
        <v>240</v>
      </c>
      <c r="N1026" s="10"/>
    </row>
    <row r="1027" spans="1:14" x14ac:dyDescent="0.3">
      <c r="A1027" s="4" t="s">
        <v>291</v>
      </c>
      <c r="B1027" s="316" t="s">
        <v>274</v>
      </c>
      <c r="C1027" s="182">
        <v>7</v>
      </c>
      <c r="D1027" s="183">
        <v>6</v>
      </c>
      <c r="E1027" s="184">
        <v>7</v>
      </c>
      <c r="F1027" s="181" t="s">
        <v>76</v>
      </c>
      <c r="G1027" s="181" t="s">
        <v>111</v>
      </c>
      <c r="H1027" s="181">
        <f>IF(G1027&gt;0,VLOOKUP(G1027,Apoio!$A$2:$B$25,2,0),"")</f>
        <v>7</v>
      </c>
      <c r="I1027" s="185">
        <f t="shared" si="129"/>
        <v>57.166666666666664</v>
      </c>
      <c r="J1027" s="186">
        <v>13</v>
      </c>
      <c r="K1027" s="187">
        <f t="shared" si="132"/>
        <v>44.166666666666664</v>
      </c>
      <c r="L1027" s="244">
        <f t="shared" si="131"/>
        <v>151369.90166666664</v>
      </c>
      <c r="M1027" s="188" t="s">
        <v>240</v>
      </c>
      <c r="N1027" s="10"/>
    </row>
    <row r="1028" spans="1:14" x14ac:dyDescent="0.3">
      <c r="A1028" s="4" t="s">
        <v>291</v>
      </c>
      <c r="B1028" s="316" t="s">
        <v>274</v>
      </c>
      <c r="C1028" s="182">
        <v>7</v>
      </c>
      <c r="D1028" s="183">
        <v>6</v>
      </c>
      <c r="E1028" s="184">
        <v>7</v>
      </c>
      <c r="F1028" s="181" t="s">
        <v>76</v>
      </c>
      <c r="G1028" s="181" t="s">
        <v>114</v>
      </c>
      <c r="H1028" s="181">
        <f>IF(G1028&gt;0,VLOOKUP(G1028,Apoio!$A$2:$B$25,2,0),"")</f>
        <v>8</v>
      </c>
      <c r="I1028" s="185">
        <f t="shared" si="129"/>
        <v>65.333333333333329</v>
      </c>
      <c r="J1028" s="186">
        <v>13</v>
      </c>
      <c r="K1028" s="187">
        <f t="shared" si="132"/>
        <v>52.333333333333329</v>
      </c>
      <c r="L1028" s="244">
        <f t="shared" si="131"/>
        <v>172994.17333333331</v>
      </c>
      <c r="M1028" s="188" t="s">
        <v>240</v>
      </c>
      <c r="N1028" s="10"/>
    </row>
    <row r="1029" spans="1:14" ht="15" thickBot="1" x14ac:dyDescent="0.35">
      <c r="A1029" s="4" t="s">
        <v>291</v>
      </c>
      <c r="B1029" s="317" t="s">
        <v>274</v>
      </c>
      <c r="C1029" s="318">
        <v>7</v>
      </c>
      <c r="D1029" s="319">
        <v>6</v>
      </c>
      <c r="E1029" s="320">
        <v>7</v>
      </c>
      <c r="F1029" s="321" t="s">
        <v>76</v>
      </c>
      <c r="G1029" s="321" t="s">
        <v>117</v>
      </c>
      <c r="H1029" s="321">
        <f>IF(G1029&gt;0,VLOOKUP(G1029,Apoio!$A$2:$B$25,2,0),"")</f>
        <v>3</v>
      </c>
      <c r="I1029" s="322">
        <f t="shared" si="129"/>
        <v>24.5</v>
      </c>
      <c r="J1029" s="323">
        <v>5</v>
      </c>
      <c r="K1029" s="324">
        <f t="shared" si="132"/>
        <v>19.5</v>
      </c>
      <c r="L1029" s="245">
        <f t="shared" si="131"/>
        <v>64872.814999999995</v>
      </c>
      <c r="M1029" s="188" t="s">
        <v>240</v>
      </c>
      <c r="N1029" s="10"/>
    </row>
    <row r="1030" spans="1:14" x14ac:dyDescent="0.3">
      <c r="A1030" s="4" t="s">
        <v>291</v>
      </c>
      <c r="B1030" s="367" t="s">
        <v>274</v>
      </c>
      <c r="C1030" s="368">
        <v>7</v>
      </c>
      <c r="D1030" s="369">
        <v>7</v>
      </c>
      <c r="E1030" s="370">
        <v>6</v>
      </c>
      <c r="F1030" s="367" t="s">
        <v>83</v>
      </c>
      <c r="G1030" s="367" t="s">
        <v>120</v>
      </c>
      <c r="H1030" s="367">
        <f>IF(G1030&gt;0,VLOOKUP(G1030,Apoio!$A$2:$B$25,2,0),"")</f>
        <v>7</v>
      </c>
      <c r="I1030" s="371">
        <f t="shared" si="129"/>
        <v>42</v>
      </c>
      <c r="J1030" s="372">
        <v>13</v>
      </c>
      <c r="K1030" s="373">
        <f>I1030-J1030-4</f>
        <v>25</v>
      </c>
      <c r="L1030" s="197"/>
      <c r="M1030" s="379" t="s">
        <v>236</v>
      </c>
      <c r="N1030" s="77" t="s">
        <v>276</v>
      </c>
    </row>
    <row r="1031" spans="1:14" x14ac:dyDescent="0.3">
      <c r="A1031" s="4" t="s">
        <v>291</v>
      </c>
      <c r="B1031" s="374" t="s">
        <v>274</v>
      </c>
      <c r="C1031" s="375">
        <v>7</v>
      </c>
      <c r="D1031" s="369">
        <v>7</v>
      </c>
      <c r="E1031" s="376">
        <v>6</v>
      </c>
      <c r="F1031" s="374" t="s">
        <v>83</v>
      </c>
      <c r="G1031" s="374" t="s">
        <v>123</v>
      </c>
      <c r="H1031" s="374">
        <f>IF(G1031&gt;0,VLOOKUP(G1031,Apoio!$A$2:$B$25,2,0),"")</f>
        <v>8</v>
      </c>
      <c r="I1031" s="377">
        <f t="shared" si="129"/>
        <v>48</v>
      </c>
      <c r="J1031" s="378">
        <v>13</v>
      </c>
      <c r="K1031" s="373">
        <f>I1031-J1031-9</f>
        <v>26</v>
      </c>
      <c r="L1031" s="103"/>
      <c r="M1031" s="379" t="s">
        <v>236</v>
      </c>
      <c r="N1031" s="77" t="s">
        <v>277</v>
      </c>
    </row>
    <row r="1032" spans="1:14" x14ac:dyDescent="0.3">
      <c r="A1032" s="4" t="s">
        <v>291</v>
      </c>
      <c r="B1032" s="374" t="s">
        <v>274</v>
      </c>
      <c r="C1032" s="375">
        <v>7</v>
      </c>
      <c r="D1032" s="369">
        <v>7</v>
      </c>
      <c r="E1032" s="376">
        <v>6</v>
      </c>
      <c r="F1032" s="374" t="s">
        <v>83</v>
      </c>
      <c r="G1032" s="374" t="s">
        <v>126</v>
      </c>
      <c r="H1032" s="374">
        <f>IF(G1032&gt;0,VLOOKUP(G1032,Apoio!$A$2:$B$25,2,0),"")</f>
        <v>8</v>
      </c>
      <c r="I1032" s="377">
        <f t="shared" si="129"/>
        <v>48</v>
      </c>
      <c r="J1032" s="378">
        <v>8</v>
      </c>
      <c r="K1032" s="373">
        <f>I1032-J1032-8</f>
        <v>32</v>
      </c>
      <c r="L1032" s="103"/>
      <c r="M1032" s="379" t="s">
        <v>236</v>
      </c>
      <c r="N1032" s="77" t="s">
        <v>278</v>
      </c>
    </row>
    <row r="1033" spans="1:14" x14ac:dyDescent="0.3">
      <c r="A1033" s="4" t="s">
        <v>291</v>
      </c>
      <c r="B1033" s="374" t="s">
        <v>274</v>
      </c>
      <c r="C1033" s="375">
        <v>7</v>
      </c>
      <c r="D1033" s="369">
        <v>7</v>
      </c>
      <c r="E1033" s="376">
        <v>6</v>
      </c>
      <c r="F1033" s="374" t="s">
        <v>83</v>
      </c>
      <c r="G1033" s="374" t="s">
        <v>129</v>
      </c>
      <c r="H1033" s="374">
        <f>IF(G1033&gt;0,VLOOKUP(G1033,Apoio!$A$2:$B$25,2,0),"")</f>
        <v>8</v>
      </c>
      <c r="I1033" s="377">
        <f t="shared" si="129"/>
        <v>48</v>
      </c>
      <c r="J1033" s="378">
        <v>8</v>
      </c>
      <c r="K1033" s="373">
        <f>I1033-J1033-4</f>
        <v>36</v>
      </c>
      <c r="L1033" s="103"/>
      <c r="M1033" s="379" t="s">
        <v>236</v>
      </c>
      <c r="N1033" s="77" t="s">
        <v>279</v>
      </c>
    </row>
    <row r="1034" spans="1:14" x14ac:dyDescent="0.3">
      <c r="A1034" s="4" t="s">
        <v>291</v>
      </c>
      <c r="B1034" s="374" t="s">
        <v>274</v>
      </c>
      <c r="C1034" s="375">
        <v>7</v>
      </c>
      <c r="D1034" s="369">
        <v>7</v>
      </c>
      <c r="E1034" s="376">
        <v>6</v>
      </c>
      <c r="F1034" s="374" t="s">
        <v>83</v>
      </c>
      <c r="G1034" s="374" t="s">
        <v>132</v>
      </c>
      <c r="H1034" s="374">
        <f>IF(G1034&gt;0,VLOOKUP(G1034,Apoio!$A$2:$B$25,2,0),"")</f>
        <v>7</v>
      </c>
      <c r="I1034" s="377">
        <f t="shared" si="129"/>
        <v>42</v>
      </c>
      <c r="J1034" s="378">
        <v>8</v>
      </c>
      <c r="K1034" s="373">
        <f>I1034-J1034-10</f>
        <v>24</v>
      </c>
      <c r="L1034" s="103"/>
      <c r="M1034" s="379" t="s">
        <v>236</v>
      </c>
      <c r="N1034" s="77" t="s">
        <v>280</v>
      </c>
    </row>
    <row r="1035" spans="1:14" x14ac:dyDescent="0.3">
      <c r="A1035" s="4" t="s">
        <v>291</v>
      </c>
      <c r="B1035" s="374" t="s">
        <v>274</v>
      </c>
      <c r="C1035" s="375">
        <v>7</v>
      </c>
      <c r="D1035" s="369">
        <v>7</v>
      </c>
      <c r="E1035" s="376">
        <v>6</v>
      </c>
      <c r="F1035" s="374" t="s">
        <v>83</v>
      </c>
      <c r="G1035" s="374" t="s">
        <v>135</v>
      </c>
      <c r="H1035" s="374">
        <f>IF(G1035&gt;0,VLOOKUP(G1035,Apoio!$A$2:$B$25,2,0),"")</f>
        <v>3</v>
      </c>
      <c r="I1035" s="377">
        <f t="shared" si="129"/>
        <v>18</v>
      </c>
      <c r="J1035" s="378">
        <v>3</v>
      </c>
      <c r="K1035" s="373">
        <f>I1035-J1035-10</f>
        <v>5</v>
      </c>
      <c r="L1035" s="103"/>
      <c r="M1035" s="379" t="s">
        <v>236</v>
      </c>
      <c r="N1035" s="77" t="s">
        <v>281</v>
      </c>
    </row>
    <row r="1036" spans="1:14" x14ac:dyDescent="0.3">
      <c r="A1036" s="4" t="s">
        <v>291</v>
      </c>
      <c r="B1036" s="67" t="s">
        <v>274</v>
      </c>
      <c r="C1036" s="400">
        <v>7</v>
      </c>
      <c r="D1036" s="90">
        <v>7</v>
      </c>
      <c r="E1036" s="51">
        <v>6</v>
      </c>
      <c r="F1036" s="4" t="s">
        <v>90</v>
      </c>
      <c r="G1036" s="67" t="s">
        <v>138</v>
      </c>
      <c r="H1036" s="389">
        <f>IF(G1036&gt;0,VLOOKUP(G1036,Apoio!$A$2:$B$25,2,0),"")</f>
        <v>8</v>
      </c>
      <c r="I1036" s="394">
        <f>IF(D1036&gt;0,(((H1036*E1036)*C1036)/D1036),"")</f>
        <v>48</v>
      </c>
      <c r="J1036" s="390">
        <v>13</v>
      </c>
      <c r="K1036" s="396">
        <f>I1036-J1036-8</f>
        <v>27</v>
      </c>
      <c r="M1036" s="103" t="s">
        <v>236</v>
      </c>
      <c r="N1036" s="10" t="s">
        <v>282</v>
      </c>
    </row>
    <row r="1037" spans="1:14" x14ac:dyDescent="0.3">
      <c r="A1037" s="4" t="s">
        <v>291</v>
      </c>
      <c r="B1037" s="4" t="s">
        <v>274</v>
      </c>
      <c r="C1037" s="108">
        <v>7</v>
      </c>
      <c r="D1037" s="90">
        <v>7</v>
      </c>
      <c r="E1037" s="51">
        <v>6</v>
      </c>
      <c r="F1037" s="4" t="s">
        <v>90</v>
      </c>
      <c r="G1037" s="4" t="s">
        <v>141</v>
      </c>
      <c r="H1037" s="391">
        <f>IF(G1037&gt;0,VLOOKUP(G1037,Apoio!$A$2:$B$25,2,0),"")</f>
        <v>7</v>
      </c>
      <c r="I1037" s="392">
        <f t="shared" ref="I1037:I1041" si="133">IF(D1037&gt;0,(((H1037*E1037)*C1037)/D1037),"")</f>
        <v>42</v>
      </c>
      <c r="J1037" s="390">
        <v>13</v>
      </c>
      <c r="K1037" s="396">
        <f>I1037-J1037-3.5</f>
        <v>25.5</v>
      </c>
      <c r="M1037" s="103" t="s">
        <v>236</v>
      </c>
      <c r="N1037" s="10" t="s">
        <v>286</v>
      </c>
    </row>
    <row r="1038" spans="1:14" x14ac:dyDescent="0.3">
      <c r="A1038" s="4" t="s">
        <v>291</v>
      </c>
      <c r="B1038" s="4" t="s">
        <v>274</v>
      </c>
      <c r="C1038" s="108">
        <v>7</v>
      </c>
      <c r="D1038" s="90">
        <v>7</v>
      </c>
      <c r="E1038" s="51">
        <v>6</v>
      </c>
      <c r="F1038" s="4" t="s">
        <v>90</v>
      </c>
      <c r="G1038" s="4" t="s">
        <v>144</v>
      </c>
      <c r="H1038" s="391">
        <f>IF(G1038&gt;0,VLOOKUP(G1038,Apoio!$A$2:$B$25,2,0),"")</f>
        <v>7</v>
      </c>
      <c r="I1038" s="392">
        <f t="shared" si="133"/>
        <v>42</v>
      </c>
      <c r="J1038" s="390">
        <v>13</v>
      </c>
      <c r="K1038" s="396">
        <f>I1038-J1038-2</f>
        <v>27</v>
      </c>
      <c r="M1038" s="103" t="s">
        <v>236</v>
      </c>
      <c r="N1038" s="10" t="s">
        <v>287</v>
      </c>
    </row>
    <row r="1039" spans="1:14" x14ac:dyDescent="0.3">
      <c r="A1039" s="4" t="s">
        <v>291</v>
      </c>
      <c r="B1039" s="4" t="s">
        <v>274</v>
      </c>
      <c r="C1039" s="108">
        <v>7</v>
      </c>
      <c r="D1039" s="90">
        <v>7</v>
      </c>
      <c r="E1039" s="51">
        <v>6</v>
      </c>
      <c r="F1039" s="4" t="s">
        <v>90</v>
      </c>
      <c r="G1039" s="4" t="s">
        <v>147</v>
      </c>
      <c r="H1039" s="391">
        <f>IF(G1039&gt;0,VLOOKUP(G1039,Apoio!$A$2:$B$25,2,0),"")</f>
        <v>7</v>
      </c>
      <c r="I1039" s="392">
        <f t="shared" si="133"/>
        <v>42</v>
      </c>
      <c r="J1039" s="390">
        <v>13</v>
      </c>
      <c r="K1039" s="396">
        <f>I1039-J1039</f>
        <v>29</v>
      </c>
      <c r="M1039" s="103" t="s">
        <v>236</v>
      </c>
      <c r="N1039" s="10"/>
    </row>
    <row r="1040" spans="1:14" x14ac:dyDescent="0.3">
      <c r="A1040" s="4" t="s">
        <v>291</v>
      </c>
      <c r="B1040" s="4" t="s">
        <v>274</v>
      </c>
      <c r="C1040" s="108">
        <v>7</v>
      </c>
      <c r="D1040" s="90">
        <v>7</v>
      </c>
      <c r="E1040" s="51">
        <v>6</v>
      </c>
      <c r="F1040" s="4" t="s">
        <v>90</v>
      </c>
      <c r="G1040" s="4" t="s">
        <v>150</v>
      </c>
      <c r="H1040" s="391">
        <f>IF(G1040&gt;0,VLOOKUP(G1040,Apoio!$A$2:$B$25,2,0),"")</f>
        <v>8</v>
      </c>
      <c r="I1040" s="392">
        <f t="shared" si="133"/>
        <v>48</v>
      </c>
      <c r="J1040" s="390">
        <v>13</v>
      </c>
      <c r="K1040" s="396">
        <f>I1040-J1040-1</f>
        <v>34</v>
      </c>
      <c r="M1040" s="103" t="s">
        <v>236</v>
      </c>
      <c r="N1040" s="10" t="s">
        <v>283</v>
      </c>
    </row>
    <row r="1041" spans="1:14" x14ac:dyDescent="0.3">
      <c r="A1041" s="4" t="s">
        <v>291</v>
      </c>
      <c r="B1041" s="4" t="s">
        <v>274</v>
      </c>
      <c r="C1041" s="108">
        <v>7</v>
      </c>
      <c r="D1041" s="90">
        <v>7</v>
      </c>
      <c r="E1041" s="51">
        <v>6</v>
      </c>
      <c r="F1041" s="4" t="s">
        <v>90</v>
      </c>
      <c r="G1041" s="4" t="s">
        <v>153</v>
      </c>
      <c r="H1041" s="391">
        <f>IF(G1041&gt;0,VLOOKUP(G1041,Apoio!$A$2:$B$25,2,0),"")</f>
        <v>8</v>
      </c>
      <c r="I1041" s="392">
        <f t="shared" si="133"/>
        <v>48</v>
      </c>
      <c r="J1041" s="390">
        <v>13</v>
      </c>
      <c r="K1041" s="396">
        <f>I1041-J1041-1</f>
        <v>34</v>
      </c>
      <c r="M1041" s="103" t="s">
        <v>236</v>
      </c>
      <c r="N1041" s="10" t="s">
        <v>283</v>
      </c>
    </row>
  </sheetData>
  <autoFilter ref="A1:N1041" xr:uid="{B84700D5-9F45-724F-9594-739BA599C556}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A9A72CD-D3F3-1241-BB2A-44B5B7E06EB5}">
          <x14:formula1>
            <xm:f>Apoio!$A$2:$A$25</xm:f>
          </x14:formula1>
          <xm:sqref>G2:G1041</xm:sqref>
        </x14:dataValidation>
        <x14:dataValidation type="list" allowBlank="1" showInputMessage="1" showErrorMessage="1" xr:uid="{ED3E9012-F699-744F-9852-5E9D4555D3A4}">
          <x14:formula1>
            <xm:f>Apoio!$F$2:$F$5</xm:f>
          </x14:formula1>
          <xm:sqref>F2:F1041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003D4CD50D34DB0AB302A6CFC3EE7" ma:contentTypeVersion="5" ma:contentTypeDescription="Crie um novo documento." ma:contentTypeScope="" ma:versionID="44b568f1bbefe31a724c1f9a0e4f73d1">
  <xsd:schema xmlns:xsd="http://www.w3.org/2001/XMLSchema" xmlns:xs="http://www.w3.org/2001/XMLSchema" xmlns:p="http://schemas.microsoft.com/office/2006/metadata/properties" xmlns:ns2="d54d4c6a-2c82-481c-afa4-00159adbaee8" targetNamespace="http://schemas.microsoft.com/office/2006/metadata/properties" ma:root="true" ma:fieldsID="928709fb23ee75580d0b2d89b89ce03a" ns2:_="">
    <xsd:import namespace="d54d4c6a-2c82-481c-afa4-00159adbae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4c6a-2c82-481c-afa4-00159adba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2ED76A-D7E5-4126-BE94-2D650277ED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9A8D3-802A-4218-B16E-8C3EBAA74D1F}">
  <ds:schemaRefs>
    <ds:schemaRef ds:uri="http://purl.org/dc/elements/1.1/"/>
    <ds:schemaRef ds:uri="d54d4c6a-2c82-481c-afa4-00159adbaee8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62BA0D-11F6-4283-9567-53011C904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d4c6a-2c82-481c-afa4-00159adba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dc42001-9759-4b38-a906-152fbf37e35a}" enabled="1" method="Privileged" siteId="{a50e7b76-8ea5-492c-bf17-97d652fc3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Times</vt:lpstr>
      <vt:lpstr>Apoio</vt:lpstr>
      <vt:lpstr>2023</vt:lpstr>
      <vt:lpstr>2024</vt:lpstr>
      <vt:lpstr>2025</vt:lpstr>
      <vt:lpstr>Dinamica 2025</vt:lpstr>
      <vt:lpstr>Dinamica 2026</vt:lpstr>
      <vt:lpstr>2026_Produtividade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</dc:creator>
  <cp:keywords/>
  <dc:description/>
  <cp:lastModifiedBy>Marcelo Dias de Oliveira</cp:lastModifiedBy>
  <cp:revision/>
  <dcterms:created xsi:type="dcterms:W3CDTF">2023-09-05T13:43:19Z</dcterms:created>
  <dcterms:modified xsi:type="dcterms:W3CDTF">2026-10-27T22:04:46Z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0x01010048A003D4CD50D34DB0AB302A6CFC3EE7</vt:lpwstr>
  </property>
  <property fmtid="{D5CDD505-2E9C-101B-9397-08002B2CF9AE}" pid="3" name="MediaServiceImageTags">
    <vt:lpwstr/>
  </property>
  <property fmtid="{D5CDD505-2E9C-101B-9397-08002B2CF9AE}" pid="4" name="MSIP_Label_0dc42001-9759-4b38-a906-152fbf37e35a_Enabled">
    <vt:lpwstr>true</vt:lpwstr>
  </property>
  <property fmtid="{D5CDD505-2E9C-101B-9397-08002B2CF9AE}" pid="5" name="MSIP_Label_0dc42001-9759-4b38-a906-152fbf37e35a_SetDate">
    <vt:lpwstr>2024-09-13T18:15:01Z</vt:lpwstr>
  </property>
  <property fmtid="{D5CDD505-2E9C-101B-9397-08002B2CF9AE}" pid="6" name="MSIP_Label_0dc42001-9759-4b38-a906-152fbf37e35a_Method">
    <vt:lpwstr>Privileged</vt:lpwstr>
  </property>
  <property fmtid="{D5CDD505-2E9C-101B-9397-08002B2CF9AE}" pid="7" name="MSIP_Label_0dc42001-9759-4b38-a906-152fbf37e35a_Name">
    <vt:lpwstr>Público</vt:lpwstr>
  </property>
  <property fmtid="{D5CDD505-2E9C-101B-9397-08002B2CF9AE}" pid="8" name="MSIP_Label_0dc42001-9759-4b38-a906-152fbf37e35a_SiteId">
    <vt:lpwstr>a50e7b76-8ea5-492c-bf17-97d652fc3ce9</vt:lpwstr>
  </property>
  <property fmtid="{D5CDD505-2E9C-101B-9397-08002B2CF9AE}" pid="9" name="MSIP_Label_0dc42001-9759-4b38-a906-152fbf37e35a_ActionId">
    <vt:lpwstr>b8872186-628d-4133-aa51-0c3d6d9cb8c0</vt:lpwstr>
  </property>
  <property fmtid="{D5CDD505-2E9C-101B-9397-08002B2CF9AE}" pid="10" name="MSIP_Label_0dc42001-9759-4b38-a906-152fbf37e35a_ContentBits">
    <vt:lpwstr>2</vt:lpwstr>
  </property>
  <property fmtid="{D5CDD505-2E9C-101B-9397-08002B2CF9AE}" pid="11" name="MSIP_Label_e463cba9-5f6c-478d-9329-7b2295e4e8ed_Enabled">
    <vt:lpwstr>true</vt:lpwstr>
  </property>
  <property fmtid="{D5CDD505-2E9C-101B-9397-08002B2CF9AE}" pid="12" name="MSIP_Label_e463cba9-5f6c-478d-9329-7b2295e4e8ed_SetDate">
    <vt:lpwstr>2026-02-02T19:13:21Z</vt:lpwstr>
  </property>
  <property fmtid="{D5CDD505-2E9C-101B-9397-08002B2CF9AE}" pid="13" name="MSIP_Label_e463cba9-5f6c-478d-9329-7b2295e4e8ed_Method">
    <vt:lpwstr>Standard</vt:lpwstr>
  </property>
  <property fmtid="{D5CDD505-2E9C-101B-9397-08002B2CF9AE}" pid="14" name="MSIP_Label_e463cba9-5f6c-478d-9329-7b2295e4e8ed_Name">
    <vt:lpwstr>All Employees_2</vt:lpwstr>
  </property>
  <property fmtid="{D5CDD505-2E9C-101B-9397-08002B2CF9AE}" pid="15" name="MSIP_Label_e463cba9-5f6c-478d-9329-7b2295e4e8ed_SiteId">
    <vt:lpwstr>33440fc6-b7c7-412c-bb73-0e70b0198d5a</vt:lpwstr>
  </property>
  <property fmtid="{D5CDD505-2E9C-101B-9397-08002B2CF9AE}" pid="16" name="MSIP_Label_e463cba9-5f6c-478d-9329-7b2295e4e8ed_ActionId">
    <vt:lpwstr>ba395c42-9f9a-4359-8f26-3a0d9dc5b1d3</vt:lpwstr>
  </property>
  <property fmtid="{D5CDD505-2E9C-101B-9397-08002B2CF9AE}" pid="17" name="MSIP_Label_e463cba9-5f6c-478d-9329-7b2295e4e8ed_ContentBits">
    <vt:lpwstr>0</vt:lpwstr>
  </property>
  <property fmtid="{D5CDD505-2E9C-101B-9397-08002B2CF9AE}" pid="18" name="MSIP_Label_e463cba9-5f6c-478d-9329-7b2295e4e8ed_Tag">
    <vt:lpwstr>10, 3, 0, 1</vt:lpwstr>
  </property>
</Properties>
</file>